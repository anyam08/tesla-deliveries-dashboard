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aw Data" sheetId="2" state="visible" r:id="rId2"/>
    <sheet name="KPI Summary" sheetId="3" state="visible" r:id="rId3"/>
    <sheet name="Model Analysis" sheetId="4" state="visible" r:id="rId4"/>
    <sheet name="Regional Growth" sheetId="5" state="visible" r:id="rId5"/>
    <sheet name="Range &amp; Correlations" sheetId="6" state="visible" r:id="rId6"/>
    <sheet name="Recommendation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Units Delivered by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'Model Analysis'!C4</f>
            </strRef>
          </tx>
          <spPr>
            <a:ln>
              <a:prstDash val="solid"/>
            </a:ln>
          </spPr>
          <cat>
            <numRef>
              <f>'Model Analysis'!$B$5:$B$10</f>
            </numRef>
          </cat>
          <val>
            <numRef>
              <f>'Model Analysis'!$C$5:$C$10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Deliveries by Region,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'Regional Growth'!C6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Growth'!$C$7:$C$19</f>
            </numRef>
          </val>
        </ser>
        <ser>
          <idx val="1"/>
          <order val="1"/>
          <tx>
            <strRef>
              <f>'Regional Growth'!D6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Growth'!$D$7:$D$19</f>
            </numRef>
          </val>
        </ser>
        <ser>
          <idx val="2"/>
          <order val="2"/>
          <tx>
            <strRef>
              <f>'Regional Growth'!E6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Growth'!$E$7:$E$19</f>
            </numRef>
          </val>
        </ser>
        <ser>
          <idx val="3"/>
          <order val="3"/>
          <tx>
            <strRef>
              <f>'Regional Growth'!F6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Growth'!$F$7:$F$19</f>
            </numRef>
          </val>
        </ser>
        <ser>
          <idx val="4"/>
          <order val="4"/>
          <tx>
            <strRef>
              <f>'Regional Growth'!G6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'Regional Growth'!$B$7:$B$19</f>
            </numRef>
          </cat>
          <val>
            <numRef>
              <f>'Regional Growth'!$G$7:$G$19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 Delivered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1" t="inlineStr">
        <is>
          <t>TESLA VEHICLE DELIVERIES — CASE STUDY WORKBOOK</t>
        </is>
      </c>
    </row>
    <row r="3">
      <c r="B3" s="2" t="inlineStr">
        <is>
          <t>A business analytics &amp; AI case study, answered with basic Excel formulas only.</t>
        </is>
      </c>
    </row>
    <row r="5">
      <c r="B5" t="inlineStr">
        <is>
          <t>This is the Excel companion to tesla_case_study.ipynb. It answers</t>
        </is>
      </c>
    </row>
    <row r="6">
      <c r="B6" t="inlineStr">
        <is>
          <t>the same case-study questions using only basic Excel functions: SUM, AVERAGE, SUMIF,</t>
        </is>
      </c>
    </row>
    <row r="7">
      <c r="B7" t="inlineStr">
        <is>
          <t>COUNTIF, VLOOKUP, and CORREL. No regression (SLOPE), no nested tiering logic, no array</t>
        </is>
      </c>
    </row>
    <row r="8">
      <c r="B8" t="inlineStr">
        <is>
          <t>tricks -- every formula should be readable at a glance.</t>
        </is>
      </c>
    </row>
    <row r="10">
      <c r="B10" t="inlineStr">
        <is>
          <t>Dataset: Tesla Vehicle Deliveries Dataset (2012-2024), Kaggle -- labeled "realistic</t>
        </is>
      </c>
    </row>
    <row r="11">
      <c r="B11" t="inlineStr">
        <is>
          <t>synthetic data" by its source, not Tesla's actual reported figures.</t>
        </is>
      </c>
    </row>
    <row r="13">
      <c r="B13" s="3" t="inlineStr">
        <is>
          <t>Scope &amp; Limitations</t>
        </is>
      </c>
    </row>
    <row r="14">
      <c r="B14" t="inlineStr">
        <is>
          <t>- This dataset is synthetic -- realistic in shape, useful for practicing the analysis</t>
        </is>
      </c>
    </row>
    <row r="15">
      <c r="B15" t="inlineStr">
        <is>
          <t xml:space="preserve">  techniques below, but not Tesla's real historical numbers.</t>
        </is>
      </c>
    </row>
    <row r="16">
      <c r="B16" t="inlineStr">
        <is>
          <t>- This workbook does NOT claim to report Tesla's real deliveries/revenue or perform</t>
        </is>
      </c>
    </row>
    <row r="17">
      <c r="B17" t="inlineStr">
        <is>
          <t xml:space="preserve">  production-grade forecasting.</t>
        </is>
      </c>
    </row>
    <row r="18">
      <c r="B18" t="inlineStr">
        <is>
          <t>- The "Regional Growth" sheet compares each region's first year in the data to its last</t>
        </is>
      </c>
    </row>
    <row r="19">
      <c r="B19" t="inlineStr">
        <is>
          <t xml:space="preserve">  year -- a simple, transparent way to read a trend, not a trained model.</t>
        </is>
      </c>
    </row>
    <row r="21">
      <c r="B21" s="3" t="inlineStr">
        <is>
          <t>Sheet Index</t>
        </is>
      </c>
    </row>
    <row r="22">
      <c r="B22" t="inlineStr">
        <is>
          <t>Raw Data -- the full dataset, plus one simple data-cleaning check (Launch Year)</t>
        </is>
      </c>
    </row>
    <row r="23">
      <c r="B23" t="inlineStr">
        <is>
          <t>KPI Summary -- headline numbers (Level 1 dashboard discussion)</t>
        </is>
      </c>
    </row>
    <row r="24">
      <c r="B24" t="inlineStr">
        <is>
          <t>Model Analysis -- total deliveries by model (Level 2 Q1: top 3 models)</t>
        </is>
      </c>
    </row>
    <row r="25">
      <c r="B25" t="inlineStr">
        <is>
          <t>Regional Growth -- first-year vs. last-year growth by region (Level 2 Q2, Level 3 Q3/Q4)</t>
        </is>
      </c>
    </row>
    <row r="26">
      <c r="B26" t="inlineStr">
        <is>
          <t>Range &amp; Correlations -- range/efficiency vs. deliveries (Level 2 Q3, Level 3 Q1)</t>
        </is>
      </c>
    </row>
    <row r="27">
      <c r="B27" t="inlineStr">
        <is>
          <t>Recommendations -- written answers to the Level 1 &amp; Level 3 conceptual questions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Year</t>
        </is>
      </c>
      <c r="B1" s="4" t="inlineStr">
        <is>
          <t>Quarter</t>
        </is>
      </c>
      <c r="C1" s="4" t="inlineStr">
        <is>
          <t>Region</t>
        </is>
      </c>
      <c r="D1" s="4" t="inlineStr">
        <is>
          <t>Model</t>
        </is>
      </c>
      <c r="E1" s="4" t="inlineStr">
        <is>
          <t>Units Delivered</t>
        </is>
      </c>
      <c r="F1" s="4" t="inlineStr">
        <is>
          <t>Average Price (USD)</t>
        </is>
      </c>
      <c r="G1" s="4" t="inlineStr">
        <is>
          <t>Production Delay (Days)</t>
        </is>
      </c>
      <c r="H1" s="4" t="inlineStr">
        <is>
          <t>Battery Type</t>
        </is>
      </c>
      <c r="I1" s="4" t="inlineStr">
        <is>
          <t>Drive Type</t>
        </is>
      </c>
      <c r="J1" s="4" t="inlineStr">
        <is>
          <t>Color</t>
        </is>
      </c>
      <c r="K1" s="4" t="inlineStr">
        <is>
          <t>Range (KM)</t>
        </is>
      </c>
      <c r="L1" s="4" t="inlineStr">
        <is>
          <t>Charging Time (Min)</t>
        </is>
      </c>
      <c r="M1" s="4" t="inlineStr">
        <is>
          <t>Efficiency (kWh/100km)</t>
        </is>
      </c>
      <c r="N1" s="4" t="inlineStr">
        <is>
          <t>CO2 Saved (Tons)</t>
        </is>
      </c>
      <c r="O1" s="4" t="inlineStr">
        <is>
          <t>Avg Customer Rating</t>
        </is>
      </c>
      <c r="P1" s="4" t="inlineStr">
        <is>
          <t>Warranty (Years)</t>
        </is>
      </c>
      <c r="Q1" s="4" t="inlineStr">
        <is>
          <t>Number of Recalls</t>
        </is>
      </c>
      <c r="R1" s="4" t="inlineStr">
        <is>
          <t>Software Version</t>
        </is>
      </c>
      <c r="S1" s="4" t="inlineStr">
        <is>
          <t>Autopilot Enabled</t>
        </is>
      </c>
      <c r="T1" s="4" t="inlineStr">
        <is>
          <t>Total Miles Driven</t>
        </is>
      </c>
      <c r="U1" s="4" t="inlineStr">
        <is>
          <t>Update Frequency (Per Year)</t>
        </is>
      </c>
      <c r="V1" s="4" t="inlineStr">
        <is>
          <t>Battery Replacement Rate</t>
        </is>
      </c>
      <c r="W1" s="4" t="inlineStr">
        <is>
          <t>Service Visits (Per Year)</t>
        </is>
      </c>
      <c r="X1" s="4" t="inlineStr">
        <is>
          <t>Resale Value (%)</t>
        </is>
      </c>
      <c r="Y1" s="4" t="inlineStr">
        <is>
          <t>Launch Year</t>
        </is>
      </c>
      <c r="Z1" s="4" t="inlineStr">
        <is>
          <t>Before Launch?</t>
        </is>
      </c>
      <c r="AB1" s="3" t="inlineStr">
        <is>
          <t>Model Launch Years (lookup table)</t>
        </is>
      </c>
    </row>
    <row r="2">
      <c r="A2" t="n">
        <v>2022</v>
      </c>
      <c r="B2" t="inlineStr">
        <is>
          <t>Q1</t>
        </is>
      </c>
      <c r="C2" t="inlineStr">
        <is>
          <t>North America</t>
        </is>
      </c>
      <c r="D2" t="inlineStr">
        <is>
          <t>Semi</t>
        </is>
      </c>
      <c r="E2" t="n">
        <v>2303</v>
      </c>
      <c r="F2" t="n">
        <v>55815.81</v>
      </c>
      <c r="G2" t="n">
        <v>8</v>
      </c>
      <c r="H2" t="inlineStr">
        <is>
          <t>Performance</t>
        </is>
      </c>
      <c r="I2" t="inlineStr">
        <is>
          <t>AWD</t>
        </is>
      </c>
      <c r="J2" t="inlineStr">
        <is>
          <t>Green</t>
        </is>
      </c>
      <c r="K2" t="n">
        <v>629</v>
      </c>
      <c r="L2" t="n">
        <v>35</v>
      </c>
      <c r="M2" t="n">
        <v>20.09</v>
      </c>
      <c r="N2" t="n">
        <v>1297.89</v>
      </c>
      <c r="O2" t="n">
        <v>3.64</v>
      </c>
      <c r="P2" t="n">
        <v>5</v>
      </c>
      <c r="Q2" t="n">
        <v>0</v>
      </c>
      <c r="R2" t="n">
        <v>2024.4</v>
      </c>
      <c r="S2" t="b">
        <v>0</v>
      </c>
      <c r="T2" t="n">
        <v>1949189</v>
      </c>
      <c r="U2" t="n">
        <v>9</v>
      </c>
      <c r="V2" t="n">
        <v>0.063</v>
      </c>
      <c r="W2" t="n">
        <v>2.12</v>
      </c>
      <c r="X2" t="n">
        <v>60.19</v>
      </c>
      <c r="Y2">
        <f>VLOOKUP(D2,$AB$2:$AC$7,2,FALSE)</f>
        <v/>
      </c>
      <c r="Z2">
        <f>IF(A2&lt;Y2,"Yes","No")</f>
        <v/>
      </c>
      <c r="AB2" t="inlineStr">
        <is>
          <t>Model S</t>
        </is>
      </c>
      <c r="AC2" t="n">
        <v>2012</v>
      </c>
    </row>
    <row r="3">
      <c r="A3" t="n">
        <v>2024</v>
      </c>
      <c r="B3" t="inlineStr">
        <is>
          <t>Q2</t>
        </is>
      </c>
      <c r="C3" t="inlineStr">
        <is>
          <t>Australia</t>
        </is>
      </c>
      <c r="D3" t="inlineStr">
        <is>
          <t>Model X</t>
        </is>
      </c>
      <c r="E3" t="n">
        <v>2326</v>
      </c>
      <c r="F3" t="n">
        <v>48215.76</v>
      </c>
      <c r="G3" t="n">
        <v>48</v>
      </c>
      <c r="H3" t="inlineStr">
        <is>
          <t>Long Range</t>
        </is>
      </c>
      <c r="I3" t="inlineStr">
        <is>
          <t>AWD</t>
        </is>
      </c>
      <c r="J3" t="inlineStr">
        <is>
          <t>Red</t>
        </is>
      </c>
      <c r="K3" t="n">
        <v>544</v>
      </c>
      <c r="L3" t="n">
        <v>36</v>
      </c>
      <c r="M3" t="n">
        <v>17.31</v>
      </c>
      <c r="N3" t="n">
        <v>2763.08</v>
      </c>
      <c r="O3" t="n">
        <v>3.9</v>
      </c>
      <c r="P3" t="n">
        <v>4</v>
      </c>
      <c r="Q3" t="n">
        <v>3</v>
      </c>
      <c r="R3" t="n">
        <v>2024.2</v>
      </c>
      <c r="S3" t="b">
        <v>0</v>
      </c>
      <c r="T3" t="n">
        <v>761023</v>
      </c>
      <c r="U3" t="n">
        <v>10</v>
      </c>
      <c r="V3" t="n">
        <v>0.0364</v>
      </c>
      <c r="W3" t="n">
        <v>1.76</v>
      </c>
      <c r="X3" t="n">
        <v>86.56</v>
      </c>
      <c r="Y3">
        <f>VLOOKUP(D3,$AB$2:$AC$7,2,FALSE)</f>
        <v/>
      </c>
      <c r="Z3">
        <f>IF(A3&lt;Y3,"Yes","No")</f>
        <v/>
      </c>
      <c r="AB3" t="inlineStr">
        <is>
          <t>Model X</t>
        </is>
      </c>
      <c r="AC3" t="n">
        <v>2015</v>
      </c>
    </row>
    <row r="4">
      <c r="A4" t="n">
        <v>2017</v>
      </c>
      <c r="B4" t="inlineStr">
        <is>
          <t>Q2</t>
        </is>
      </c>
      <c r="C4" t="inlineStr">
        <is>
          <t>North America</t>
        </is>
      </c>
      <c r="D4" t="inlineStr">
        <is>
          <t>Model S</t>
        </is>
      </c>
      <c r="E4" t="n">
        <v>1916</v>
      </c>
      <c r="F4" t="n">
        <v>100710.81</v>
      </c>
      <c r="G4" t="n">
        <v>5</v>
      </c>
      <c r="H4" t="inlineStr">
        <is>
          <t>Standard</t>
        </is>
      </c>
      <c r="I4" t="inlineStr">
        <is>
          <t>AWD</t>
        </is>
      </c>
      <c r="J4" t="inlineStr">
        <is>
          <t>Blue</t>
        </is>
      </c>
      <c r="K4" t="n">
        <v>492</v>
      </c>
      <c r="L4" t="n">
        <v>59</v>
      </c>
      <c r="M4" t="n">
        <v>20.63</v>
      </c>
      <c r="N4" t="n">
        <v>2356.04</v>
      </c>
      <c r="O4" t="n">
        <v>4.06</v>
      </c>
      <c r="P4" t="n">
        <v>5</v>
      </c>
      <c r="Q4" t="n">
        <v>2</v>
      </c>
      <c r="R4" t="n">
        <v>2020.1</v>
      </c>
      <c r="S4" t="b">
        <v>1</v>
      </c>
      <c r="T4" t="n">
        <v>4580690</v>
      </c>
      <c r="U4" t="n">
        <v>5</v>
      </c>
      <c r="V4" t="n">
        <v>0.0247</v>
      </c>
      <c r="W4" t="n">
        <v>1.26</v>
      </c>
      <c r="X4" t="n">
        <v>89.69</v>
      </c>
      <c r="Y4">
        <f>VLOOKUP(D4,$AB$2:$AC$7,2,FALSE)</f>
        <v/>
      </c>
      <c r="Z4">
        <f>IF(A4&lt;Y4,"Yes","No")</f>
        <v/>
      </c>
      <c r="AB4" t="inlineStr">
        <is>
          <t>Model 3</t>
        </is>
      </c>
      <c r="AC4" t="n">
        <v>2017</v>
      </c>
    </row>
    <row r="5">
      <c r="A5" t="n">
        <v>2022</v>
      </c>
      <c r="B5" t="inlineStr">
        <is>
          <t>Q2</t>
        </is>
      </c>
      <c r="C5" t="inlineStr">
        <is>
          <t>Asia</t>
        </is>
      </c>
      <c r="D5" t="inlineStr">
        <is>
          <t>Model S</t>
        </is>
      </c>
      <c r="E5" t="n">
        <v>1926</v>
      </c>
      <c r="F5" t="n">
        <v>104853.22</v>
      </c>
      <c r="G5" t="n">
        <v>51</v>
      </c>
      <c r="H5" t="inlineStr">
        <is>
          <t>Long Range</t>
        </is>
      </c>
      <c r="I5" t="inlineStr">
        <is>
          <t>RWD</t>
        </is>
      </c>
      <c r="J5" t="inlineStr">
        <is>
          <t>White</t>
        </is>
      </c>
      <c r="K5" t="n">
        <v>383</v>
      </c>
      <c r="L5" t="n">
        <v>43</v>
      </c>
      <c r="M5" t="n">
        <v>23.96</v>
      </c>
      <c r="N5" t="n">
        <v>3147.78</v>
      </c>
      <c r="O5" t="n">
        <v>4.58</v>
      </c>
      <c r="P5" t="n">
        <v>5</v>
      </c>
      <c r="Q5" t="n">
        <v>3</v>
      </c>
      <c r="R5" t="n">
        <v>2023.11</v>
      </c>
      <c r="S5" t="b">
        <v>0</v>
      </c>
      <c r="T5" t="n">
        <v>1298493</v>
      </c>
      <c r="U5" t="n">
        <v>6</v>
      </c>
      <c r="V5" t="n">
        <v>0.0226</v>
      </c>
      <c r="W5" t="n">
        <v>1.99</v>
      </c>
      <c r="X5" t="n">
        <v>76.17</v>
      </c>
      <c r="Y5">
        <f>VLOOKUP(D5,$AB$2:$AC$7,2,FALSE)</f>
        <v/>
      </c>
      <c r="Z5">
        <f>IF(A5&lt;Y5,"Yes","No")</f>
        <v/>
      </c>
      <c r="AB5" t="inlineStr">
        <is>
          <t>Model Y</t>
        </is>
      </c>
      <c r="AC5" t="n">
        <v>2020</v>
      </c>
    </row>
    <row r="6">
      <c r="A6" t="n">
        <v>2023</v>
      </c>
      <c r="B6" t="inlineStr">
        <is>
          <t>Q4</t>
        </is>
      </c>
      <c r="C6" t="inlineStr">
        <is>
          <t>South America</t>
        </is>
      </c>
      <c r="D6" t="inlineStr">
        <is>
          <t>Model Y</t>
        </is>
      </c>
      <c r="E6" t="n">
        <v>3015</v>
      </c>
      <c r="F6" t="n">
        <v>53642.26</v>
      </c>
      <c r="G6" t="n">
        <v>8</v>
      </c>
      <c r="H6" t="inlineStr">
        <is>
          <t>Performance</t>
        </is>
      </c>
      <c r="I6" t="inlineStr">
        <is>
          <t>RWD</t>
        </is>
      </c>
      <c r="J6" t="inlineStr">
        <is>
          <t>Red</t>
        </is>
      </c>
      <c r="K6" t="n">
        <v>374</v>
      </c>
      <c r="L6" t="n">
        <v>85</v>
      </c>
      <c r="M6" t="n">
        <v>14.32</v>
      </c>
      <c r="N6" t="n">
        <v>5291</v>
      </c>
      <c r="O6" t="n">
        <v>4.69</v>
      </c>
      <c r="P6" t="n">
        <v>8</v>
      </c>
      <c r="Q6" t="n">
        <v>0</v>
      </c>
      <c r="R6" t="n">
        <v>2023.7</v>
      </c>
      <c r="S6" t="b">
        <v>0</v>
      </c>
      <c r="T6" t="n">
        <v>4538532</v>
      </c>
      <c r="U6" t="n">
        <v>6</v>
      </c>
      <c r="V6" t="n">
        <v>0.0974</v>
      </c>
      <c r="W6" t="n">
        <v>2.22</v>
      </c>
      <c r="X6" t="n">
        <v>60.34</v>
      </c>
      <c r="Y6">
        <f>VLOOKUP(D6,$AB$2:$AC$7,2,FALSE)</f>
        <v/>
      </c>
      <c r="Z6">
        <f>IF(A6&lt;Y6,"Yes","No")</f>
        <v/>
      </c>
      <c r="AB6" t="inlineStr">
        <is>
          <t>Semi</t>
        </is>
      </c>
      <c r="AC6" t="n">
        <v>2022</v>
      </c>
    </row>
    <row r="7">
      <c r="A7" t="n">
        <v>2023</v>
      </c>
      <c r="B7" t="inlineStr">
        <is>
          <t>Q1</t>
        </is>
      </c>
      <c r="C7" t="inlineStr">
        <is>
          <t>South America</t>
        </is>
      </c>
      <c r="D7" t="inlineStr">
        <is>
          <t>Model X</t>
        </is>
      </c>
      <c r="E7" t="n">
        <v>2836</v>
      </c>
      <c r="F7" t="n">
        <v>44481.93</v>
      </c>
      <c r="G7" t="n">
        <v>27</v>
      </c>
      <c r="H7" t="inlineStr">
        <is>
          <t>Standard</t>
        </is>
      </c>
      <c r="I7" t="inlineStr">
        <is>
          <t>RWD</t>
        </is>
      </c>
      <c r="J7" t="inlineStr">
        <is>
          <t>Red</t>
        </is>
      </c>
      <c r="K7" t="n">
        <v>484</v>
      </c>
      <c r="L7" t="n">
        <v>62</v>
      </c>
      <c r="M7" t="n">
        <v>22.14</v>
      </c>
      <c r="N7" t="n">
        <v>4297.57</v>
      </c>
      <c r="O7" t="n">
        <v>3.66</v>
      </c>
      <c r="P7" t="n">
        <v>6</v>
      </c>
      <c r="Q7" t="n">
        <v>1</v>
      </c>
      <c r="R7" t="n">
        <v>2021.6</v>
      </c>
      <c r="S7" t="b">
        <v>1</v>
      </c>
      <c r="T7" t="n">
        <v>4624639</v>
      </c>
      <c r="U7" t="n">
        <v>10</v>
      </c>
      <c r="V7" t="n">
        <v>0.0927</v>
      </c>
      <c r="W7" t="n">
        <v>1.7</v>
      </c>
      <c r="X7" t="n">
        <v>74.66</v>
      </c>
      <c r="Y7">
        <f>VLOOKUP(D7,$AB$2:$AC$7,2,FALSE)</f>
        <v/>
      </c>
      <c r="Z7">
        <f>IF(A7&lt;Y7,"Yes","No")</f>
        <v/>
      </c>
      <c r="AB7" t="inlineStr">
        <is>
          <t>Cybertruck</t>
        </is>
      </c>
      <c r="AC7" t="n">
        <v>2023</v>
      </c>
    </row>
    <row r="8">
      <c r="A8" t="n">
        <v>2013</v>
      </c>
      <c r="B8" t="inlineStr">
        <is>
          <t>Q3</t>
        </is>
      </c>
      <c r="C8" t="inlineStr">
        <is>
          <t>Asia</t>
        </is>
      </c>
      <c r="D8" t="inlineStr">
        <is>
          <t>Model 3</t>
        </is>
      </c>
      <c r="E8" t="n">
        <v>524</v>
      </c>
      <c r="F8" t="n">
        <v>55474.09</v>
      </c>
      <c r="G8" t="n">
        <v>36</v>
      </c>
      <c r="H8" t="inlineStr">
        <is>
          <t>Standard</t>
        </is>
      </c>
      <c r="I8" t="inlineStr">
        <is>
          <t>AWD</t>
        </is>
      </c>
      <c r="J8" t="inlineStr">
        <is>
          <t>Green</t>
        </is>
      </c>
      <c r="K8" t="n">
        <v>598</v>
      </c>
      <c r="L8" t="n">
        <v>82</v>
      </c>
      <c r="M8" t="n">
        <v>13.83</v>
      </c>
      <c r="N8" t="n">
        <v>1059.11</v>
      </c>
      <c r="O8" t="n">
        <v>4.65</v>
      </c>
      <c r="P8" t="n">
        <v>5</v>
      </c>
      <c r="Q8" t="n">
        <v>3</v>
      </c>
      <c r="R8" t="n">
        <v>2024.3</v>
      </c>
      <c r="S8" t="b">
        <v>0</v>
      </c>
      <c r="T8" t="n">
        <v>4526448</v>
      </c>
      <c r="U8" t="n">
        <v>11</v>
      </c>
      <c r="V8" t="n">
        <v>0.0481</v>
      </c>
      <c r="W8" t="n">
        <v>0.92</v>
      </c>
      <c r="X8" t="n">
        <v>76.18000000000001</v>
      </c>
      <c r="Y8">
        <f>VLOOKUP(D8,$AB$2:$AC$7,2,FALSE)</f>
        <v/>
      </c>
      <c r="Z8">
        <f>IF(A8&lt;Y8,"Yes","No")</f>
        <v/>
      </c>
    </row>
    <row r="9">
      <c r="A9" t="n">
        <v>2023</v>
      </c>
      <c r="B9" t="inlineStr">
        <is>
          <t>Q2</t>
        </is>
      </c>
      <c r="C9" t="inlineStr">
        <is>
          <t>Asia</t>
        </is>
      </c>
      <c r="D9" t="inlineStr">
        <is>
          <t>Model Y</t>
        </is>
      </c>
      <c r="E9" t="n">
        <v>3109</v>
      </c>
      <c r="F9" t="n">
        <v>72238.50999999999</v>
      </c>
      <c r="G9" t="n">
        <v>33</v>
      </c>
      <c r="H9" t="inlineStr">
        <is>
          <t>Long Range</t>
        </is>
      </c>
      <c r="I9" t="inlineStr">
        <is>
          <t>AWD</t>
        </is>
      </c>
      <c r="J9" t="inlineStr">
        <is>
          <t>Black</t>
        </is>
      </c>
      <c r="K9" t="n">
        <v>465</v>
      </c>
      <c r="L9" t="n">
        <v>34</v>
      </c>
      <c r="M9" t="n">
        <v>17.06</v>
      </c>
      <c r="N9" t="n">
        <v>5212.6</v>
      </c>
      <c r="O9" t="n">
        <v>3.85</v>
      </c>
      <c r="P9" t="n">
        <v>5</v>
      </c>
      <c r="Q9" t="n">
        <v>0</v>
      </c>
      <c r="R9" t="n">
        <v>2020.12</v>
      </c>
      <c r="S9" t="b">
        <v>1</v>
      </c>
      <c r="T9" t="n">
        <v>2020502</v>
      </c>
      <c r="U9" t="n">
        <v>3</v>
      </c>
      <c r="V9" t="n">
        <v>0.0915</v>
      </c>
      <c r="W9" t="n">
        <v>2.22</v>
      </c>
      <c r="X9" t="n">
        <v>62.13</v>
      </c>
      <c r="Y9">
        <f>VLOOKUP(D9,$AB$2:$AC$7,2,FALSE)</f>
        <v/>
      </c>
      <c r="Z9">
        <f>IF(A9&lt;Y9,"Yes","No")</f>
        <v/>
      </c>
    </row>
    <row r="10">
      <c r="A10" t="n">
        <v>2015</v>
      </c>
      <c r="B10" t="inlineStr">
        <is>
          <t>Q3</t>
        </is>
      </c>
      <c r="C10" t="inlineStr">
        <is>
          <t>Australia</t>
        </is>
      </c>
      <c r="D10" t="inlineStr">
        <is>
          <t>Model 3</t>
        </is>
      </c>
      <c r="E10" t="n">
        <v>4467</v>
      </c>
      <c r="F10" t="n">
        <v>46246.51</v>
      </c>
      <c r="G10" t="n">
        <v>59</v>
      </c>
      <c r="H10" t="inlineStr">
        <is>
          <t>Performance</t>
        </is>
      </c>
      <c r="I10" t="inlineStr">
        <is>
          <t>RWD</t>
        </is>
      </c>
      <c r="J10" t="inlineStr">
        <is>
          <t>Black</t>
        </is>
      </c>
      <c r="K10" t="n">
        <v>592</v>
      </c>
      <c r="L10" t="n">
        <v>81</v>
      </c>
      <c r="M10" t="n">
        <v>17.88</v>
      </c>
      <c r="N10" t="n">
        <v>3076.21</v>
      </c>
      <c r="O10" t="n">
        <v>4.49</v>
      </c>
      <c r="P10" t="n">
        <v>6</v>
      </c>
      <c r="Q10" t="n">
        <v>3</v>
      </c>
      <c r="R10" t="n">
        <v>2023.8</v>
      </c>
      <c r="S10" t="b">
        <v>1</v>
      </c>
      <c r="T10" t="n">
        <v>925588</v>
      </c>
      <c r="U10" t="n">
        <v>2</v>
      </c>
      <c r="V10" t="n">
        <v>0.0462</v>
      </c>
      <c r="W10" t="n">
        <v>1.18</v>
      </c>
      <c r="X10" t="n">
        <v>85.84999999999999</v>
      </c>
      <c r="Y10">
        <f>VLOOKUP(D10,$AB$2:$AC$7,2,FALSE)</f>
        <v/>
      </c>
      <c r="Z10">
        <f>IF(A10&lt;Y10,"Yes","No")</f>
        <v/>
      </c>
    </row>
    <row r="11">
      <c r="A11" t="n">
        <v>2015</v>
      </c>
      <c r="B11" t="inlineStr">
        <is>
          <t>Q2</t>
        </is>
      </c>
      <c r="C11" t="inlineStr">
        <is>
          <t>Europe</t>
        </is>
      </c>
      <c r="D11" t="inlineStr">
        <is>
          <t>Cybertruck</t>
        </is>
      </c>
      <c r="E11" t="n">
        <v>3725</v>
      </c>
      <c r="F11" t="n">
        <v>46915.5</v>
      </c>
      <c r="G11" t="n">
        <v>11</v>
      </c>
      <c r="H11" t="inlineStr">
        <is>
          <t>Long Range</t>
        </is>
      </c>
      <c r="I11" t="inlineStr">
        <is>
          <t>RWD</t>
        </is>
      </c>
      <c r="J11" t="inlineStr">
        <is>
          <t>Black</t>
        </is>
      </c>
      <c r="K11" t="n">
        <v>388</v>
      </c>
      <c r="L11" t="n">
        <v>58</v>
      </c>
      <c r="M11" t="n">
        <v>22.7</v>
      </c>
      <c r="N11" t="n">
        <v>8239.450000000001</v>
      </c>
      <c r="O11" t="n">
        <v>3.65</v>
      </c>
      <c r="P11" t="n">
        <v>4</v>
      </c>
      <c r="Q11" t="n">
        <v>0</v>
      </c>
      <c r="R11" t="n">
        <v>2021.3</v>
      </c>
      <c r="S11" t="b">
        <v>0</v>
      </c>
      <c r="T11" t="n">
        <v>4173853</v>
      </c>
      <c r="U11" t="n">
        <v>9</v>
      </c>
      <c r="V11" t="n">
        <v>0.0292</v>
      </c>
      <c r="W11" t="n">
        <v>1.3</v>
      </c>
      <c r="X11" t="n">
        <v>61.76</v>
      </c>
      <c r="Y11">
        <f>VLOOKUP(D11,$AB$2:$AC$7,2,FALSE)</f>
        <v/>
      </c>
      <c r="Z11">
        <f>IF(A11&lt;Y11,"Yes","No")</f>
        <v/>
      </c>
    </row>
    <row r="12">
      <c r="A12" t="n">
        <v>2018</v>
      </c>
      <c r="B12" t="inlineStr">
        <is>
          <t>Q1</t>
        </is>
      </c>
      <c r="C12" t="inlineStr">
        <is>
          <t>Australia</t>
        </is>
      </c>
      <c r="D12" t="inlineStr">
        <is>
          <t>Model X</t>
        </is>
      </c>
      <c r="E12" t="n">
        <v>3777</v>
      </c>
      <c r="F12" t="n">
        <v>59246.18</v>
      </c>
      <c r="G12" t="n">
        <v>44</v>
      </c>
      <c r="H12" t="inlineStr">
        <is>
          <t>Performance</t>
        </is>
      </c>
      <c r="I12" t="inlineStr">
        <is>
          <t>RWD</t>
        </is>
      </c>
      <c r="J12" t="inlineStr">
        <is>
          <t>Black</t>
        </is>
      </c>
      <c r="K12" t="n">
        <v>447</v>
      </c>
      <c r="L12" t="n">
        <v>48</v>
      </c>
      <c r="M12" t="n">
        <v>15.61</v>
      </c>
      <c r="N12" t="n">
        <v>2330.28</v>
      </c>
      <c r="O12" t="n">
        <v>4.6</v>
      </c>
      <c r="P12" t="n">
        <v>4</v>
      </c>
      <c r="Q12" t="n">
        <v>2</v>
      </c>
      <c r="R12" t="n">
        <v>2020.1</v>
      </c>
      <c r="S12" t="b">
        <v>0</v>
      </c>
      <c r="T12" t="n">
        <v>4318214</v>
      </c>
      <c r="U12" t="n">
        <v>10</v>
      </c>
      <c r="V12" t="n">
        <v>0.0242</v>
      </c>
      <c r="W12" t="n">
        <v>2.42</v>
      </c>
      <c r="X12" t="n">
        <v>62.4</v>
      </c>
      <c r="Y12">
        <f>VLOOKUP(D12,$AB$2:$AC$7,2,FALSE)</f>
        <v/>
      </c>
      <c r="Z12">
        <f>IF(A12&lt;Y12,"Yes","No")</f>
        <v/>
      </c>
    </row>
    <row r="13">
      <c r="A13" t="n">
        <v>2014</v>
      </c>
      <c r="B13" t="inlineStr">
        <is>
          <t>Q1</t>
        </is>
      </c>
      <c r="C13" t="inlineStr">
        <is>
          <t>South America</t>
        </is>
      </c>
      <c r="D13" t="inlineStr">
        <is>
          <t>Model S</t>
        </is>
      </c>
      <c r="E13" t="n">
        <v>1976</v>
      </c>
      <c r="F13" t="n">
        <v>69320.92</v>
      </c>
      <c r="G13" t="n">
        <v>60</v>
      </c>
      <c r="H13" t="inlineStr">
        <is>
          <t>Performance</t>
        </is>
      </c>
      <c r="I13" t="inlineStr">
        <is>
          <t>AWD</t>
        </is>
      </c>
      <c r="J13" t="inlineStr">
        <is>
          <t>Silver</t>
        </is>
      </c>
      <c r="K13" t="n">
        <v>654</v>
      </c>
      <c r="L13" t="n">
        <v>32</v>
      </c>
      <c r="M13" t="n">
        <v>20.43</v>
      </c>
      <c r="N13" t="n">
        <v>2644.78</v>
      </c>
      <c r="O13" t="n">
        <v>4.38</v>
      </c>
      <c r="P13" t="n">
        <v>6</v>
      </c>
      <c r="Q13" t="n">
        <v>2</v>
      </c>
      <c r="R13" t="n">
        <v>2021.11</v>
      </c>
      <c r="S13" t="b">
        <v>0</v>
      </c>
      <c r="T13" t="n">
        <v>2102242</v>
      </c>
      <c r="U13" t="n">
        <v>6</v>
      </c>
      <c r="V13" t="n">
        <v>0.0456</v>
      </c>
      <c r="W13" t="n">
        <v>1.84</v>
      </c>
      <c r="X13" t="n">
        <v>69</v>
      </c>
      <c r="Y13">
        <f>VLOOKUP(D13,$AB$2:$AC$7,2,FALSE)</f>
        <v/>
      </c>
      <c r="Z13">
        <f>IF(A13&lt;Y13,"Yes","No")</f>
        <v/>
      </c>
    </row>
    <row r="14">
      <c r="A14" t="n">
        <v>2017</v>
      </c>
      <c r="B14" t="inlineStr">
        <is>
          <t>Q1</t>
        </is>
      </c>
      <c r="C14" t="inlineStr">
        <is>
          <t>North America</t>
        </is>
      </c>
      <c r="D14" t="inlineStr">
        <is>
          <t>Model Y</t>
        </is>
      </c>
      <c r="E14" t="n">
        <v>4662</v>
      </c>
      <c r="F14" t="n">
        <v>119668.2</v>
      </c>
      <c r="G14" t="n">
        <v>4</v>
      </c>
      <c r="H14" t="inlineStr">
        <is>
          <t>Performance</t>
        </is>
      </c>
      <c r="I14" t="inlineStr">
        <is>
          <t>AWD</t>
        </is>
      </c>
      <c r="J14" t="inlineStr">
        <is>
          <t>Silver</t>
        </is>
      </c>
      <c r="K14" t="n">
        <v>485</v>
      </c>
      <c r="L14" t="n">
        <v>38</v>
      </c>
      <c r="M14" t="n">
        <v>24.2</v>
      </c>
      <c r="N14" t="n">
        <v>10544.18</v>
      </c>
      <c r="O14" t="n">
        <v>4.82</v>
      </c>
      <c r="P14" t="n">
        <v>6</v>
      </c>
      <c r="Q14" t="n">
        <v>2</v>
      </c>
      <c r="R14" t="n">
        <v>2021.8</v>
      </c>
      <c r="S14" t="b">
        <v>0</v>
      </c>
      <c r="T14" t="n">
        <v>4537076</v>
      </c>
      <c r="U14" t="n">
        <v>2</v>
      </c>
      <c r="V14" t="n">
        <v>0.0701</v>
      </c>
      <c r="W14" t="n">
        <v>1.61</v>
      </c>
      <c r="X14" t="n">
        <v>87.95</v>
      </c>
      <c r="Y14">
        <f>VLOOKUP(D14,$AB$2:$AC$7,2,FALSE)</f>
        <v/>
      </c>
      <c r="Z14">
        <f>IF(A14&lt;Y14,"Yes","No")</f>
        <v/>
      </c>
    </row>
    <row r="15">
      <c r="A15" t="n">
        <v>2013</v>
      </c>
      <c r="B15" t="inlineStr">
        <is>
          <t>Q2</t>
        </is>
      </c>
      <c r="C15" t="inlineStr">
        <is>
          <t>Asia</t>
        </is>
      </c>
      <c r="D15" t="inlineStr">
        <is>
          <t>Model S</t>
        </is>
      </c>
      <c r="E15" t="n">
        <v>926</v>
      </c>
      <c r="F15" t="n">
        <v>98105.42</v>
      </c>
      <c r="G15" t="n">
        <v>9</v>
      </c>
      <c r="H15" t="inlineStr">
        <is>
          <t>Long Range</t>
        </is>
      </c>
      <c r="I15" t="inlineStr">
        <is>
          <t>RWD</t>
        </is>
      </c>
      <c r="J15" t="inlineStr">
        <is>
          <t>Silver</t>
        </is>
      </c>
      <c r="K15" t="n">
        <v>457</v>
      </c>
      <c r="L15" t="n">
        <v>75</v>
      </c>
      <c r="M15" t="n">
        <v>17.11</v>
      </c>
      <c r="N15" t="n">
        <v>1736.24</v>
      </c>
      <c r="O15" t="n">
        <v>4.78</v>
      </c>
      <c r="P15" t="n">
        <v>8</v>
      </c>
      <c r="Q15" t="n">
        <v>2</v>
      </c>
      <c r="R15" t="n">
        <v>2020.2</v>
      </c>
      <c r="S15" t="b">
        <v>0</v>
      </c>
      <c r="T15" t="n">
        <v>2420961</v>
      </c>
      <c r="U15" t="n">
        <v>2</v>
      </c>
      <c r="V15" t="n">
        <v>0.0103</v>
      </c>
      <c r="W15" t="n">
        <v>2.04</v>
      </c>
      <c r="X15" t="n">
        <v>79.11</v>
      </c>
      <c r="Y15">
        <f>VLOOKUP(D15,$AB$2:$AC$7,2,FALSE)</f>
        <v/>
      </c>
      <c r="Z15">
        <f>IF(A15&lt;Y15,"Yes","No")</f>
        <v/>
      </c>
    </row>
    <row r="16">
      <c r="A16" t="n">
        <v>2016</v>
      </c>
      <c r="B16" t="inlineStr">
        <is>
          <t>Q2</t>
        </is>
      </c>
      <c r="C16" t="inlineStr">
        <is>
          <t>Australia</t>
        </is>
      </c>
      <c r="D16" t="inlineStr">
        <is>
          <t>Cybertruck</t>
        </is>
      </c>
      <c r="E16" t="n">
        <v>3553</v>
      </c>
      <c r="F16" t="n">
        <v>82677.08</v>
      </c>
      <c r="G16" t="n">
        <v>7</v>
      </c>
      <c r="H16" t="inlineStr">
        <is>
          <t>Standard</t>
        </is>
      </c>
      <c r="I16" t="inlineStr">
        <is>
          <t>AWD</t>
        </is>
      </c>
      <c r="J16" t="inlineStr">
        <is>
          <t>Silver</t>
        </is>
      </c>
      <c r="K16" t="n">
        <v>368</v>
      </c>
      <c r="L16" t="n">
        <v>83</v>
      </c>
      <c r="M16" t="n">
        <v>17.43</v>
      </c>
      <c r="N16" t="n">
        <v>5702.74</v>
      </c>
      <c r="O16" t="n">
        <v>4.14</v>
      </c>
      <c r="P16" t="n">
        <v>4</v>
      </c>
      <c r="Q16" t="n">
        <v>2</v>
      </c>
      <c r="R16" t="n">
        <v>2022.1</v>
      </c>
      <c r="S16" t="b">
        <v>0</v>
      </c>
      <c r="T16" t="n">
        <v>1862249</v>
      </c>
      <c r="U16" t="n">
        <v>12</v>
      </c>
      <c r="V16" t="n">
        <v>0.0325</v>
      </c>
      <c r="W16" t="n">
        <v>0.71</v>
      </c>
      <c r="X16" t="n">
        <v>83.40000000000001</v>
      </c>
      <c r="Y16">
        <f>VLOOKUP(D16,$AB$2:$AC$7,2,FALSE)</f>
        <v/>
      </c>
      <c r="Z16">
        <f>IF(A16&lt;Y16,"Yes","No")</f>
        <v/>
      </c>
    </row>
    <row r="17">
      <c r="A17" t="n">
        <v>2018</v>
      </c>
      <c r="B17" t="inlineStr">
        <is>
          <t>Q2</t>
        </is>
      </c>
      <c r="C17" t="inlineStr">
        <is>
          <t>Europe</t>
        </is>
      </c>
      <c r="D17" t="inlineStr">
        <is>
          <t>Model 3</t>
        </is>
      </c>
      <c r="E17" t="n">
        <v>1500</v>
      </c>
      <c r="F17" t="n">
        <v>109920.38</v>
      </c>
      <c r="G17" t="n">
        <v>1</v>
      </c>
      <c r="H17" t="inlineStr">
        <is>
          <t>Standard</t>
        </is>
      </c>
      <c r="I17" t="inlineStr">
        <is>
          <t>RWD</t>
        </is>
      </c>
      <c r="J17" t="inlineStr">
        <is>
          <t>Blue</t>
        </is>
      </c>
      <c r="K17" t="n">
        <v>692</v>
      </c>
      <c r="L17" t="n">
        <v>85</v>
      </c>
      <c r="M17" t="n">
        <v>21.82</v>
      </c>
      <c r="N17" t="n">
        <v>1494.5</v>
      </c>
      <c r="O17" t="n">
        <v>3.74</v>
      </c>
      <c r="P17" t="n">
        <v>4</v>
      </c>
      <c r="Q17" t="n">
        <v>3</v>
      </c>
      <c r="R17" t="n">
        <v>2020.8</v>
      </c>
      <c r="S17" t="b">
        <v>1</v>
      </c>
      <c r="T17" t="n">
        <v>1774138</v>
      </c>
      <c r="U17" t="n">
        <v>9</v>
      </c>
      <c r="V17" t="n">
        <v>0.0415</v>
      </c>
      <c r="W17" t="n">
        <v>2.14</v>
      </c>
      <c r="X17" t="n">
        <v>86.14</v>
      </c>
      <c r="Y17">
        <f>VLOOKUP(D17,$AB$2:$AC$7,2,FALSE)</f>
        <v/>
      </c>
      <c r="Z17">
        <f>IF(A17&lt;Y17,"Yes","No")</f>
        <v/>
      </c>
    </row>
    <row r="18">
      <c r="A18" t="n">
        <v>2015</v>
      </c>
      <c r="B18" t="inlineStr">
        <is>
          <t>Q1</t>
        </is>
      </c>
      <c r="C18" t="inlineStr">
        <is>
          <t>Europe</t>
        </is>
      </c>
      <c r="D18" t="inlineStr">
        <is>
          <t>Model Y</t>
        </is>
      </c>
      <c r="E18" t="n">
        <v>2739</v>
      </c>
      <c r="F18" t="n">
        <v>58681.26</v>
      </c>
      <c r="G18" t="n">
        <v>4</v>
      </c>
      <c r="H18" t="inlineStr">
        <is>
          <t>Long Range</t>
        </is>
      </c>
      <c r="I18" t="inlineStr">
        <is>
          <t>RWD</t>
        </is>
      </c>
      <c r="J18" t="inlineStr">
        <is>
          <t>Green</t>
        </is>
      </c>
      <c r="K18" t="n">
        <v>610</v>
      </c>
      <c r="L18" t="n">
        <v>55</v>
      </c>
      <c r="M18" t="n">
        <v>21.15</v>
      </c>
      <c r="N18" t="n">
        <v>5991.08</v>
      </c>
      <c r="O18" t="n">
        <v>4</v>
      </c>
      <c r="P18" t="n">
        <v>4</v>
      </c>
      <c r="Q18" t="n">
        <v>0</v>
      </c>
      <c r="R18" t="n">
        <v>2022.3</v>
      </c>
      <c r="S18" t="b">
        <v>0</v>
      </c>
      <c r="T18" t="n">
        <v>420924</v>
      </c>
      <c r="U18" t="n">
        <v>3</v>
      </c>
      <c r="V18" t="n">
        <v>0.06370000000000001</v>
      </c>
      <c r="W18" t="n">
        <v>1.19</v>
      </c>
      <c r="X18" t="n">
        <v>83.59</v>
      </c>
      <c r="Y18">
        <f>VLOOKUP(D18,$AB$2:$AC$7,2,FALSE)</f>
        <v/>
      </c>
      <c r="Z18">
        <f>IF(A18&lt;Y18,"Yes","No")</f>
        <v/>
      </c>
    </row>
    <row r="19">
      <c r="A19" t="n">
        <v>2018</v>
      </c>
      <c r="B19" t="inlineStr">
        <is>
          <t>Q1</t>
        </is>
      </c>
      <c r="C19" t="inlineStr">
        <is>
          <t>Australia</t>
        </is>
      </c>
      <c r="D19" t="inlineStr">
        <is>
          <t>Cybertruck</t>
        </is>
      </c>
      <c r="E19" t="n">
        <v>1607</v>
      </c>
      <c r="F19" t="n">
        <v>56651.41</v>
      </c>
      <c r="G19" t="n">
        <v>45</v>
      </c>
      <c r="H19" t="inlineStr">
        <is>
          <t>Long Range</t>
        </is>
      </c>
      <c r="I19" t="inlineStr">
        <is>
          <t>AWD</t>
        </is>
      </c>
      <c r="J19" t="inlineStr">
        <is>
          <t>Silver</t>
        </is>
      </c>
      <c r="K19" t="n">
        <v>625</v>
      </c>
      <c r="L19" t="n">
        <v>73</v>
      </c>
      <c r="M19" t="n">
        <v>21.63</v>
      </c>
      <c r="N19" t="n">
        <v>3188.13</v>
      </c>
      <c r="O19" t="n">
        <v>4.51</v>
      </c>
      <c r="P19" t="n">
        <v>6</v>
      </c>
      <c r="Q19" t="n">
        <v>3</v>
      </c>
      <c r="R19" t="n">
        <v>2020.11</v>
      </c>
      <c r="S19" t="b">
        <v>0</v>
      </c>
      <c r="T19" t="n">
        <v>2733315</v>
      </c>
      <c r="U19" t="n">
        <v>12</v>
      </c>
      <c r="V19" t="n">
        <v>0.0863</v>
      </c>
      <c r="W19" t="n">
        <v>1.94</v>
      </c>
      <c r="X19" t="n">
        <v>69.01000000000001</v>
      </c>
      <c r="Y19">
        <f>VLOOKUP(D19,$AB$2:$AC$7,2,FALSE)</f>
        <v/>
      </c>
      <c r="Z19">
        <f>IF(A19&lt;Y19,"Yes","No")</f>
        <v/>
      </c>
    </row>
    <row r="20">
      <c r="A20" t="n">
        <v>2016</v>
      </c>
      <c r="B20" t="inlineStr">
        <is>
          <t>Q4</t>
        </is>
      </c>
      <c r="C20" t="inlineStr">
        <is>
          <t>Asia</t>
        </is>
      </c>
      <c r="D20" t="inlineStr">
        <is>
          <t>Model Y</t>
        </is>
      </c>
      <c r="E20" t="n">
        <v>2472</v>
      </c>
      <c r="F20" t="n">
        <v>82125.06</v>
      </c>
      <c r="G20" t="n">
        <v>12</v>
      </c>
      <c r="H20" t="inlineStr">
        <is>
          <t>Long Range</t>
        </is>
      </c>
      <c r="I20" t="inlineStr">
        <is>
          <t>RWD</t>
        </is>
      </c>
      <c r="J20" t="inlineStr">
        <is>
          <t>Green</t>
        </is>
      </c>
      <c r="K20" t="n">
        <v>439</v>
      </c>
      <c r="L20" t="n">
        <v>69</v>
      </c>
      <c r="M20" t="n">
        <v>19.83</v>
      </c>
      <c r="N20" t="n">
        <v>3243.64</v>
      </c>
      <c r="O20" t="n">
        <v>4.75</v>
      </c>
      <c r="P20" t="n">
        <v>6</v>
      </c>
      <c r="Q20" t="n">
        <v>2</v>
      </c>
      <c r="R20" t="n">
        <v>2021.7</v>
      </c>
      <c r="S20" t="b">
        <v>0</v>
      </c>
      <c r="T20" t="n">
        <v>4000603</v>
      </c>
      <c r="U20" t="n">
        <v>9</v>
      </c>
      <c r="V20" t="n">
        <v>0.0498</v>
      </c>
      <c r="W20" t="n">
        <v>0.93</v>
      </c>
      <c r="X20" t="n">
        <v>74.2</v>
      </c>
      <c r="Y20">
        <f>VLOOKUP(D20,$AB$2:$AC$7,2,FALSE)</f>
        <v/>
      </c>
      <c r="Z20">
        <f>IF(A20&lt;Y20,"Yes","No")</f>
        <v/>
      </c>
    </row>
    <row r="21">
      <c r="A21" t="n">
        <v>2024</v>
      </c>
      <c r="B21" t="inlineStr">
        <is>
          <t>Q2</t>
        </is>
      </c>
      <c r="C21" t="inlineStr">
        <is>
          <t>North America</t>
        </is>
      </c>
      <c r="D21" t="inlineStr">
        <is>
          <t>Model X</t>
        </is>
      </c>
      <c r="E21" t="n">
        <v>4272</v>
      </c>
      <c r="F21" t="n">
        <v>91427.58</v>
      </c>
      <c r="G21" t="n">
        <v>39</v>
      </c>
      <c r="H21" t="inlineStr">
        <is>
          <t>Long Range</t>
        </is>
      </c>
      <c r="I21" t="inlineStr">
        <is>
          <t>AWD</t>
        </is>
      </c>
      <c r="J21" t="inlineStr">
        <is>
          <t>Black</t>
        </is>
      </c>
      <c r="K21" t="n">
        <v>694</v>
      </c>
      <c r="L21" t="n">
        <v>49</v>
      </c>
      <c r="M21" t="n">
        <v>15.7</v>
      </c>
      <c r="N21" t="n">
        <v>3837.37</v>
      </c>
      <c r="O21" t="n">
        <v>3.54</v>
      </c>
      <c r="P21" t="n">
        <v>5</v>
      </c>
      <c r="Q21" t="n">
        <v>3</v>
      </c>
      <c r="R21" t="n">
        <v>2024.2</v>
      </c>
      <c r="S21" t="b">
        <v>0</v>
      </c>
      <c r="T21" t="n">
        <v>3576583</v>
      </c>
      <c r="U21" t="n">
        <v>12</v>
      </c>
      <c r="V21" t="n">
        <v>0.0618</v>
      </c>
      <c r="W21" t="n">
        <v>1.94</v>
      </c>
      <c r="X21" t="n">
        <v>71.52</v>
      </c>
      <c r="Y21">
        <f>VLOOKUP(D21,$AB$2:$AC$7,2,FALSE)</f>
        <v/>
      </c>
      <c r="Z21">
        <f>IF(A21&lt;Y21,"Yes","No")</f>
        <v/>
      </c>
    </row>
    <row r="22">
      <c r="A22" t="n">
        <v>2018</v>
      </c>
      <c r="B22" t="inlineStr">
        <is>
          <t>Q2</t>
        </is>
      </c>
      <c r="C22" t="inlineStr">
        <is>
          <t>Europe</t>
        </is>
      </c>
      <c r="D22" t="inlineStr">
        <is>
          <t>Semi</t>
        </is>
      </c>
      <c r="E22" t="n">
        <v>95</v>
      </c>
      <c r="F22" t="n">
        <v>110876.09</v>
      </c>
      <c r="G22" t="n">
        <v>55</v>
      </c>
      <c r="H22" t="inlineStr">
        <is>
          <t>Standard</t>
        </is>
      </c>
      <c r="I22" t="inlineStr">
        <is>
          <t>RWD</t>
        </is>
      </c>
      <c r="J22" t="inlineStr">
        <is>
          <t>Black</t>
        </is>
      </c>
      <c r="K22" t="n">
        <v>440</v>
      </c>
      <c r="L22" t="n">
        <v>81</v>
      </c>
      <c r="M22" t="n">
        <v>24.5</v>
      </c>
      <c r="N22" t="n">
        <v>145.91</v>
      </c>
      <c r="O22" t="n">
        <v>3.58</v>
      </c>
      <c r="P22" t="n">
        <v>5</v>
      </c>
      <c r="Q22" t="n">
        <v>0</v>
      </c>
      <c r="R22" t="n">
        <v>2023.3</v>
      </c>
      <c r="S22" t="b">
        <v>0</v>
      </c>
      <c r="T22" t="n">
        <v>4555457</v>
      </c>
      <c r="U22" t="n">
        <v>10</v>
      </c>
      <c r="V22" t="n">
        <v>0.0636</v>
      </c>
      <c r="W22" t="n">
        <v>2.4</v>
      </c>
      <c r="X22" t="n">
        <v>86.73999999999999</v>
      </c>
      <c r="Y22">
        <f>VLOOKUP(D22,$AB$2:$AC$7,2,FALSE)</f>
        <v/>
      </c>
      <c r="Z22">
        <f>IF(A22&lt;Y22,"Yes","No")</f>
        <v/>
      </c>
    </row>
    <row r="23">
      <c r="A23" t="n">
        <v>2021</v>
      </c>
      <c r="B23" t="inlineStr">
        <is>
          <t>Q4</t>
        </is>
      </c>
      <c r="C23" t="inlineStr">
        <is>
          <t>South America</t>
        </is>
      </c>
      <c r="D23" t="inlineStr">
        <is>
          <t>Model Y</t>
        </is>
      </c>
      <c r="E23" t="n">
        <v>1353</v>
      </c>
      <c r="F23" t="n">
        <v>98210.71000000001</v>
      </c>
      <c r="G23" t="n">
        <v>30</v>
      </c>
      <c r="H23" t="inlineStr">
        <is>
          <t>Long Range</t>
        </is>
      </c>
      <c r="I23" t="inlineStr">
        <is>
          <t>RWD</t>
        </is>
      </c>
      <c r="J23" t="inlineStr">
        <is>
          <t>Black</t>
        </is>
      </c>
      <c r="K23" t="n">
        <v>676</v>
      </c>
      <c r="L23" t="n">
        <v>47</v>
      </c>
      <c r="M23" t="n">
        <v>22.19</v>
      </c>
      <c r="N23" t="n">
        <v>2087.14</v>
      </c>
      <c r="O23" t="n">
        <v>4.44</v>
      </c>
      <c r="P23" t="n">
        <v>6</v>
      </c>
      <c r="Q23" t="n">
        <v>3</v>
      </c>
      <c r="R23" t="n">
        <v>2020.12</v>
      </c>
      <c r="S23" t="b">
        <v>0</v>
      </c>
      <c r="T23" t="n">
        <v>2067074</v>
      </c>
      <c r="U23" t="n">
        <v>6</v>
      </c>
      <c r="V23" t="n">
        <v>0.0402</v>
      </c>
      <c r="W23" t="n">
        <v>2.29</v>
      </c>
      <c r="X23" t="n">
        <v>62.42</v>
      </c>
      <c r="Y23">
        <f>VLOOKUP(D23,$AB$2:$AC$7,2,FALSE)</f>
        <v/>
      </c>
      <c r="Z23">
        <f>IF(A23&lt;Y23,"Yes","No")</f>
        <v/>
      </c>
    </row>
    <row r="24">
      <c r="A24" t="n">
        <v>2014</v>
      </c>
      <c r="B24" t="inlineStr">
        <is>
          <t>Q2</t>
        </is>
      </c>
      <c r="C24" t="inlineStr">
        <is>
          <t>Australia</t>
        </is>
      </c>
      <c r="D24" t="inlineStr">
        <is>
          <t>Semi</t>
        </is>
      </c>
      <c r="E24" t="n">
        <v>1301</v>
      </c>
      <c r="F24" t="n">
        <v>95045.63</v>
      </c>
      <c r="G24" t="n">
        <v>4</v>
      </c>
      <c r="H24" t="inlineStr">
        <is>
          <t>Long Range</t>
        </is>
      </c>
      <c r="I24" t="inlineStr">
        <is>
          <t>RWD</t>
        </is>
      </c>
      <c r="J24" t="inlineStr">
        <is>
          <t>White</t>
        </is>
      </c>
      <c r="K24" t="n">
        <v>627</v>
      </c>
      <c r="L24" t="n">
        <v>59</v>
      </c>
      <c r="M24" t="n">
        <v>17.99</v>
      </c>
      <c r="N24" t="n">
        <v>1188.68</v>
      </c>
      <c r="O24" t="n">
        <v>4.13</v>
      </c>
      <c r="P24" t="n">
        <v>4</v>
      </c>
      <c r="Q24" t="n">
        <v>3</v>
      </c>
      <c r="R24" t="n">
        <v>2023.1</v>
      </c>
      <c r="S24" t="b">
        <v>0</v>
      </c>
      <c r="T24" t="n">
        <v>2604944</v>
      </c>
      <c r="U24" t="n">
        <v>8</v>
      </c>
      <c r="V24" t="n">
        <v>0.0868</v>
      </c>
      <c r="W24" t="n">
        <v>2.41</v>
      </c>
      <c r="X24" t="n">
        <v>72.56999999999999</v>
      </c>
      <c r="Y24">
        <f>VLOOKUP(D24,$AB$2:$AC$7,2,FALSE)</f>
        <v/>
      </c>
      <c r="Z24">
        <f>IF(A24&lt;Y24,"Yes","No")</f>
        <v/>
      </c>
    </row>
    <row r="25">
      <c r="A25" t="n">
        <v>2023</v>
      </c>
      <c r="B25" t="inlineStr">
        <is>
          <t>Q2</t>
        </is>
      </c>
      <c r="C25" t="inlineStr">
        <is>
          <t>Australia</t>
        </is>
      </c>
      <c r="D25" t="inlineStr">
        <is>
          <t>Model 3</t>
        </is>
      </c>
      <c r="E25" t="n">
        <v>2285</v>
      </c>
      <c r="F25" t="n">
        <v>72046.06</v>
      </c>
      <c r="G25" t="n">
        <v>1</v>
      </c>
      <c r="H25" t="inlineStr">
        <is>
          <t>Long Range</t>
        </is>
      </c>
      <c r="I25" t="inlineStr">
        <is>
          <t>RWD</t>
        </is>
      </c>
      <c r="J25" t="inlineStr">
        <is>
          <t>Green</t>
        </is>
      </c>
      <c r="K25" t="n">
        <v>697</v>
      </c>
      <c r="L25" t="n">
        <v>81</v>
      </c>
      <c r="M25" t="n">
        <v>17.85</v>
      </c>
      <c r="N25" t="n">
        <v>1896.75</v>
      </c>
      <c r="O25" t="n">
        <v>4.2</v>
      </c>
      <c r="P25" t="n">
        <v>5</v>
      </c>
      <c r="Q25" t="n">
        <v>0</v>
      </c>
      <c r="R25" t="n">
        <v>2023.1</v>
      </c>
      <c r="S25" t="b">
        <v>1</v>
      </c>
      <c r="T25" t="n">
        <v>804202</v>
      </c>
      <c r="U25" t="n">
        <v>12</v>
      </c>
      <c r="V25" t="n">
        <v>0.0486</v>
      </c>
      <c r="W25" t="n">
        <v>2.23</v>
      </c>
      <c r="X25" t="n">
        <v>65.45</v>
      </c>
      <c r="Y25">
        <f>VLOOKUP(D25,$AB$2:$AC$7,2,FALSE)</f>
        <v/>
      </c>
      <c r="Z25">
        <f>IF(A25&lt;Y25,"Yes","No")</f>
        <v/>
      </c>
    </row>
    <row r="26">
      <c r="A26" t="n">
        <v>2016</v>
      </c>
      <c r="B26" t="inlineStr">
        <is>
          <t>Q4</t>
        </is>
      </c>
      <c r="C26" t="inlineStr">
        <is>
          <t>Asia</t>
        </is>
      </c>
      <c r="D26" t="inlineStr">
        <is>
          <t>Model 3</t>
        </is>
      </c>
      <c r="E26" t="n">
        <v>3774</v>
      </c>
      <c r="F26" t="n">
        <v>62781.89</v>
      </c>
      <c r="G26" t="n">
        <v>48</v>
      </c>
      <c r="H26" t="inlineStr">
        <is>
          <t>Long Range</t>
        </is>
      </c>
      <c r="I26" t="inlineStr">
        <is>
          <t>RWD</t>
        </is>
      </c>
      <c r="J26" t="inlineStr">
        <is>
          <t>Blue</t>
        </is>
      </c>
      <c r="K26" t="n">
        <v>479</v>
      </c>
      <c r="L26" t="n">
        <v>83</v>
      </c>
      <c r="M26" t="n">
        <v>13.98</v>
      </c>
      <c r="N26" t="n">
        <v>2033.31</v>
      </c>
      <c r="O26" t="n">
        <v>4.31</v>
      </c>
      <c r="P26" t="n">
        <v>6</v>
      </c>
      <c r="Q26" t="n">
        <v>1</v>
      </c>
      <c r="R26" t="n">
        <v>2020.11</v>
      </c>
      <c r="S26" t="b">
        <v>1</v>
      </c>
      <c r="T26" t="n">
        <v>360298</v>
      </c>
      <c r="U26" t="n">
        <v>5</v>
      </c>
      <c r="V26" t="n">
        <v>0.0279</v>
      </c>
      <c r="W26" t="n">
        <v>0.54</v>
      </c>
      <c r="X26" t="n">
        <v>64.56999999999999</v>
      </c>
      <c r="Y26">
        <f>VLOOKUP(D26,$AB$2:$AC$7,2,FALSE)</f>
        <v/>
      </c>
      <c r="Z26">
        <f>IF(A26&lt;Y26,"Yes","No")</f>
        <v/>
      </c>
    </row>
    <row r="27">
      <c r="A27" t="n">
        <v>2014</v>
      </c>
      <c r="B27" t="inlineStr">
        <is>
          <t>Q4</t>
        </is>
      </c>
      <c r="C27" t="inlineStr">
        <is>
          <t>North America</t>
        </is>
      </c>
      <c r="D27" t="inlineStr">
        <is>
          <t>Cybertruck</t>
        </is>
      </c>
      <c r="E27" t="n">
        <v>1835</v>
      </c>
      <c r="F27" t="n">
        <v>74527.89</v>
      </c>
      <c r="G27" t="n">
        <v>16</v>
      </c>
      <c r="H27" t="inlineStr">
        <is>
          <t>Long Range</t>
        </is>
      </c>
      <c r="I27" t="inlineStr">
        <is>
          <t>AWD</t>
        </is>
      </c>
      <c r="J27" t="inlineStr">
        <is>
          <t>Silver</t>
        </is>
      </c>
      <c r="K27" t="n">
        <v>660</v>
      </c>
      <c r="L27" t="n">
        <v>77</v>
      </c>
      <c r="M27" t="n">
        <v>21.62</v>
      </c>
      <c r="N27" t="n">
        <v>3772</v>
      </c>
      <c r="O27" t="n">
        <v>3.75</v>
      </c>
      <c r="P27" t="n">
        <v>6</v>
      </c>
      <c r="Q27" t="n">
        <v>0</v>
      </c>
      <c r="R27" t="n">
        <v>2024.1</v>
      </c>
      <c r="S27" t="b">
        <v>0</v>
      </c>
      <c r="T27" t="n">
        <v>4930133</v>
      </c>
      <c r="U27" t="n">
        <v>12</v>
      </c>
      <c r="V27" t="n">
        <v>0.0917</v>
      </c>
      <c r="W27" t="n">
        <v>1.25</v>
      </c>
      <c r="X27" t="n">
        <v>88.23999999999999</v>
      </c>
      <c r="Y27">
        <f>VLOOKUP(D27,$AB$2:$AC$7,2,FALSE)</f>
        <v/>
      </c>
      <c r="Z27">
        <f>IF(A27&lt;Y27,"Yes","No")</f>
        <v/>
      </c>
    </row>
    <row r="28">
      <c r="A28" t="n">
        <v>2015</v>
      </c>
      <c r="B28" t="inlineStr">
        <is>
          <t>Q1</t>
        </is>
      </c>
      <c r="C28" t="inlineStr">
        <is>
          <t>South America</t>
        </is>
      </c>
      <c r="D28" t="inlineStr">
        <is>
          <t>Semi</t>
        </is>
      </c>
      <c r="E28" t="n">
        <v>2039</v>
      </c>
      <c r="F28" t="n">
        <v>43661.61</v>
      </c>
      <c r="G28" t="n">
        <v>49</v>
      </c>
      <c r="H28" t="inlineStr">
        <is>
          <t>Long Range</t>
        </is>
      </c>
      <c r="I28" t="inlineStr">
        <is>
          <t>AWD</t>
        </is>
      </c>
      <c r="J28" t="inlineStr">
        <is>
          <t>Silver</t>
        </is>
      </c>
      <c r="K28" t="n">
        <v>371</v>
      </c>
      <c r="L28" t="n">
        <v>52</v>
      </c>
      <c r="M28" t="n">
        <v>19.39</v>
      </c>
      <c r="N28" t="n">
        <v>3717.18</v>
      </c>
      <c r="O28" t="n">
        <v>3.6</v>
      </c>
      <c r="P28" t="n">
        <v>6</v>
      </c>
      <c r="Q28" t="n">
        <v>0</v>
      </c>
      <c r="R28" t="n">
        <v>2023.8</v>
      </c>
      <c r="S28" t="b">
        <v>1</v>
      </c>
      <c r="T28" t="n">
        <v>3736657</v>
      </c>
      <c r="U28" t="n">
        <v>7</v>
      </c>
      <c r="V28" t="n">
        <v>0.0672</v>
      </c>
      <c r="W28" t="n">
        <v>2.16</v>
      </c>
      <c r="X28" t="n">
        <v>81.22</v>
      </c>
      <c r="Y28">
        <f>VLOOKUP(D28,$AB$2:$AC$7,2,FALSE)</f>
        <v/>
      </c>
      <c r="Z28">
        <f>IF(A28&lt;Y28,"Yes","No")</f>
        <v/>
      </c>
    </row>
    <row r="29">
      <c r="A29" t="n">
        <v>2018</v>
      </c>
      <c r="B29" t="inlineStr">
        <is>
          <t>Q2</t>
        </is>
      </c>
      <c r="C29" t="inlineStr">
        <is>
          <t>South America</t>
        </is>
      </c>
      <c r="D29" t="inlineStr">
        <is>
          <t>Semi</t>
        </is>
      </c>
      <c r="E29" t="n">
        <v>2262</v>
      </c>
      <c r="F29" t="n">
        <v>87352.55</v>
      </c>
      <c r="G29" t="n">
        <v>58</v>
      </c>
      <c r="H29" t="inlineStr">
        <is>
          <t>Performance</t>
        </is>
      </c>
      <c r="I29" t="inlineStr">
        <is>
          <t>RWD</t>
        </is>
      </c>
      <c r="J29" t="inlineStr">
        <is>
          <t>Blue</t>
        </is>
      </c>
      <c r="K29" t="n">
        <v>573</v>
      </c>
      <c r="L29" t="n">
        <v>82</v>
      </c>
      <c r="M29" t="n">
        <v>21.77</v>
      </c>
      <c r="N29" t="n">
        <v>2345.22</v>
      </c>
      <c r="O29" t="n">
        <v>4.78</v>
      </c>
      <c r="P29" t="n">
        <v>4</v>
      </c>
      <c r="Q29" t="n">
        <v>2</v>
      </c>
      <c r="R29" t="n">
        <v>2023.4</v>
      </c>
      <c r="S29" t="b">
        <v>0</v>
      </c>
      <c r="T29" t="n">
        <v>4880245</v>
      </c>
      <c r="U29" t="n">
        <v>11</v>
      </c>
      <c r="V29" t="n">
        <v>0.0701</v>
      </c>
      <c r="W29" t="n">
        <v>1.17</v>
      </c>
      <c r="X29" t="n">
        <v>74.83</v>
      </c>
      <c r="Y29">
        <f>VLOOKUP(D29,$AB$2:$AC$7,2,FALSE)</f>
        <v/>
      </c>
      <c r="Z29">
        <f>IF(A29&lt;Y29,"Yes","No")</f>
        <v/>
      </c>
    </row>
    <row r="30">
      <c r="A30" t="n">
        <v>2017</v>
      </c>
      <c r="B30" t="inlineStr">
        <is>
          <t>Q2</t>
        </is>
      </c>
      <c r="C30" t="inlineStr">
        <is>
          <t>Australia</t>
        </is>
      </c>
      <c r="D30" t="inlineStr">
        <is>
          <t>Model 3</t>
        </is>
      </c>
      <c r="E30" t="n">
        <v>2956</v>
      </c>
      <c r="F30" t="n">
        <v>102815.75</v>
      </c>
      <c r="G30" t="n">
        <v>21</v>
      </c>
      <c r="H30" t="inlineStr">
        <is>
          <t>Long Range</t>
        </is>
      </c>
      <c r="I30" t="inlineStr">
        <is>
          <t>RWD</t>
        </is>
      </c>
      <c r="J30" t="inlineStr">
        <is>
          <t>Silver</t>
        </is>
      </c>
      <c r="K30" t="n">
        <v>355</v>
      </c>
      <c r="L30" t="n">
        <v>63</v>
      </c>
      <c r="M30" t="n">
        <v>24.38</v>
      </c>
      <c r="N30" t="n">
        <v>1984.14</v>
      </c>
      <c r="O30" t="n">
        <v>4.58</v>
      </c>
      <c r="P30" t="n">
        <v>8</v>
      </c>
      <c r="Q30" t="n">
        <v>1</v>
      </c>
      <c r="R30" t="n">
        <v>2023.11</v>
      </c>
      <c r="S30" t="b">
        <v>0</v>
      </c>
      <c r="T30" t="n">
        <v>3859560</v>
      </c>
      <c r="U30" t="n">
        <v>2</v>
      </c>
      <c r="V30" t="n">
        <v>0.0184</v>
      </c>
      <c r="W30" t="n">
        <v>0.9399999999999999</v>
      </c>
      <c r="X30" t="n">
        <v>80.75</v>
      </c>
      <c r="Y30">
        <f>VLOOKUP(D30,$AB$2:$AC$7,2,FALSE)</f>
        <v/>
      </c>
      <c r="Z30">
        <f>IF(A30&lt;Y30,"Yes","No")</f>
        <v/>
      </c>
    </row>
    <row r="31">
      <c r="A31" t="n">
        <v>2016</v>
      </c>
      <c r="B31" t="inlineStr">
        <is>
          <t>Q3</t>
        </is>
      </c>
      <c r="C31" t="inlineStr">
        <is>
          <t>Australia</t>
        </is>
      </c>
      <c r="D31" t="inlineStr">
        <is>
          <t>Cybertruck</t>
        </is>
      </c>
      <c r="E31" t="n">
        <v>4399</v>
      </c>
      <c r="F31" t="n">
        <v>64219.38</v>
      </c>
      <c r="G31" t="n">
        <v>47</v>
      </c>
      <c r="H31" t="inlineStr">
        <is>
          <t>Performance</t>
        </is>
      </c>
      <c r="I31" t="inlineStr">
        <is>
          <t>RWD</t>
        </is>
      </c>
      <c r="J31" t="inlineStr">
        <is>
          <t>White</t>
        </is>
      </c>
      <c r="K31" t="n">
        <v>582</v>
      </c>
      <c r="L31" t="n">
        <v>47</v>
      </c>
      <c r="M31" t="n">
        <v>16.68</v>
      </c>
      <c r="N31" t="n">
        <v>4227.77</v>
      </c>
      <c r="O31" t="n">
        <v>4.58</v>
      </c>
      <c r="P31" t="n">
        <v>6</v>
      </c>
      <c r="Q31" t="n">
        <v>0</v>
      </c>
      <c r="R31" t="n">
        <v>2024.12</v>
      </c>
      <c r="S31" t="b">
        <v>1</v>
      </c>
      <c r="T31" t="n">
        <v>1706762</v>
      </c>
      <c r="U31" t="n">
        <v>5</v>
      </c>
      <c r="V31" t="n">
        <v>0.0765</v>
      </c>
      <c r="W31" t="n">
        <v>1.05</v>
      </c>
      <c r="X31" t="n">
        <v>77.69</v>
      </c>
      <c r="Y31">
        <f>VLOOKUP(D31,$AB$2:$AC$7,2,FALSE)</f>
        <v/>
      </c>
      <c r="Z31">
        <f>IF(A31&lt;Y31,"Yes","No")</f>
        <v/>
      </c>
    </row>
    <row r="32">
      <c r="A32" t="n">
        <v>2024</v>
      </c>
      <c r="B32" t="inlineStr">
        <is>
          <t>Q3</t>
        </is>
      </c>
      <c r="C32" t="inlineStr">
        <is>
          <t>North America</t>
        </is>
      </c>
      <c r="D32" t="inlineStr">
        <is>
          <t>Model 3</t>
        </is>
      </c>
      <c r="E32" t="n">
        <v>2476</v>
      </c>
      <c r="F32" t="n">
        <v>54336.07</v>
      </c>
      <c r="G32" t="n">
        <v>11</v>
      </c>
      <c r="H32" t="inlineStr">
        <is>
          <t>Long Range</t>
        </is>
      </c>
      <c r="I32" t="inlineStr">
        <is>
          <t>AWD</t>
        </is>
      </c>
      <c r="J32" t="inlineStr">
        <is>
          <t>Green</t>
        </is>
      </c>
      <c r="K32" t="n">
        <v>623</v>
      </c>
      <c r="L32" t="n">
        <v>38</v>
      </c>
      <c r="M32" t="n">
        <v>16.29</v>
      </c>
      <c r="N32" t="n">
        <v>6062.71</v>
      </c>
      <c r="O32" t="n">
        <v>4.33</v>
      </c>
      <c r="P32" t="n">
        <v>5</v>
      </c>
      <c r="Q32" t="n">
        <v>3</v>
      </c>
      <c r="R32" t="n">
        <v>2020.1</v>
      </c>
      <c r="S32" t="b">
        <v>0</v>
      </c>
      <c r="T32" t="n">
        <v>4037586</v>
      </c>
      <c r="U32" t="n">
        <v>9</v>
      </c>
      <c r="V32" t="n">
        <v>0.0496</v>
      </c>
      <c r="W32" t="n">
        <v>0.87</v>
      </c>
      <c r="X32" t="n">
        <v>61.54</v>
      </c>
      <c r="Y32">
        <f>VLOOKUP(D32,$AB$2:$AC$7,2,FALSE)</f>
        <v/>
      </c>
      <c r="Z32">
        <f>IF(A32&lt;Y32,"Yes","No")</f>
        <v/>
      </c>
    </row>
    <row r="33">
      <c r="A33" t="n">
        <v>2019</v>
      </c>
      <c r="B33" t="inlineStr">
        <is>
          <t>Q1</t>
        </is>
      </c>
      <c r="C33" t="inlineStr">
        <is>
          <t>North America</t>
        </is>
      </c>
      <c r="D33" t="inlineStr">
        <is>
          <t>Model Y</t>
        </is>
      </c>
      <c r="E33" t="n">
        <v>4078</v>
      </c>
      <c r="F33" t="n">
        <v>41296.98</v>
      </c>
      <c r="G33" t="n">
        <v>40</v>
      </c>
      <c r="H33" t="inlineStr">
        <is>
          <t>Performance</t>
        </is>
      </c>
      <c r="I33" t="inlineStr">
        <is>
          <t>AWD</t>
        </is>
      </c>
      <c r="J33" t="inlineStr">
        <is>
          <t>Black</t>
        </is>
      </c>
      <c r="K33" t="n">
        <v>426</v>
      </c>
      <c r="L33" t="n">
        <v>81</v>
      </c>
      <c r="M33" t="n">
        <v>19.75</v>
      </c>
      <c r="N33" t="n">
        <v>4517.08</v>
      </c>
      <c r="O33" t="n">
        <v>4.99</v>
      </c>
      <c r="P33" t="n">
        <v>4</v>
      </c>
      <c r="Q33" t="n">
        <v>3</v>
      </c>
      <c r="R33" t="n">
        <v>2024.1</v>
      </c>
      <c r="S33" t="b">
        <v>1</v>
      </c>
      <c r="T33" t="n">
        <v>4483656</v>
      </c>
      <c r="U33" t="n">
        <v>8</v>
      </c>
      <c r="V33" t="n">
        <v>0.0505</v>
      </c>
      <c r="W33" t="n">
        <v>1.39</v>
      </c>
      <c r="X33" t="n">
        <v>85.8</v>
      </c>
      <c r="Y33">
        <f>VLOOKUP(D33,$AB$2:$AC$7,2,FALSE)</f>
        <v/>
      </c>
      <c r="Z33">
        <f>IF(A33&lt;Y33,"Yes","No")</f>
        <v/>
      </c>
    </row>
    <row r="34">
      <c r="A34" t="n">
        <v>2018</v>
      </c>
      <c r="B34" t="inlineStr">
        <is>
          <t>Q3</t>
        </is>
      </c>
      <c r="C34" t="inlineStr">
        <is>
          <t>South America</t>
        </is>
      </c>
      <c r="D34" t="inlineStr">
        <is>
          <t>Cybertruck</t>
        </is>
      </c>
      <c r="E34" t="n">
        <v>543</v>
      </c>
      <c r="F34" t="n">
        <v>86818.63</v>
      </c>
      <c r="G34" t="n">
        <v>47</v>
      </c>
      <c r="H34" t="inlineStr">
        <is>
          <t>Standard</t>
        </is>
      </c>
      <c r="I34" t="inlineStr">
        <is>
          <t>AWD</t>
        </is>
      </c>
      <c r="J34" t="inlineStr">
        <is>
          <t>Green</t>
        </is>
      </c>
      <c r="K34" t="n">
        <v>458</v>
      </c>
      <c r="L34" t="n">
        <v>46</v>
      </c>
      <c r="M34" t="n">
        <v>20.93</v>
      </c>
      <c r="N34" t="n">
        <v>442.06</v>
      </c>
      <c r="O34" t="n">
        <v>3.76</v>
      </c>
      <c r="P34" t="n">
        <v>4</v>
      </c>
      <c r="Q34" t="n">
        <v>1</v>
      </c>
      <c r="R34" t="n">
        <v>2020.7</v>
      </c>
      <c r="S34" t="b">
        <v>0</v>
      </c>
      <c r="T34" t="n">
        <v>4041911</v>
      </c>
      <c r="U34" t="n">
        <v>6</v>
      </c>
      <c r="V34" t="n">
        <v>0.0129</v>
      </c>
      <c r="W34" t="n">
        <v>1.08</v>
      </c>
      <c r="X34" t="n">
        <v>68.48</v>
      </c>
      <c r="Y34">
        <f>VLOOKUP(D34,$AB$2:$AC$7,2,FALSE)</f>
        <v/>
      </c>
      <c r="Z34">
        <f>IF(A34&lt;Y34,"Yes","No")</f>
        <v/>
      </c>
    </row>
    <row r="35">
      <c r="A35" t="n">
        <v>2019</v>
      </c>
      <c r="B35" t="inlineStr">
        <is>
          <t>Q1</t>
        </is>
      </c>
      <c r="C35" t="inlineStr">
        <is>
          <t>Europe</t>
        </is>
      </c>
      <c r="D35" t="inlineStr">
        <is>
          <t>Model X</t>
        </is>
      </c>
      <c r="E35" t="n">
        <v>4881</v>
      </c>
      <c r="F35" t="n">
        <v>91200.56</v>
      </c>
      <c r="G35" t="n">
        <v>59</v>
      </c>
      <c r="H35" t="inlineStr">
        <is>
          <t>Standard</t>
        </is>
      </c>
      <c r="I35" t="inlineStr">
        <is>
          <t>RWD</t>
        </is>
      </c>
      <c r="J35" t="inlineStr">
        <is>
          <t>Red</t>
        </is>
      </c>
      <c r="K35" t="n">
        <v>628</v>
      </c>
      <c r="L35" t="n">
        <v>44</v>
      </c>
      <c r="M35" t="n">
        <v>20.77</v>
      </c>
      <c r="N35" t="n">
        <v>11308.41</v>
      </c>
      <c r="O35" t="n">
        <v>4.74</v>
      </c>
      <c r="P35" t="n">
        <v>4</v>
      </c>
      <c r="Q35" t="n">
        <v>0</v>
      </c>
      <c r="R35" t="n">
        <v>2021.5</v>
      </c>
      <c r="S35" t="b">
        <v>0</v>
      </c>
      <c r="T35" t="n">
        <v>3783886</v>
      </c>
      <c r="U35" t="n">
        <v>3</v>
      </c>
      <c r="V35" t="n">
        <v>0.0522</v>
      </c>
      <c r="W35" t="n">
        <v>1.11</v>
      </c>
      <c r="X35" t="n">
        <v>72.08</v>
      </c>
      <c r="Y35">
        <f>VLOOKUP(D35,$AB$2:$AC$7,2,FALSE)</f>
        <v/>
      </c>
      <c r="Z35">
        <f>IF(A35&lt;Y35,"Yes","No")</f>
        <v/>
      </c>
    </row>
    <row r="36">
      <c r="A36" t="n">
        <v>2016</v>
      </c>
      <c r="B36" t="inlineStr">
        <is>
          <t>Q4</t>
        </is>
      </c>
      <c r="C36" t="inlineStr">
        <is>
          <t>Australia</t>
        </is>
      </c>
      <c r="D36" t="inlineStr">
        <is>
          <t>Model S</t>
        </is>
      </c>
      <c r="E36" t="n">
        <v>4949</v>
      </c>
      <c r="F36" t="n">
        <v>38388.17</v>
      </c>
      <c r="G36" t="n">
        <v>27</v>
      </c>
      <c r="H36" t="inlineStr">
        <is>
          <t>Performance</t>
        </is>
      </c>
      <c r="I36" t="inlineStr">
        <is>
          <t>RWD</t>
        </is>
      </c>
      <c r="J36" t="inlineStr">
        <is>
          <t>Silver</t>
        </is>
      </c>
      <c r="K36" t="n">
        <v>478</v>
      </c>
      <c r="L36" t="n">
        <v>31</v>
      </c>
      <c r="M36" t="n">
        <v>14.1</v>
      </c>
      <c r="N36" t="n">
        <v>11995.5</v>
      </c>
      <c r="O36" t="n">
        <v>4.75</v>
      </c>
      <c r="P36" t="n">
        <v>4</v>
      </c>
      <c r="Q36" t="n">
        <v>2</v>
      </c>
      <c r="R36" t="n">
        <v>2024.1</v>
      </c>
      <c r="S36" t="b">
        <v>1</v>
      </c>
      <c r="T36" t="n">
        <v>4046846</v>
      </c>
      <c r="U36" t="n">
        <v>10</v>
      </c>
      <c r="V36" t="n">
        <v>0.06859999999999999</v>
      </c>
      <c r="W36" t="n">
        <v>2.33</v>
      </c>
      <c r="X36" t="n">
        <v>65.44</v>
      </c>
      <c r="Y36">
        <f>VLOOKUP(D36,$AB$2:$AC$7,2,FALSE)</f>
        <v/>
      </c>
      <c r="Z36">
        <f>IF(A36&lt;Y36,"Yes","No")</f>
        <v/>
      </c>
    </row>
    <row r="37">
      <c r="A37" t="n">
        <v>2021</v>
      </c>
      <c r="B37" t="inlineStr">
        <is>
          <t>Q4</t>
        </is>
      </c>
      <c r="C37" t="inlineStr">
        <is>
          <t>Australia</t>
        </is>
      </c>
      <c r="D37" t="inlineStr">
        <is>
          <t>Model S</t>
        </is>
      </c>
      <c r="E37" t="n">
        <v>3900</v>
      </c>
      <c r="F37" t="n">
        <v>64576.69</v>
      </c>
      <c r="G37" t="n">
        <v>21</v>
      </c>
      <c r="H37" t="inlineStr">
        <is>
          <t>Long Range</t>
        </is>
      </c>
      <c r="I37" t="inlineStr">
        <is>
          <t>AWD</t>
        </is>
      </c>
      <c r="J37" t="inlineStr">
        <is>
          <t>Black</t>
        </is>
      </c>
      <c r="K37" t="n">
        <v>518</v>
      </c>
      <c r="L37" t="n">
        <v>56</v>
      </c>
      <c r="M37" t="n">
        <v>21.32</v>
      </c>
      <c r="N37" t="n">
        <v>4198.1</v>
      </c>
      <c r="O37" t="n">
        <v>4.92</v>
      </c>
      <c r="P37" t="n">
        <v>4</v>
      </c>
      <c r="Q37" t="n">
        <v>3</v>
      </c>
      <c r="R37" t="n">
        <v>2020.6</v>
      </c>
      <c r="S37" t="b">
        <v>0</v>
      </c>
      <c r="T37" t="n">
        <v>2811817</v>
      </c>
      <c r="U37" t="n">
        <v>3</v>
      </c>
      <c r="V37" t="n">
        <v>0.0973</v>
      </c>
      <c r="W37" t="n">
        <v>1.31</v>
      </c>
      <c r="X37" t="n">
        <v>75.44</v>
      </c>
      <c r="Y37">
        <f>VLOOKUP(D37,$AB$2:$AC$7,2,FALSE)</f>
        <v/>
      </c>
      <c r="Z37">
        <f>IF(A37&lt;Y37,"Yes","No")</f>
        <v/>
      </c>
    </row>
    <row r="38">
      <c r="A38" t="n">
        <v>2012</v>
      </c>
      <c r="B38" t="inlineStr">
        <is>
          <t>Q4</t>
        </is>
      </c>
      <c r="C38" t="inlineStr">
        <is>
          <t>Australia</t>
        </is>
      </c>
      <c r="D38" t="inlineStr">
        <is>
          <t>Model S</t>
        </is>
      </c>
      <c r="E38" t="n">
        <v>1586</v>
      </c>
      <c r="F38" t="n">
        <v>79067.35000000001</v>
      </c>
      <c r="G38" t="n">
        <v>39</v>
      </c>
      <c r="H38" t="inlineStr">
        <is>
          <t>Long Range</t>
        </is>
      </c>
      <c r="I38" t="inlineStr">
        <is>
          <t>RWD</t>
        </is>
      </c>
      <c r="J38" t="inlineStr">
        <is>
          <t>Red</t>
        </is>
      </c>
      <c r="K38" t="n">
        <v>454</v>
      </c>
      <c r="L38" t="n">
        <v>47</v>
      </c>
      <c r="M38" t="n">
        <v>19.59</v>
      </c>
      <c r="N38" t="n">
        <v>3735.58</v>
      </c>
      <c r="O38" t="n">
        <v>4.16</v>
      </c>
      <c r="P38" t="n">
        <v>8</v>
      </c>
      <c r="Q38" t="n">
        <v>0</v>
      </c>
      <c r="R38" t="n">
        <v>2020.11</v>
      </c>
      <c r="S38" t="b">
        <v>1</v>
      </c>
      <c r="T38" t="n">
        <v>1428572</v>
      </c>
      <c r="U38" t="n">
        <v>6</v>
      </c>
      <c r="V38" t="n">
        <v>0.0596</v>
      </c>
      <c r="W38" t="n">
        <v>1.6</v>
      </c>
      <c r="X38" t="n">
        <v>62.8</v>
      </c>
      <c r="Y38">
        <f>VLOOKUP(D38,$AB$2:$AC$7,2,FALSE)</f>
        <v/>
      </c>
      <c r="Z38">
        <f>IF(A38&lt;Y38,"Yes","No")</f>
        <v/>
      </c>
    </row>
    <row r="39">
      <c r="A39" t="n">
        <v>2013</v>
      </c>
      <c r="B39" t="inlineStr">
        <is>
          <t>Q4</t>
        </is>
      </c>
      <c r="C39" t="inlineStr">
        <is>
          <t>North America</t>
        </is>
      </c>
      <c r="D39" t="inlineStr">
        <is>
          <t>Semi</t>
        </is>
      </c>
      <c r="E39" t="n">
        <v>1311</v>
      </c>
      <c r="F39" t="n">
        <v>77361.92</v>
      </c>
      <c r="G39" t="n">
        <v>45</v>
      </c>
      <c r="H39" t="inlineStr">
        <is>
          <t>Long Range</t>
        </is>
      </c>
      <c r="I39" t="inlineStr">
        <is>
          <t>RWD</t>
        </is>
      </c>
      <c r="J39" t="inlineStr">
        <is>
          <t>Blue</t>
        </is>
      </c>
      <c r="K39" t="n">
        <v>597</v>
      </c>
      <c r="L39" t="n">
        <v>60</v>
      </c>
      <c r="M39" t="n">
        <v>15.92</v>
      </c>
      <c r="N39" t="n">
        <v>2100.92</v>
      </c>
      <c r="O39" t="n">
        <v>4.08</v>
      </c>
      <c r="P39" t="n">
        <v>5</v>
      </c>
      <c r="Q39" t="n">
        <v>0</v>
      </c>
      <c r="R39" t="n">
        <v>2022.7</v>
      </c>
      <c r="S39" t="b">
        <v>0</v>
      </c>
      <c r="T39" t="n">
        <v>4359212</v>
      </c>
      <c r="U39" t="n">
        <v>6</v>
      </c>
      <c r="V39" t="n">
        <v>0.0838</v>
      </c>
      <c r="W39" t="n">
        <v>1.07</v>
      </c>
      <c r="X39" t="n">
        <v>68.95999999999999</v>
      </c>
      <c r="Y39">
        <f>VLOOKUP(D39,$AB$2:$AC$7,2,FALSE)</f>
        <v/>
      </c>
      <c r="Z39">
        <f>IF(A39&lt;Y39,"Yes","No")</f>
        <v/>
      </c>
    </row>
    <row r="40">
      <c r="A40" t="n">
        <v>2021</v>
      </c>
      <c r="B40" t="inlineStr">
        <is>
          <t>Q4</t>
        </is>
      </c>
      <c r="C40" t="inlineStr">
        <is>
          <t>Europe</t>
        </is>
      </c>
      <c r="D40" t="inlineStr">
        <is>
          <t>Model Y</t>
        </is>
      </c>
      <c r="E40" t="n">
        <v>4462</v>
      </c>
      <c r="F40" t="n">
        <v>76169.02</v>
      </c>
      <c r="G40" t="n">
        <v>21</v>
      </c>
      <c r="H40" t="inlineStr">
        <is>
          <t>Performance</t>
        </is>
      </c>
      <c r="I40" t="inlineStr">
        <is>
          <t>RWD</t>
        </is>
      </c>
      <c r="J40" t="inlineStr">
        <is>
          <t>Blue</t>
        </is>
      </c>
      <c r="K40" t="n">
        <v>514</v>
      </c>
      <c r="L40" t="n">
        <v>85</v>
      </c>
      <c r="M40" t="n">
        <v>15.26</v>
      </c>
      <c r="N40" t="n">
        <v>8455.48</v>
      </c>
      <c r="O40" t="n">
        <v>4.36</v>
      </c>
      <c r="P40" t="n">
        <v>5</v>
      </c>
      <c r="Q40" t="n">
        <v>3</v>
      </c>
      <c r="R40" t="n">
        <v>2020.6</v>
      </c>
      <c r="S40" t="b">
        <v>0</v>
      </c>
      <c r="T40" t="n">
        <v>3297998</v>
      </c>
      <c r="U40" t="n">
        <v>8</v>
      </c>
      <c r="V40" t="n">
        <v>0.099</v>
      </c>
      <c r="W40" t="n">
        <v>2.08</v>
      </c>
      <c r="X40" t="n">
        <v>79.56</v>
      </c>
      <c r="Y40">
        <f>VLOOKUP(D40,$AB$2:$AC$7,2,FALSE)</f>
        <v/>
      </c>
      <c r="Z40">
        <f>IF(A40&lt;Y40,"Yes","No")</f>
        <v/>
      </c>
    </row>
    <row r="41">
      <c r="A41" t="n">
        <v>2014</v>
      </c>
      <c r="B41" t="inlineStr">
        <is>
          <t>Q4</t>
        </is>
      </c>
      <c r="C41" t="inlineStr">
        <is>
          <t>North America</t>
        </is>
      </c>
      <c r="D41" t="inlineStr">
        <is>
          <t>Model 3</t>
        </is>
      </c>
      <c r="E41" t="n">
        <v>4164</v>
      </c>
      <c r="F41" t="n">
        <v>117055.06</v>
      </c>
      <c r="G41" t="n">
        <v>21</v>
      </c>
      <c r="H41" t="inlineStr">
        <is>
          <t>Standard</t>
        </is>
      </c>
      <c r="I41" t="inlineStr">
        <is>
          <t>RWD</t>
        </is>
      </c>
      <c r="J41" t="inlineStr">
        <is>
          <t>Red</t>
        </is>
      </c>
      <c r="K41" t="n">
        <v>619</v>
      </c>
      <c r="L41" t="n">
        <v>88</v>
      </c>
      <c r="M41" t="n">
        <v>18.48</v>
      </c>
      <c r="N41" t="n">
        <v>8098.51</v>
      </c>
      <c r="O41" t="n">
        <v>4.11</v>
      </c>
      <c r="P41" t="n">
        <v>5</v>
      </c>
      <c r="Q41" t="n">
        <v>0</v>
      </c>
      <c r="R41" t="n">
        <v>2023.5</v>
      </c>
      <c r="S41" t="b">
        <v>0</v>
      </c>
      <c r="T41" t="n">
        <v>3434331</v>
      </c>
      <c r="U41" t="n">
        <v>12</v>
      </c>
      <c r="V41" t="n">
        <v>0.0172</v>
      </c>
      <c r="W41" t="n">
        <v>1.16</v>
      </c>
      <c r="X41" t="n">
        <v>80.23</v>
      </c>
      <c r="Y41">
        <f>VLOOKUP(D41,$AB$2:$AC$7,2,FALSE)</f>
        <v/>
      </c>
      <c r="Z41">
        <f>IF(A41&lt;Y41,"Yes","No")</f>
        <v/>
      </c>
    </row>
    <row r="42">
      <c r="A42" t="n">
        <v>2020</v>
      </c>
      <c r="B42" t="inlineStr">
        <is>
          <t>Q4</t>
        </is>
      </c>
      <c r="C42" t="inlineStr">
        <is>
          <t>Asia</t>
        </is>
      </c>
      <c r="D42" t="inlineStr">
        <is>
          <t>Semi</t>
        </is>
      </c>
      <c r="E42" t="n">
        <v>4047</v>
      </c>
      <c r="F42" t="n">
        <v>109152.56</v>
      </c>
      <c r="G42" t="n">
        <v>2</v>
      </c>
      <c r="H42" t="inlineStr">
        <is>
          <t>Performance</t>
        </is>
      </c>
      <c r="I42" t="inlineStr">
        <is>
          <t>AWD</t>
        </is>
      </c>
      <c r="J42" t="inlineStr">
        <is>
          <t>Black</t>
        </is>
      </c>
      <c r="K42" t="n">
        <v>673</v>
      </c>
      <c r="L42" t="n">
        <v>73</v>
      </c>
      <c r="M42" t="n">
        <v>24.05</v>
      </c>
      <c r="N42" t="n">
        <v>10096.67</v>
      </c>
      <c r="O42" t="n">
        <v>4.62</v>
      </c>
      <c r="P42" t="n">
        <v>8</v>
      </c>
      <c r="Q42" t="n">
        <v>0</v>
      </c>
      <c r="R42" t="n">
        <v>2020.8</v>
      </c>
      <c r="S42" t="b">
        <v>1</v>
      </c>
      <c r="T42" t="n">
        <v>2612103</v>
      </c>
      <c r="U42" t="n">
        <v>2</v>
      </c>
      <c r="V42" t="n">
        <v>0.0141</v>
      </c>
      <c r="W42" t="n">
        <v>2.09</v>
      </c>
      <c r="X42" t="n">
        <v>68.8</v>
      </c>
      <c r="Y42">
        <f>VLOOKUP(D42,$AB$2:$AC$7,2,FALSE)</f>
        <v/>
      </c>
      <c r="Z42">
        <f>IF(A42&lt;Y42,"Yes","No")</f>
        <v/>
      </c>
    </row>
    <row r="43">
      <c r="A43" t="n">
        <v>2017</v>
      </c>
      <c r="B43" t="inlineStr">
        <is>
          <t>Q4</t>
        </is>
      </c>
      <c r="C43" t="inlineStr">
        <is>
          <t>Europe</t>
        </is>
      </c>
      <c r="D43" t="inlineStr">
        <is>
          <t>Model 3</t>
        </is>
      </c>
      <c r="E43" t="n">
        <v>4401</v>
      </c>
      <c r="F43" t="n">
        <v>70024.39999999999</v>
      </c>
      <c r="G43" t="n">
        <v>43</v>
      </c>
      <c r="H43" t="inlineStr">
        <is>
          <t>Standard</t>
        </is>
      </c>
      <c r="I43" t="inlineStr">
        <is>
          <t>AWD</t>
        </is>
      </c>
      <c r="J43" t="inlineStr">
        <is>
          <t>Black</t>
        </is>
      </c>
      <c r="K43" t="n">
        <v>390</v>
      </c>
      <c r="L43" t="n">
        <v>69</v>
      </c>
      <c r="M43" t="n">
        <v>23.45</v>
      </c>
      <c r="N43" t="n">
        <v>7655.19</v>
      </c>
      <c r="O43" t="n">
        <v>3.86</v>
      </c>
      <c r="P43" t="n">
        <v>5</v>
      </c>
      <c r="Q43" t="n">
        <v>1</v>
      </c>
      <c r="R43" t="n">
        <v>2023.11</v>
      </c>
      <c r="S43" t="b">
        <v>0</v>
      </c>
      <c r="T43" t="n">
        <v>3955156</v>
      </c>
      <c r="U43" t="n">
        <v>6</v>
      </c>
      <c r="V43" t="n">
        <v>0.07000000000000001</v>
      </c>
      <c r="W43" t="n">
        <v>2.3</v>
      </c>
      <c r="X43" t="n">
        <v>73.95999999999999</v>
      </c>
      <c r="Y43">
        <f>VLOOKUP(D43,$AB$2:$AC$7,2,FALSE)</f>
        <v/>
      </c>
      <c r="Z43">
        <f>IF(A43&lt;Y43,"Yes","No")</f>
        <v/>
      </c>
    </row>
    <row r="44">
      <c r="A44" t="n">
        <v>2016</v>
      </c>
      <c r="B44" t="inlineStr">
        <is>
          <t>Q2</t>
        </is>
      </c>
      <c r="C44" t="inlineStr">
        <is>
          <t>North America</t>
        </is>
      </c>
      <c r="D44" t="inlineStr">
        <is>
          <t>Model Y</t>
        </is>
      </c>
      <c r="E44" t="n">
        <v>2880</v>
      </c>
      <c r="F44" t="n">
        <v>118950.39</v>
      </c>
      <c r="G44" t="n">
        <v>19</v>
      </c>
      <c r="H44" t="inlineStr">
        <is>
          <t>Performance</t>
        </is>
      </c>
      <c r="I44" t="inlineStr">
        <is>
          <t>RWD</t>
        </is>
      </c>
      <c r="J44" t="inlineStr">
        <is>
          <t>Green</t>
        </is>
      </c>
      <c r="K44" t="n">
        <v>478</v>
      </c>
      <c r="L44" t="n">
        <v>59</v>
      </c>
      <c r="M44" t="n">
        <v>23.14</v>
      </c>
      <c r="N44" t="n">
        <v>2587.49</v>
      </c>
      <c r="O44" t="n">
        <v>4.08</v>
      </c>
      <c r="P44" t="n">
        <v>8</v>
      </c>
      <c r="Q44" t="n">
        <v>0</v>
      </c>
      <c r="R44" t="n">
        <v>2021.7</v>
      </c>
      <c r="S44" t="b">
        <v>0</v>
      </c>
      <c r="T44" t="n">
        <v>4921871</v>
      </c>
      <c r="U44" t="n">
        <v>6</v>
      </c>
      <c r="V44" t="n">
        <v>0.0993</v>
      </c>
      <c r="W44" t="n">
        <v>1.09</v>
      </c>
      <c r="X44" t="n">
        <v>89.34</v>
      </c>
      <c r="Y44">
        <f>VLOOKUP(D44,$AB$2:$AC$7,2,FALSE)</f>
        <v/>
      </c>
      <c r="Z44">
        <f>IF(A44&lt;Y44,"Yes","No")</f>
        <v/>
      </c>
    </row>
    <row r="45">
      <c r="A45" t="n">
        <v>2022</v>
      </c>
      <c r="B45" t="inlineStr">
        <is>
          <t>Q4</t>
        </is>
      </c>
      <c r="C45" t="inlineStr">
        <is>
          <t>Asia</t>
        </is>
      </c>
      <c r="D45" t="inlineStr">
        <is>
          <t>Model S</t>
        </is>
      </c>
      <c r="E45" t="n">
        <v>4686</v>
      </c>
      <c r="F45" t="n">
        <v>108530.73</v>
      </c>
      <c r="G45" t="n">
        <v>49</v>
      </c>
      <c r="H45" t="inlineStr">
        <is>
          <t>Performance</t>
        </is>
      </c>
      <c r="I45" t="inlineStr">
        <is>
          <t>AWD</t>
        </is>
      </c>
      <c r="J45" t="inlineStr">
        <is>
          <t>Silver</t>
        </is>
      </c>
      <c r="K45" t="n">
        <v>604</v>
      </c>
      <c r="L45" t="n">
        <v>83</v>
      </c>
      <c r="M45" t="n">
        <v>23.85</v>
      </c>
      <c r="N45" t="n">
        <v>5025.21</v>
      </c>
      <c r="O45" t="n">
        <v>4.7</v>
      </c>
      <c r="P45" t="n">
        <v>6</v>
      </c>
      <c r="Q45" t="n">
        <v>1</v>
      </c>
      <c r="R45" t="n">
        <v>2021.1</v>
      </c>
      <c r="S45" t="b">
        <v>0</v>
      </c>
      <c r="T45" t="n">
        <v>1247387</v>
      </c>
      <c r="U45" t="n">
        <v>12</v>
      </c>
      <c r="V45" t="n">
        <v>0.0187</v>
      </c>
      <c r="W45" t="n">
        <v>1.75</v>
      </c>
      <c r="X45" t="n">
        <v>61.18</v>
      </c>
      <c r="Y45">
        <f>VLOOKUP(D45,$AB$2:$AC$7,2,FALSE)</f>
        <v/>
      </c>
      <c r="Z45">
        <f>IF(A45&lt;Y45,"Yes","No")</f>
        <v/>
      </c>
    </row>
    <row r="46">
      <c r="A46" t="n">
        <v>2024</v>
      </c>
      <c r="B46" t="inlineStr">
        <is>
          <t>Q4</t>
        </is>
      </c>
      <c r="C46" t="inlineStr">
        <is>
          <t>North America</t>
        </is>
      </c>
      <c r="D46" t="inlineStr">
        <is>
          <t>Cybertruck</t>
        </is>
      </c>
      <c r="E46" t="n">
        <v>3038</v>
      </c>
      <c r="F46" t="n">
        <v>97250.58</v>
      </c>
      <c r="G46" t="n">
        <v>5</v>
      </c>
      <c r="H46" t="inlineStr">
        <is>
          <t>Long Range</t>
        </is>
      </c>
      <c r="I46" t="inlineStr">
        <is>
          <t>RWD</t>
        </is>
      </c>
      <c r="J46" t="inlineStr">
        <is>
          <t>Green</t>
        </is>
      </c>
      <c r="K46" t="n">
        <v>562</v>
      </c>
      <c r="L46" t="n">
        <v>41</v>
      </c>
      <c r="M46" t="n">
        <v>15.41</v>
      </c>
      <c r="N46" t="n">
        <v>6297.85</v>
      </c>
      <c r="O46" t="n">
        <v>4.81</v>
      </c>
      <c r="P46" t="n">
        <v>6</v>
      </c>
      <c r="Q46" t="n">
        <v>2</v>
      </c>
      <c r="R46" t="n">
        <v>2021.5</v>
      </c>
      <c r="S46" t="b">
        <v>0</v>
      </c>
      <c r="T46" t="n">
        <v>2575825</v>
      </c>
      <c r="U46" t="n">
        <v>7</v>
      </c>
      <c r="V46" t="n">
        <v>0.0824</v>
      </c>
      <c r="W46" t="n">
        <v>1.44</v>
      </c>
      <c r="X46" t="n">
        <v>62.26</v>
      </c>
      <c r="Y46">
        <f>VLOOKUP(D46,$AB$2:$AC$7,2,FALSE)</f>
        <v/>
      </c>
      <c r="Z46">
        <f>IF(A46&lt;Y46,"Yes","No")</f>
        <v/>
      </c>
    </row>
    <row r="47">
      <c r="A47" t="n">
        <v>2024</v>
      </c>
      <c r="B47" t="inlineStr">
        <is>
          <t>Q2</t>
        </is>
      </c>
      <c r="C47" t="inlineStr">
        <is>
          <t>Australia</t>
        </is>
      </c>
      <c r="D47" t="inlineStr">
        <is>
          <t>Cybertruck</t>
        </is>
      </c>
      <c r="E47" t="n">
        <v>3046</v>
      </c>
      <c r="F47" t="n">
        <v>42675.74</v>
      </c>
      <c r="G47" t="n">
        <v>25</v>
      </c>
      <c r="H47" t="inlineStr">
        <is>
          <t>Standard</t>
        </is>
      </c>
      <c r="I47" t="inlineStr">
        <is>
          <t>RWD</t>
        </is>
      </c>
      <c r="J47" t="inlineStr">
        <is>
          <t>Silver</t>
        </is>
      </c>
      <c r="K47" t="n">
        <v>413</v>
      </c>
      <c r="L47" t="n">
        <v>59</v>
      </c>
      <c r="M47" t="n">
        <v>17.42</v>
      </c>
      <c r="N47" t="n">
        <v>6085.98</v>
      </c>
      <c r="O47" t="n">
        <v>3.89</v>
      </c>
      <c r="P47" t="n">
        <v>8</v>
      </c>
      <c r="Q47" t="n">
        <v>2</v>
      </c>
      <c r="R47" t="n">
        <v>2020.11</v>
      </c>
      <c r="S47" t="b">
        <v>1</v>
      </c>
      <c r="T47" t="n">
        <v>4055034</v>
      </c>
      <c r="U47" t="n">
        <v>2</v>
      </c>
      <c r="V47" t="n">
        <v>0.0658</v>
      </c>
      <c r="W47" t="n">
        <v>2.39</v>
      </c>
      <c r="X47" t="n">
        <v>69.84</v>
      </c>
      <c r="Y47">
        <f>VLOOKUP(D47,$AB$2:$AC$7,2,FALSE)</f>
        <v/>
      </c>
      <c r="Z47">
        <f>IF(A47&lt;Y47,"Yes","No")</f>
        <v/>
      </c>
    </row>
    <row r="48">
      <c r="A48" t="n">
        <v>2021</v>
      </c>
      <c r="B48" t="inlineStr">
        <is>
          <t>Q2</t>
        </is>
      </c>
      <c r="C48" t="inlineStr">
        <is>
          <t>North America</t>
        </is>
      </c>
      <c r="D48" t="inlineStr">
        <is>
          <t>Semi</t>
        </is>
      </c>
      <c r="E48" t="n">
        <v>3853</v>
      </c>
      <c r="F48" t="n">
        <v>112297.95</v>
      </c>
      <c r="G48" t="n">
        <v>19</v>
      </c>
      <c r="H48" t="inlineStr">
        <is>
          <t>Performance</t>
        </is>
      </c>
      <c r="I48" t="inlineStr">
        <is>
          <t>RWD</t>
        </is>
      </c>
      <c r="J48" t="inlineStr">
        <is>
          <t>Red</t>
        </is>
      </c>
      <c r="K48" t="n">
        <v>421</v>
      </c>
      <c r="L48" t="n">
        <v>32</v>
      </c>
      <c r="M48" t="n">
        <v>24.36</v>
      </c>
      <c r="N48" t="n">
        <v>4271.93</v>
      </c>
      <c r="O48" t="n">
        <v>4.24</v>
      </c>
      <c r="P48" t="n">
        <v>4</v>
      </c>
      <c r="Q48" t="n">
        <v>1</v>
      </c>
      <c r="R48" t="n">
        <v>2024.3</v>
      </c>
      <c r="S48" t="b">
        <v>0</v>
      </c>
      <c r="T48" t="n">
        <v>3905439</v>
      </c>
      <c r="U48" t="n">
        <v>7</v>
      </c>
      <c r="V48" t="n">
        <v>0.0703</v>
      </c>
      <c r="W48" t="n">
        <v>1.99</v>
      </c>
      <c r="X48" t="n">
        <v>88.38</v>
      </c>
      <c r="Y48">
        <f>VLOOKUP(D48,$AB$2:$AC$7,2,FALSE)</f>
        <v/>
      </c>
      <c r="Z48">
        <f>IF(A48&lt;Y48,"Yes","No")</f>
        <v/>
      </c>
    </row>
    <row r="49">
      <c r="A49" t="n">
        <v>2018</v>
      </c>
      <c r="B49" t="inlineStr">
        <is>
          <t>Q2</t>
        </is>
      </c>
      <c r="C49" t="inlineStr">
        <is>
          <t>Australia</t>
        </is>
      </c>
      <c r="D49" t="inlineStr">
        <is>
          <t>Semi</t>
        </is>
      </c>
      <c r="E49" t="n">
        <v>861</v>
      </c>
      <c r="F49" t="n">
        <v>105863.91</v>
      </c>
      <c r="G49" t="n">
        <v>39</v>
      </c>
      <c r="H49" t="inlineStr">
        <is>
          <t>Long Range</t>
        </is>
      </c>
      <c r="I49" t="inlineStr">
        <is>
          <t>RWD</t>
        </is>
      </c>
      <c r="J49" t="inlineStr">
        <is>
          <t>Red</t>
        </is>
      </c>
      <c r="K49" t="n">
        <v>539</v>
      </c>
      <c r="L49" t="n">
        <v>43</v>
      </c>
      <c r="M49" t="n">
        <v>18.32</v>
      </c>
      <c r="N49" t="n">
        <v>2067.36</v>
      </c>
      <c r="O49" t="n">
        <v>4.78</v>
      </c>
      <c r="P49" t="n">
        <v>4</v>
      </c>
      <c r="Q49" t="n">
        <v>2</v>
      </c>
      <c r="R49" t="n">
        <v>2024.11</v>
      </c>
      <c r="S49" t="b">
        <v>0</v>
      </c>
      <c r="T49" t="n">
        <v>607930</v>
      </c>
      <c r="U49" t="n">
        <v>8</v>
      </c>
      <c r="V49" t="n">
        <v>0.0348</v>
      </c>
      <c r="W49" t="n">
        <v>2.44</v>
      </c>
      <c r="X49" t="n">
        <v>88.47</v>
      </c>
      <c r="Y49">
        <f>VLOOKUP(D49,$AB$2:$AC$7,2,FALSE)</f>
        <v/>
      </c>
      <c r="Z49">
        <f>IF(A49&lt;Y49,"Yes","No")</f>
        <v/>
      </c>
    </row>
    <row r="50">
      <c r="A50" t="n">
        <v>2019</v>
      </c>
      <c r="B50" t="inlineStr">
        <is>
          <t>Q1</t>
        </is>
      </c>
      <c r="C50" t="inlineStr">
        <is>
          <t>Europe</t>
        </is>
      </c>
      <c r="D50" t="inlineStr">
        <is>
          <t>Semi</t>
        </is>
      </c>
      <c r="E50" t="n">
        <v>4941</v>
      </c>
      <c r="F50" t="n">
        <v>117542.93</v>
      </c>
      <c r="G50" t="n">
        <v>3</v>
      </c>
      <c r="H50" t="inlineStr">
        <is>
          <t>Long Range</t>
        </is>
      </c>
      <c r="I50" t="inlineStr">
        <is>
          <t>AWD</t>
        </is>
      </c>
      <c r="J50" t="inlineStr">
        <is>
          <t>Black</t>
        </is>
      </c>
      <c r="K50" t="n">
        <v>639</v>
      </c>
      <c r="L50" t="n">
        <v>43</v>
      </c>
      <c r="M50" t="n">
        <v>13.82</v>
      </c>
      <c r="N50" t="n">
        <v>10031.79</v>
      </c>
      <c r="O50" t="n">
        <v>3.81</v>
      </c>
      <c r="P50" t="n">
        <v>5</v>
      </c>
      <c r="Q50" t="n">
        <v>1</v>
      </c>
      <c r="R50" t="n">
        <v>2022.3</v>
      </c>
      <c r="S50" t="b">
        <v>1</v>
      </c>
      <c r="T50" t="n">
        <v>2425949</v>
      </c>
      <c r="U50" t="n">
        <v>4</v>
      </c>
      <c r="V50" t="n">
        <v>0.0989</v>
      </c>
      <c r="W50" t="n">
        <v>1.58</v>
      </c>
      <c r="X50" t="n">
        <v>83.95999999999999</v>
      </c>
      <c r="Y50">
        <f>VLOOKUP(D50,$AB$2:$AC$7,2,FALSE)</f>
        <v/>
      </c>
      <c r="Z50">
        <f>IF(A50&lt;Y50,"Yes","No")</f>
        <v/>
      </c>
    </row>
    <row r="51">
      <c r="A51" t="n">
        <v>2013</v>
      </c>
      <c r="B51" t="inlineStr">
        <is>
          <t>Q1</t>
        </is>
      </c>
      <c r="C51" t="inlineStr">
        <is>
          <t>Europe</t>
        </is>
      </c>
      <c r="D51" t="inlineStr">
        <is>
          <t>Model S</t>
        </is>
      </c>
      <c r="E51" t="n">
        <v>2984</v>
      </c>
      <c r="F51" t="n">
        <v>102148.7</v>
      </c>
      <c r="G51" t="n">
        <v>15</v>
      </c>
      <c r="H51" t="inlineStr">
        <is>
          <t>Performance</t>
        </is>
      </c>
      <c r="I51" t="inlineStr">
        <is>
          <t>RWD</t>
        </is>
      </c>
      <c r="J51" t="inlineStr">
        <is>
          <t>Red</t>
        </is>
      </c>
      <c r="K51" t="n">
        <v>439</v>
      </c>
      <c r="L51" t="n">
        <v>46</v>
      </c>
      <c r="M51" t="n">
        <v>13.63</v>
      </c>
      <c r="N51" t="n">
        <v>5918.57</v>
      </c>
      <c r="O51" t="n">
        <v>4.29</v>
      </c>
      <c r="P51" t="n">
        <v>4</v>
      </c>
      <c r="Q51" t="n">
        <v>3</v>
      </c>
      <c r="R51" t="n">
        <v>2023.6</v>
      </c>
      <c r="S51" t="b">
        <v>1</v>
      </c>
      <c r="T51" t="n">
        <v>3891696</v>
      </c>
      <c r="U51" t="n">
        <v>10</v>
      </c>
      <c r="V51" t="n">
        <v>0.0299</v>
      </c>
      <c r="W51" t="n">
        <v>1.73</v>
      </c>
      <c r="X51" t="n">
        <v>81.81999999999999</v>
      </c>
      <c r="Y51">
        <f>VLOOKUP(D51,$AB$2:$AC$7,2,FALSE)</f>
        <v/>
      </c>
      <c r="Z51">
        <f>IF(A51&lt;Y51,"Yes","No")</f>
        <v/>
      </c>
    </row>
    <row r="52">
      <c r="A52" t="n">
        <v>2022</v>
      </c>
      <c r="B52" t="inlineStr">
        <is>
          <t>Q3</t>
        </is>
      </c>
      <c r="C52" t="inlineStr">
        <is>
          <t>Australia</t>
        </is>
      </c>
      <c r="D52" t="inlineStr">
        <is>
          <t>Semi</t>
        </is>
      </c>
      <c r="E52" t="n">
        <v>305</v>
      </c>
      <c r="F52" t="n">
        <v>40170.16</v>
      </c>
      <c r="G52" t="n">
        <v>30</v>
      </c>
      <c r="H52" t="inlineStr">
        <is>
          <t>Long Range</t>
        </is>
      </c>
      <c r="I52" t="inlineStr">
        <is>
          <t>RWD</t>
        </is>
      </c>
      <c r="J52" t="inlineStr">
        <is>
          <t>Green</t>
        </is>
      </c>
      <c r="K52" t="n">
        <v>405</v>
      </c>
      <c r="L52" t="n">
        <v>61</v>
      </c>
      <c r="M52" t="n">
        <v>21.55</v>
      </c>
      <c r="N52" t="n">
        <v>423.07</v>
      </c>
      <c r="O52" t="n">
        <v>4.85</v>
      </c>
      <c r="P52" t="n">
        <v>6</v>
      </c>
      <c r="Q52" t="n">
        <v>1</v>
      </c>
      <c r="R52" t="n">
        <v>2020.3</v>
      </c>
      <c r="S52" t="b">
        <v>0</v>
      </c>
      <c r="T52" t="n">
        <v>4699947</v>
      </c>
      <c r="U52" t="n">
        <v>7</v>
      </c>
      <c r="V52" t="n">
        <v>0.0443</v>
      </c>
      <c r="W52" t="n">
        <v>1.69</v>
      </c>
      <c r="X52" t="n">
        <v>68.84999999999999</v>
      </c>
      <c r="Y52">
        <f>VLOOKUP(D52,$AB$2:$AC$7,2,FALSE)</f>
        <v/>
      </c>
      <c r="Z52">
        <f>IF(A52&lt;Y52,"Yes","No")</f>
        <v/>
      </c>
    </row>
    <row r="53">
      <c r="A53" t="n">
        <v>2020</v>
      </c>
      <c r="B53" t="inlineStr">
        <is>
          <t>Q4</t>
        </is>
      </c>
      <c r="C53" t="inlineStr">
        <is>
          <t>North America</t>
        </is>
      </c>
      <c r="D53" t="inlineStr">
        <is>
          <t>Semi</t>
        </is>
      </c>
      <c r="E53" t="n">
        <v>987</v>
      </c>
      <c r="F53" t="n">
        <v>107487.38</v>
      </c>
      <c r="G53" t="n">
        <v>41</v>
      </c>
      <c r="H53" t="inlineStr">
        <is>
          <t>Performance</t>
        </is>
      </c>
      <c r="I53" t="inlineStr">
        <is>
          <t>AWD</t>
        </is>
      </c>
      <c r="J53" t="inlineStr">
        <is>
          <t>Blue</t>
        </is>
      </c>
      <c r="K53" t="n">
        <v>581</v>
      </c>
      <c r="L53" t="n">
        <v>86</v>
      </c>
      <c r="M53" t="n">
        <v>15.74</v>
      </c>
      <c r="N53" t="n">
        <v>1162.55</v>
      </c>
      <c r="O53" t="n">
        <v>4.18</v>
      </c>
      <c r="P53" t="n">
        <v>8</v>
      </c>
      <c r="Q53" t="n">
        <v>0</v>
      </c>
      <c r="R53" t="n">
        <v>2022.7</v>
      </c>
      <c r="S53" t="b">
        <v>0</v>
      </c>
      <c r="T53" t="n">
        <v>2238170</v>
      </c>
      <c r="U53" t="n">
        <v>7</v>
      </c>
      <c r="V53" t="n">
        <v>0.0958</v>
      </c>
      <c r="W53" t="n">
        <v>1.87</v>
      </c>
      <c r="X53" t="n">
        <v>74.23</v>
      </c>
      <c r="Y53">
        <f>VLOOKUP(D53,$AB$2:$AC$7,2,FALSE)</f>
        <v/>
      </c>
      <c r="Z53">
        <f>IF(A53&lt;Y53,"Yes","No")</f>
        <v/>
      </c>
    </row>
    <row r="54">
      <c r="A54" t="n">
        <v>2013</v>
      </c>
      <c r="B54" t="inlineStr">
        <is>
          <t>Q1</t>
        </is>
      </c>
      <c r="C54" t="inlineStr">
        <is>
          <t>North America</t>
        </is>
      </c>
      <c r="D54" t="inlineStr">
        <is>
          <t>Model Y</t>
        </is>
      </c>
      <c r="E54" t="n">
        <v>841</v>
      </c>
      <c r="F54" t="n">
        <v>98290.06</v>
      </c>
      <c r="G54" t="n">
        <v>23</v>
      </c>
      <c r="H54" t="inlineStr">
        <is>
          <t>Standard</t>
        </is>
      </c>
      <c r="I54" t="inlineStr">
        <is>
          <t>AWD</t>
        </is>
      </c>
      <c r="J54" t="inlineStr">
        <is>
          <t>Silver</t>
        </is>
      </c>
      <c r="K54" t="n">
        <v>637</v>
      </c>
      <c r="L54" t="n">
        <v>65</v>
      </c>
      <c r="M54" t="n">
        <v>16.96</v>
      </c>
      <c r="N54" t="n">
        <v>626.09</v>
      </c>
      <c r="O54" t="n">
        <v>4.03</v>
      </c>
      <c r="P54" t="n">
        <v>8</v>
      </c>
      <c r="Q54" t="n">
        <v>0</v>
      </c>
      <c r="R54" t="n">
        <v>2022.1</v>
      </c>
      <c r="S54" t="b">
        <v>0</v>
      </c>
      <c r="T54" t="n">
        <v>3049822</v>
      </c>
      <c r="U54" t="n">
        <v>3</v>
      </c>
      <c r="V54" t="n">
        <v>0.062</v>
      </c>
      <c r="W54" t="n">
        <v>0.93</v>
      </c>
      <c r="X54" t="n">
        <v>79.7</v>
      </c>
      <c r="Y54">
        <f>VLOOKUP(D54,$AB$2:$AC$7,2,FALSE)</f>
        <v/>
      </c>
      <c r="Z54">
        <f>IF(A54&lt;Y54,"Yes","No")</f>
        <v/>
      </c>
    </row>
    <row r="55">
      <c r="A55" t="n">
        <v>2015</v>
      </c>
      <c r="B55" t="inlineStr">
        <is>
          <t>Q1</t>
        </is>
      </c>
      <c r="C55" t="inlineStr">
        <is>
          <t>Asia</t>
        </is>
      </c>
      <c r="D55" t="inlineStr">
        <is>
          <t>Cybertruck</t>
        </is>
      </c>
      <c r="E55" t="n">
        <v>3061</v>
      </c>
      <c r="F55" t="n">
        <v>44765.25</v>
      </c>
      <c r="G55" t="n">
        <v>17</v>
      </c>
      <c r="H55" t="inlineStr">
        <is>
          <t>Performance</t>
        </is>
      </c>
      <c r="I55" t="inlineStr">
        <is>
          <t>AWD</t>
        </is>
      </c>
      <c r="J55" t="inlineStr">
        <is>
          <t>Blue</t>
        </is>
      </c>
      <c r="K55" t="n">
        <v>637</v>
      </c>
      <c r="L55" t="n">
        <v>79</v>
      </c>
      <c r="M55" t="n">
        <v>22.82</v>
      </c>
      <c r="N55" t="n">
        <v>5286.8</v>
      </c>
      <c r="O55" t="n">
        <v>4.46</v>
      </c>
      <c r="P55" t="n">
        <v>4</v>
      </c>
      <c r="Q55" t="n">
        <v>2</v>
      </c>
      <c r="R55" t="n">
        <v>2020.3</v>
      </c>
      <c r="S55" t="b">
        <v>0</v>
      </c>
      <c r="T55" t="n">
        <v>2691951</v>
      </c>
      <c r="U55" t="n">
        <v>7</v>
      </c>
      <c r="V55" t="n">
        <v>0.0416</v>
      </c>
      <c r="W55" t="n">
        <v>0.86</v>
      </c>
      <c r="X55" t="n">
        <v>64.3</v>
      </c>
      <c r="Y55">
        <f>VLOOKUP(D55,$AB$2:$AC$7,2,FALSE)</f>
        <v/>
      </c>
      <c r="Z55">
        <f>IF(A55&lt;Y55,"Yes","No")</f>
        <v/>
      </c>
    </row>
    <row r="56">
      <c r="A56" t="n">
        <v>2022</v>
      </c>
      <c r="B56" t="inlineStr">
        <is>
          <t>Q4</t>
        </is>
      </c>
      <c r="C56" t="inlineStr">
        <is>
          <t>North America</t>
        </is>
      </c>
      <c r="D56" t="inlineStr">
        <is>
          <t>Model 3</t>
        </is>
      </c>
      <c r="E56" t="n">
        <v>301</v>
      </c>
      <c r="F56" t="n">
        <v>42799.4</v>
      </c>
      <c r="G56" t="n">
        <v>33</v>
      </c>
      <c r="H56" t="inlineStr">
        <is>
          <t>Standard</t>
        </is>
      </c>
      <c r="I56" t="inlineStr">
        <is>
          <t>RWD</t>
        </is>
      </c>
      <c r="J56" t="inlineStr">
        <is>
          <t>Blue</t>
        </is>
      </c>
      <c r="K56" t="n">
        <v>582</v>
      </c>
      <c r="L56" t="n">
        <v>51</v>
      </c>
      <c r="M56" t="n">
        <v>14.89</v>
      </c>
      <c r="N56" t="n">
        <v>338.11</v>
      </c>
      <c r="O56" t="n">
        <v>3.99</v>
      </c>
      <c r="P56" t="n">
        <v>4</v>
      </c>
      <c r="Q56" t="n">
        <v>0</v>
      </c>
      <c r="R56" t="n">
        <v>2021.3</v>
      </c>
      <c r="S56" t="b">
        <v>1</v>
      </c>
      <c r="T56" t="n">
        <v>784355</v>
      </c>
      <c r="U56" t="n">
        <v>6</v>
      </c>
      <c r="V56" t="n">
        <v>0.0499</v>
      </c>
      <c r="W56" t="n">
        <v>1.35</v>
      </c>
      <c r="X56" t="n">
        <v>78.20999999999999</v>
      </c>
      <c r="Y56">
        <f>VLOOKUP(D56,$AB$2:$AC$7,2,FALSE)</f>
        <v/>
      </c>
      <c r="Z56">
        <f>IF(A56&lt;Y56,"Yes","No")</f>
        <v/>
      </c>
    </row>
    <row r="57">
      <c r="A57" t="n">
        <v>2018</v>
      </c>
      <c r="B57" t="inlineStr">
        <is>
          <t>Q3</t>
        </is>
      </c>
      <c r="C57" t="inlineStr">
        <is>
          <t>Europe</t>
        </is>
      </c>
      <c r="D57" t="inlineStr">
        <is>
          <t>Cybertruck</t>
        </is>
      </c>
      <c r="E57" t="n">
        <v>982</v>
      </c>
      <c r="F57" t="n">
        <v>64339.69</v>
      </c>
      <c r="G57" t="n">
        <v>7</v>
      </c>
      <c r="H57" t="inlineStr">
        <is>
          <t>Long Range</t>
        </is>
      </c>
      <c r="I57" t="inlineStr">
        <is>
          <t>RWD</t>
        </is>
      </c>
      <c r="J57" t="inlineStr">
        <is>
          <t>Silver</t>
        </is>
      </c>
      <c r="K57" t="n">
        <v>691</v>
      </c>
      <c r="L57" t="n">
        <v>49</v>
      </c>
      <c r="M57" t="n">
        <v>13.55</v>
      </c>
      <c r="N57" t="n">
        <v>1267.3</v>
      </c>
      <c r="O57" t="n">
        <v>4.4</v>
      </c>
      <c r="P57" t="n">
        <v>4</v>
      </c>
      <c r="Q57" t="n">
        <v>1</v>
      </c>
      <c r="R57" t="n">
        <v>2022.4</v>
      </c>
      <c r="S57" t="b">
        <v>1</v>
      </c>
      <c r="T57" t="n">
        <v>2243452</v>
      </c>
      <c r="U57" t="n">
        <v>6</v>
      </c>
      <c r="V57" t="n">
        <v>0.0395</v>
      </c>
      <c r="W57" t="n">
        <v>0.52</v>
      </c>
      <c r="X57" t="n">
        <v>82.41</v>
      </c>
      <c r="Y57">
        <f>VLOOKUP(D57,$AB$2:$AC$7,2,FALSE)</f>
        <v/>
      </c>
      <c r="Z57">
        <f>IF(A57&lt;Y57,"Yes","No")</f>
        <v/>
      </c>
    </row>
    <row r="58">
      <c r="A58" t="n">
        <v>2014</v>
      </c>
      <c r="B58" t="inlineStr">
        <is>
          <t>Q2</t>
        </is>
      </c>
      <c r="C58" t="inlineStr">
        <is>
          <t>Australia</t>
        </is>
      </c>
      <c r="D58" t="inlineStr">
        <is>
          <t>Cybertruck</t>
        </is>
      </c>
      <c r="E58" t="n">
        <v>1935</v>
      </c>
      <c r="F58" t="n">
        <v>77522.3</v>
      </c>
      <c r="G58" t="n">
        <v>53</v>
      </c>
      <c r="H58" t="inlineStr">
        <is>
          <t>Performance</t>
        </is>
      </c>
      <c r="I58" t="inlineStr">
        <is>
          <t>RWD</t>
        </is>
      </c>
      <c r="J58" t="inlineStr">
        <is>
          <t>Red</t>
        </is>
      </c>
      <c r="K58" t="n">
        <v>553</v>
      </c>
      <c r="L58" t="n">
        <v>85</v>
      </c>
      <c r="M58" t="n">
        <v>21.9</v>
      </c>
      <c r="N58" t="n">
        <v>2655.67</v>
      </c>
      <c r="O58" t="n">
        <v>4.19</v>
      </c>
      <c r="P58" t="n">
        <v>4</v>
      </c>
      <c r="Q58" t="n">
        <v>2</v>
      </c>
      <c r="R58" t="n">
        <v>2024.7</v>
      </c>
      <c r="S58" t="b">
        <v>0</v>
      </c>
      <c r="T58" t="n">
        <v>3603870</v>
      </c>
      <c r="U58" t="n">
        <v>6</v>
      </c>
      <c r="V58" t="n">
        <v>0.0204</v>
      </c>
      <c r="W58" t="n">
        <v>0.54</v>
      </c>
      <c r="X58" t="n">
        <v>69.73999999999999</v>
      </c>
      <c r="Y58">
        <f>VLOOKUP(D58,$AB$2:$AC$7,2,FALSE)</f>
        <v/>
      </c>
      <c r="Z58">
        <f>IF(A58&lt;Y58,"Yes","No")</f>
        <v/>
      </c>
    </row>
    <row r="59">
      <c r="A59" t="n">
        <v>2024</v>
      </c>
      <c r="B59" t="inlineStr">
        <is>
          <t>Q4</t>
        </is>
      </c>
      <c r="C59" t="inlineStr">
        <is>
          <t>Asia</t>
        </is>
      </c>
      <c r="D59" t="inlineStr">
        <is>
          <t>Model S</t>
        </is>
      </c>
      <c r="E59" t="n">
        <v>3627</v>
      </c>
      <c r="F59" t="n">
        <v>106781.17</v>
      </c>
      <c r="G59" t="n">
        <v>15</v>
      </c>
      <c r="H59" t="inlineStr">
        <is>
          <t>Long Range</t>
        </is>
      </c>
      <c r="I59" t="inlineStr">
        <is>
          <t>RWD</t>
        </is>
      </c>
      <c r="J59" t="inlineStr">
        <is>
          <t>Silver</t>
        </is>
      </c>
      <c r="K59" t="n">
        <v>390</v>
      </c>
      <c r="L59" t="n">
        <v>55</v>
      </c>
      <c r="M59" t="n">
        <v>23.45</v>
      </c>
      <c r="N59" t="n">
        <v>7223.57</v>
      </c>
      <c r="O59" t="n">
        <v>3.83</v>
      </c>
      <c r="P59" t="n">
        <v>5</v>
      </c>
      <c r="Q59" t="n">
        <v>0</v>
      </c>
      <c r="R59" t="n">
        <v>2024.11</v>
      </c>
      <c r="S59" t="b">
        <v>1</v>
      </c>
      <c r="T59" t="n">
        <v>4551035</v>
      </c>
      <c r="U59" t="n">
        <v>10</v>
      </c>
      <c r="V59" t="n">
        <v>0.0275</v>
      </c>
      <c r="W59" t="n">
        <v>2.05</v>
      </c>
      <c r="X59" t="n">
        <v>70.53</v>
      </c>
      <c r="Y59">
        <f>VLOOKUP(D59,$AB$2:$AC$7,2,FALSE)</f>
        <v/>
      </c>
      <c r="Z59">
        <f>IF(A59&lt;Y59,"Yes","No")</f>
        <v/>
      </c>
    </row>
    <row r="60">
      <c r="A60" t="n">
        <v>2022</v>
      </c>
      <c r="B60" t="inlineStr">
        <is>
          <t>Q2</t>
        </is>
      </c>
      <c r="C60" t="inlineStr">
        <is>
          <t>Europe</t>
        </is>
      </c>
      <c r="D60" t="inlineStr">
        <is>
          <t>Model S</t>
        </is>
      </c>
      <c r="E60" t="n">
        <v>1249</v>
      </c>
      <c r="F60" t="n">
        <v>56757.3</v>
      </c>
      <c r="G60" t="n">
        <v>11</v>
      </c>
      <c r="H60" t="inlineStr">
        <is>
          <t>Performance</t>
        </is>
      </c>
      <c r="I60" t="inlineStr">
        <is>
          <t>AWD</t>
        </is>
      </c>
      <c r="J60" t="inlineStr">
        <is>
          <t>Green</t>
        </is>
      </c>
      <c r="K60" t="n">
        <v>388</v>
      </c>
      <c r="L60" t="n">
        <v>41</v>
      </c>
      <c r="M60" t="n">
        <v>24.42</v>
      </c>
      <c r="N60" t="n">
        <v>2193.12</v>
      </c>
      <c r="O60" t="n">
        <v>4.2</v>
      </c>
      <c r="P60" t="n">
        <v>8</v>
      </c>
      <c r="Q60" t="n">
        <v>2</v>
      </c>
      <c r="R60" t="n">
        <v>2022.3</v>
      </c>
      <c r="S60" t="b">
        <v>0</v>
      </c>
      <c r="T60" t="n">
        <v>672826</v>
      </c>
      <c r="U60" t="n">
        <v>9</v>
      </c>
      <c r="V60" t="n">
        <v>0.0498</v>
      </c>
      <c r="W60" t="n">
        <v>1.11</v>
      </c>
      <c r="X60" t="n">
        <v>68.23999999999999</v>
      </c>
      <c r="Y60">
        <f>VLOOKUP(D60,$AB$2:$AC$7,2,FALSE)</f>
        <v/>
      </c>
      <c r="Z60">
        <f>IF(A60&lt;Y60,"Yes","No")</f>
        <v/>
      </c>
    </row>
    <row r="61">
      <c r="A61" t="n">
        <v>2012</v>
      </c>
      <c r="B61" t="inlineStr">
        <is>
          <t>Q3</t>
        </is>
      </c>
      <c r="C61" t="inlineStr">
        <is>
          <t>South America</t>
        </is>
      </c>
      <c r="D61" t="inlineStr">
        <is>
          <t>Model S</t>
        </is>
      </c>
      <c r="E61" t="n">
        <v>2592</v>
      </c>
      <c r="F61" t="n">
        <v>74248.11</v>
      </c>
      <c r="G61" t="n">
        <v>2</v>
      </c>
      <c r="H61" t="inlineStr">
        <is>
          <t>Standard</t>
        </is>
      </c>
      <c r="I61" t="inlineStr">
        <is>
          <t>RWD</t>
        </is>
      </c>
      <c r="J61" t="inlineStr">
        <is>
          <t>White</t>
        </is>
      </c>
      <c r="K61" t="n">
        <v>389</v>
      </c>
      <c r="L61" t="n">
        <v>71</v>
      </c>
      <c r="M61" t="n">
        <v>23.37</v>
      </c>
      <c r="N61" t="n">
        <v>5729.84</v>
      </c>
      <c r="O61" t="n">
        <v>4.42</v>
      </c>
      <c r="P61" t="n">
        <v>8</v>
      </c>
      <c r="Q61" t="n">
        <v>3</v>
      </c>
      <c r="R61" t="n">
        <v>2024.9</v>
      </c>
      <c r="S61" t="b">
        <v>1</v>
      </c>
      <c r="T61" t="n">
        <v>3872639</v>
      </c>
      <c r="U61" t="n">
        <v>11</v>
      </c>
      <c r="V61" t="n">
        <v>0.0687</v>
      </c>
      <c r="W61" t="n">
        <v>1.14</v>
      </c>
      <c r="X61" t="n">
        <v>74.27</v>
      </c>
      <c r="Y61">
        <f>VLOOKUP(D61,$AB$2:$AC$7,2,FALSE)</f>
        <v/>
      </c>
      <c r="Z61">
        <f>IF(A61&lt;Y61,"Yes","No")</f>
        <v/>
      </c>
    </row>
    <row r="62">
      <c r="A62" t="n">
        <v>2014</v>
      </c>
      <c r="B62" t="inlineStr">
        <is>
          <t>Q1</t>
        </is>
      </c>
      <c r="C62" t="inlineStr">
        <is>
          <t>Australia</t>
        </is>
      </c>
      <c r="D62" t="inlineStr">
        <is>
          <t>Model S</t>
        </is>
      </c>
      <c r="E62" t="n">
        <v>2863</v>
      </c>
      <c r="F62" t="n">
        <v>118502.77</v>
      </c>
      <c r="G62" t="n">
        <v>5</v>
      </c>
      <c r="H62" t="inlineStr">
        <is>
          <t>Performance</t>
        </is>
      </c>
      <c r="I62" t="inlineStr">
        <is>
          <t>AWD</t>
        </is>
      </c>
      <c r="J62" t="inlineStr">
        <is>
          <t>Red</t>
        </is>
      </c>
      <c r="K62" t="n">
        <v>476</v>
      </c>
      <c r="L62" t="n">
        <v>75</v>
      </c>
      <c r="M62" t="n">
        <v>18.25</v>
      </c>
      <c r="N62" t="n">
        <v>3947.63</v>
      </c>
      <c r="O62" t="n">
        <v>4.28</v>
      </c>
      <c r="P62" t="n">
        <v>5</v>
      </c>
      <c r="Q62" t="n">
        <v>2</v>
      </c>
      <c r="R62" t="n">
        <v>2022.5</v>
      </c>
      <c r="S62" t="b">
        <v>0</v>
      </c>
      <c r="T62" t="n">
        <v>3529006</v>
      </c>
      <c r="U62" t="n">
        <v>7</v>
      </c>
      <c r="V62" t="n">
        <v>0.0711</v>
      </c>
      <c r="W62" t="n">
        <v>0.6</v>
      </c>
      <c r="X62" t="n">
        <v>78.93000000000001</v>
      </c>
      <c r="Y62">
        <f>VLOOKUP(D62,$AB$2:$AC$7,2,FALSE)</f>
        <v/>
      </c>
      <c r="Z62">
        <f>IF(A62&lt;Y62,"Yes","No")</f>
        <v/>
      </c>
    </row>
    <row r="63">
      <c r="A63" t="n">
        <v>2017</v>
      </c>
      <c r="B63" t="inlineStr">
        <is>
          <t>Q1</t>
        </is>
      </c>
      <c r="C63" t="inlineStr">
        <is>
          <t>Asia</t>
        </is>
      </c>
      <c r="D63" t="inlineStr">
        <is>
          <t>Model S</t>
        </is>
      </c>
      <c r="E63" t="n">
        <v>4620</v>
      </c>
      <c r="F63" t="n">
        <v>92662.24000000001</v>
      </c>
      <c r="G63" t="n">
        <v>18</v>
      </c>
      <c r="H63" t="inlineStr">
        <is>
          <t>Long Range</t>
        </is>
      </c>
      <c r="I63" t="inlineStr">
        <is>
          <t>AWD</t>
        </is>
      </c>
      <c r="J63" t="inlineStr">
        <is>
          <t>White</t>
        </is>
      </c>
      <c r="K63" t="n">
        <v>391</v>
      </c>
      <c r="L63" t="n">
        <v>67</v>
      </c>
      <c r="M63" t="n">
        <v>20.96</v>
      </c>
      <c r="N63" t="n">
        <v>10780.74</v>
      </c>
      <c r="O63" t="n">
        <v>3.97</v>
      </c>
      <c r="P63" t="n">
        <v>8</v>
      </c>
      <c r="Q63" t="n">
        <v>1</v>
      </c>
      <c r="R63" t="n">
        <v>2024.12</v>
      </c>
      <c r="S63" t="b">
        <v>1</v>
      </c>
      <c r="T63" t="n">
        <v>2696961</v>
      </c>
      <c r="U63" t="n">
        <v>10</v>
      </c>
      <c r="V63" t="n">
        <v>0.0439</v>
      </c>
      <c r="W63" t="n">
        <v>2.08</v>
      </c>
      <c r="X63" t="n">
        <v>84.40000000000001</v>
      </c>
      <c r="Y63">
        <f>VLOOKUP(D63,$AB$2:$AC$7,2,FALSE)</f>
        <v/>
      </c>
      <c r="Z63">
        <f>IF(A63&lt;Y63,"Yes","No")</f>
        <v/>
      </c>
    </row>
    <row r="64">
      <c r="A64" t="n">
        <v>2022</v>
      </c>
      <c r="B64" t="inlineStr">
        <is>
          <t>Q1</t>
        </is>
      </c>
      <c r="C64" t="inlineStr">
        <is>
          <t>Australia</t>
        </is>
      </c>
      <c r="D64" t="inlineStr">
        <is>
          <t>Cybertruck</t>
        </is>
      </c>
      <c r="E64" t="n">
        <v>3014</v>
      </c>
      <c r="F64" t="n">
        <v>36549.6</v>
      </c>
      <c r="G64" t="n">
        <v>19</v>
      </c>
      <c r="H64" t="inlineStr">
        <is>
          <t>Standard</t>
        </is>
      </c>
      <c r="I64" t="inlineStr">
        <is>
          <t>AWD</t>
        </is>
      </c>
      <c r="J64" t="inlineStr">
        <is>
          <t>White</t>
        </is>
      </c>
      <c r="K64" t="n">
        <v>598</v>
      </c>
      <c r="L64" t="n">
        <v>42</v>
      </c>
      <c r="M64" t="n">
        <v>15.72</v>
      </c>
      <c r="N64" t="n">
        <v>2336.24</v>
      </c>
      <c r="O64" t="n">
        <v>3.62</v>
      </c>
      <c r="P64" t="n">
        <v>4</v>
      </c>
      <c r="Q64" t="n">
        <v>0</v>
      </c>
      <c r="R64" t="n">
        <v>2022.1</v>
      </c>
      <c r="S64" t="b">
        <v>1</v>
      </c>
      <c r="T64" t="n">
        <v>3260155</v>
      </c>
      <c r="U64" t="n">
        <v>4</v>
      </c>
      <c r="V64" t="n">
        <v>0.0246</v>
      </c>
      <c r="W64" t="n">
        <v>2.16</v>
      </c>
      <c r="X64" t="n">
        <v>83.13</v>
      </c>
      <c r="Y64">
        <f>VLOOKUP(D64,$AB$2:$AC$7,2,FALSE)</f>
        <v/>
      </c>
      <c r="Z64">
        <f>IF(A64&lt;Y64,"Yes","No")</f>
        <v/>
      </c>
    </row>
    <row r="65">
      <c r="A65" t="n">
        <v>2024</v>
      </c>
      <c r="B65" t="inlineStr">
        <is>
          <t>Q2</t>
        </is>
      </c>
      <c r="C65" t="inlineStr">
        <is>
          <t>Australia</t>
        </is>
      </c>
      <c r="D65" t="inlineStr">
        <is>
          <t>Model S</t>
        </is>
      </c>
      <c r="E65" t="n">
        <v>3415</v>
      </c>
      <c r="F65" t="n">
        <v>65965.45</v>
      </c>
      <c r="G65" t="n">
        <v>46</v>
      </c>
      <c r="H65" t="inlineStr">
        <is>
          <t>Standard</t>
        </is>
      </c>
      <c r="I65" t="inlineStr">
        <is>
          <t>RWD</t>
        </is>
      </c>
      <c r="J65" t="inlineStr">
        <is>
          <t>Silver</t>
        </is>
      </c>
      <c r="K65" t="n">
        <v>495</v>
      </c>
      <c r="L65" t="n">
        <v>78</v>
      </c>
      <c r="M65" t="n">
        <v>21.98</v>
      </c>
      <c r="N65" t="n">
        <v>4773.68</v>
      </c>
      <c r="O65" t="n">
        <v>4.3</v>
      </c>
      <c r="P65" t="n">
        <v>6</v>
      </c>
      <c r="Q65" t="n">
        <v>3</v>
      </c>
      <c r="R65" t="n">
        <v>2021.6</v>
      </c>
      <c r="S65" t="b">
        <v>0</v>
      </c>
      <c r="T65" t="n">
        <v>3972852</v>
      </c>
      <c r="U65" t="n">
        <v>6</v>
      </c>
      <c r="V65" t="n">
        <v>0.08</v>
      </c>
      <c r="W65" t="n">
        <v>1.51</v>
      </c>
      <c r="X65" t="n">
        <v>72.56</v>
      </c>
      <c r="Y65">
        <f>VLOOKUP(D65,$AB$2:$AC$7,2,FALSE)</f>
        <v/>
      </c>
      <c r="Z65">
        <f>IF(A65&lt;Y65,"Yes","No")</f>
        <v/>
      </c>
    </row>
    <row r="66">
      <c r="A66" t="n">
        <v>2014</v>
      </c>
      <c r="B66" t="inlineStr">
        <is>
          <t>Q2</t>
        </is>
      </c>
      <c r="C66" t="inlineStr">
        <is>
          <t>South America</t>
        </is>
      </c>
      <c r="D66" t="inlineStr">
        <is>
          <t>Model 3</t>
        </is>
      </c>
      <c r="E66" t="n">
        <v>2098</v>
      </c>
      <c r="F66" t="n">
        <v>39435.28</v>
      </c>
      <c r="G66" t="n">
        <v>30</v>
      </c>
      <c r="H66" t="inlineStr">
        <is>
          <t>Long Range</t>
        </is>
      </c>
      <c r="I66" t="inlineStr">
        <is>
          <t>AWD</t>
        </is>
      </c>
      <c r="J66" t="inlineStr">
        <is>
          <t>Green</t>
        </is>
      </c>
      <c r="K66" t="n">
        <v>614</v>
      </c>
      <c r="L66" t="n">
        <v>84</v>
      </c>
      <c r="M66" t="n">
        <v>14.5</v>
      </c>
      <c r="N66" t="n">
        <v>1400.94</v>
      </c>
      <c r="O66" t="n">
        <v>3.74</v>
      </c>
      <c r="P66" t="n">
        <v>8</v>
      </c>
      <c r="Q66" t="n">
        <v>1</v>
      </c>
      <c r="R66" t="n">
        <v>2023.2</v>
      </c>
      <c r="S66" t="b">
        <v>1</v>
      </c>
      <c r="T66" t="n">
        <v>3884335</v>
      </c>
      <c r="U66" t="n">
        <v>7</v>
      </c>
      <c r="V66" t="n">
        <v>0.09370000000000001</v>
      </c>
      <c r="W66" t="n">
        <v>1.33</v>
      </c>
      <c r="X66" t="n">
        <v>71.89</v>
      </c>
      <c r="Y66">
        <f>VLOOKUP(D66,$AB$2:$AC$7,2,FALSE)</f>
        <v/>
      </c>
      <c r="Z66">
        <f>IF(A66&lt;Y66,"Yes","No")</f>
        <v/>
      </c>
    </row>
    <row r="67">
      <c r="A67" t="n">
        <v>2017</v>
      </c>
      <c r="B67" t="inlineStr">
        <is>
          <t>Q2</t>
        </is>
      </c>
      <c r="C67" t="inlineStr">
        <is>
          <t>Australia</t>
        </is>
      </c>
      <c r="D67" t="inlineStr">
        <is>
          <t>Model S</t>
        </is>
      </c>
      <c r="E67" t="n">
        <v>3121</v>
      </c>
      <c r="F67" t="n">
        <v>54085.79</v>
      </c>
      <c r="G67" t="n">
        <v>20</v>
      </c>
      <c r="H67" t="inlineStr">
        <is>
          <t>Standard</t>
        </is>
      </c>
      <c r="I67" t="inlineStr">
        <is>
          <t>RWD</t>
        </is>
      </c>
      <c r="J67" t="inlineStr">
        <is>
          <t>Black</t>
        </is>
      </c>
      <c r="K67" t="n">
        <v>420</v>
      </c>
      <c r="L67" t="n">
        <v>32</v>
      </c>
      <c r="M67" t="n">
        <v>16.44</v>
      </c>
      <c r="N67" t="n">
        <v>6739.87</v>
      </c>
      <c r="O67" t="n">
        <v>4.54</v>
      </c>
      <c r="P67" t="n">
        <v>5</v>
      </c>
      <c r="Q67" t="n">
        <v>3</v>
      </c>
      <c r="R67" t="n">
        <v>2023.1</v>
      </c>
      <c r="S67" t="b">
        <v>1</v>
      </c>
      <c r="T67" t="n">
        <v>764593</v>
      </c>
      <c r="U67" t="n">
        <v>2</v>
      </c>
      <c r="V67" t="n">
        <v>0.033</v>
      </c>
      <c r="W67" t="n">
        <v>2.17</v>
      </c>
      <c r="X67" t="n">
        <v>76.45999999999999</v>
      </c>
      <c r="Y67">
        <f>VLOOKUP(D67,$AB$2:$AC$7,2,FALSE)</f>
        <v/>
      </c>
      <c r="Z67">
        <f>IF(A67&lt;Y67,"Yes","No")</f>
        <v/>
      </c>
    </row>
    <row r="68">
      <c r="A68" t="n">
        <v>2023</v>
      </c>
      <c r="B68" t="inlineStr">
        <is>
          <t>Q4</t>
        </is>
      </c>
      <c r="C68" t="inlineStr">
        <is>
          <t>North America</t>
        </is>
      </c>
      <c r="D68" t="inlineStr">
        <is>
          <t>Model X</t>
        </is>
      </c>
      <c r="E68" t="n">
        <v>1996</v>
      </c>
      <c r="F68" t="n">
        <v>60597.85</v>
      </c>
      <c r="G68" t="n">
        <v>3</v>
      </c>
      <c r="H68" t="inlineStr">
        <is>
          <t>Standard</t>
        </is>
      </c>
      <c r="I68" t="inlineStr">
        <is>
          <t>RWD</t>
        </is>
      </c>
      <c r="J68" t="inlineStr">
        <is>
          <t>Green</t>
        </is>
      </c>
      <c r="K68" t="n">
        <v>668</v>
      </c>
      <c r="L68" t="n">
        <v>59</v>
      </c>
      <c r="M68" t="n">
        <v>13.75</v>
      </c>
      <c r="N68" t="n">
        <v>4338.06</v>
      </c>
      <c r="O68" t="n">
        <v>4.25</v>
      </c>
      <c r="P68" t="n">
        <v>4</v>
      </c>
      <c r="Q68" t="n">
        <v>1</v>
      </c>
      <c r="R68" t="n">
        <v>2021.5</v>
      </c>
      <c r="S68" t="b">
        <v>0</v>
      </c>
      <c r="T68" t="n">
        <v>113122</v>
      </c>
      <c r="U68" t="n">
        <v>11</v>
      </c>
      <c r="V68" t="n">
        <v>0.0418</v>
      </c>
      <c r="W68" t="n">
        <v>1.64</v>
      </c>
      <c r="X68" t="n">
        <v>65.62</v>
      </c>
      <c r="Y68">
        <f>VLOOKUP(D68,$AB$2:$AC$7,2,FALSE)</f>
        <v/>
      </c>
      <c r="Z68">
        <f>IF(A68&lt;Y68,"Yes","No")</f>
        <v/>
      </c>
    </row>
    <row r="69">
      <c r="A69" t="n">
        <v>2022</v>
      </c>
      <c r="B69" t="inlineStr">
        <is>
          <t>Q1</t>
        </is>
      </c>
      <c r="C69" t="inlineStr">
        <is>
          <t>South America</t>
        </is>
      </c>
      <c r="D69" t="inlineStr">
        <is>
          <t>Model X</t>
        </is>
      </c>
      <c r="E69" t="n">
        <v>604</v>
      </c>
      <c r="F69" t="n">
        <v>116039.31</v>
      </c>
      <c r="G69" t="n">
        <v>34</v>
      </c>
      <c r="H69" t="inlineStr">
        <is>
          <t>Performance</t>
        </is>
      </c>
      <c r="I69" t="inlineStr">
        <is>
          <t>AWD</t>
        </is>
      </c>
      <c r="J69" t="inlineStr">
        <is>
          <t>Blue</t>
        </is>
      </c>
      <c r="K69" t="n">
        <v>590</v>
      </c>
      <c r="L69" t="n">
        <v>32</v>
      </c>
      <c r="M69" t="n">
        <v>20.63</v>
      </c>
      <c r="N69" t="n">
        <v>1487.1</v>
      </c>
      <c r="O69" t="n">
        <v>3.88</v>
      </c>
      <c r="P69" t="n">
        <v>4</v>
      </c>
      <c r="Q69" t="n">
        <v>2</v>
      </c>
      <c r="R69" t="n">
        <v>2020.6</v>
      </c>
      <c r="S69" t="b">
        <v>1</v>
      </c>
      <c r="T69" t="n">
        <v>969595</v>
      </c>
      <c r="U69" t="n">
        <v>11</v>
      </c>
      <c r="V69" t="n">
        <v>0.0762</v>
      </c>
      <c r="W69" t="n">
        <v>1.17</v>
      </c>
      <c r="X69" t="n">
        <v>61.33</v>
      </c>
      <c r="Y69">
        <f>VLOOKUP(D69,$AB$2:$AC$7,2,FALSE)</f>
        <v/>
      </c>
      <c r="Z69">
        <f>IF(A69&lt;Y69,"Yes","No")</f>
        <v/>
      </c>
    </row>
    <row r="70">
      <c r="A70" t="n">
        <v>2020</v>
      </c>
      <c r="B70" t="inlineStr">
        <is>
          <t>Q3</t>
        </is>
      </c>
      <c r="C70" t="inlineStr">
        <is>
          <t>Europe</t>
        </is>
      </c>
      <c r="D70" t="inlineStr">
        <is>
          <t>Semi</t>
        </is>
      </c>
      <c r="E70" t="n">
        <v>3856</v>
      </c>
      <c r="F70" t="n">
        <v>118369.63</v>
      </c>
      <c r="G70" t="n">
        <v>30</v>
      </c>
      <c r="H70" t="inlineStr">
        <is>
          <t>Performance</t>
        </is>
      </c>
      <c r="I70" t="inlineStr">
        <is>
          <t>AWD</t>
        </is>
      </c>
      <c r="J70" t="inlineStr">
        <is>
          <t>Black</t>
        </is>
      </c>
      <c r="K70" t="n">
        <v>382</v>
      </c>
      <c r="L70" t="n">
        <v>75</v>
      </c>
      <c r="M70" t="n">
        <v>22.31</v>
      </c>
      <c r="N70" t="n">
        <v>5457.62</v>
      </c>
      <c r="O70" t="n">
        <v>3.94</v>
      </c>
      <c r="P70" t="n">
        <v>4</v>
      </c>
      <c r="Q70" t="n">
        <v>1</v>
      </c>
      <c r="R70" t="n">
        <v>2020.6</v>
      </c>
      <c r="S70" t="b">
        <v>0</v>
      </c>
      <c r="T70" t="n">
        <v>4423350</v>
      </c>
      <c r="U70" t="n">
        <v>8</v>
      </c>
      <c r="V70" t="n">
        <v>0.099</v>
      </c>
      <c r="W70" t="n">
        <v>1.59</v>
      </c>
      <c r="X70" t="n">
        <v>67.59999999999999</v>
      </c>
      <c r="Y70">
        <f>VLOOKUP(D70,$AB$2:$AC$7,2,FALSE)</f>
        <v/>
      </c>
      <c r="Z70">
        <f>IF(A70&lt;Y70,"Yes","No")</f>
        <v/>
      </c>
    </row>
    <row r="71">
      <c r="A71" t="n">
        <v>2024</v>
      </c>
      <c r="B71" t="inlineStr">
        <is>
          <t>Q2</t>
        </is>
      </c>
      <c r="C71" t="inlineStr">
        <is>
          <t>Asia</t>
        </is>
      </c>
      <c r="D71" t="inlineStr">
        <is>
          <t>Model X</t>
        </is>
      </c>
      <c r="E71" t="n">
        <v>441</v>
      </c>
      <c r="F71" t="n">
        <v>108592.85</v>
      </c>
      <c r="G71" t="n">
        <v>21</v>
      </c>
      <c r="H71" t="inlineStr">
        <is>
          <t>Long Range</t>
        </is>
      </c>
      <c r="I71" t="inlineStr">
        <is>
          <t>AWD</t>
        </is>
      </c>
      <c r="J71" t="inlineStr">
        <is>
          <t>White</t>
        </is>
      </c>
      <c r="K71" t="n">
        <v>573</v>
      </c>
      <c r="L71" t="n">
        <v>86</v>
      </c>
      <c r="M71" t="n">
        <v>17.8</v>
      </c>
      <c r="N71" t="n">
        <v>608.35</v>
      </c>
      <c r="O71" t="n">
        <v>4.93</v>
      </c>
      <c r="P71" t="n">
        <v>6</v>
      </c>
      <c r="Q71" t="n">
        <v>1</v>
      </c>
      <c r="R71" t="n">
        <v>2023.12</v>
      </c>
      <c r="S71" t="b">
        <v>0</v>
      </c>
      <c r="T71" t="n">
        <v>3181529</v>
      </c>
      <c r="U71" t="n">
        <v>10</v>
      </c>
      <c r="V71" t="n">
        <v>0.034</v>
      </c>
      <c r="W71" t="n">
        <v>0.67</v>
      </c>
      <c r="X71" t="n">
        <v>72.73</v>
      </c>
      <c r="Y71">
        <f>VLOOKUP(D71,$AB$2:$AC$7,2,FALSE)</f>
        <v/>
      </c>
      <c r="Z71">
        <f>IF(A71&lt;Y71,"Yes","No")</f>
        <v/>
      </c>
    </row>
    <row r="72">
      <c r="A72" t="n">
        <v>2018</v>
      </c>
      <c r="B72" t="inlineStr">
        <is>
          <t>Q2</t>
        </is>
      </c>
      <c r="C72" t="inlineStr">
        <is>
          <t>South America</t>
        </is>
      </c>
      <c r="D72" t="inlineStr">
        <is>
          <t>Model X</t>
        </is>
      </c>
      <c r="E72" t="n">
        <v>2681</v>
      </c>
      <c r="F72" t="n">
        <v>43720.82</v>
      </c>
      <c r="G72" t="n">
        <v>20</v>
      </c>
      <c r="H72" t="inlineStr">
        <is>
          <t>Performance</t>
        </is>
      </c>
      <c r="I72" t="inlineStr">
        <is>
          <t>RWD</t>
        </is>
      </c>
      <c r="J72" t="inlineStr">
        <is>
          <t>White</t>
        </is>
      </c>
      <c r="K72" t="n">
        <v>578</v>
      </c>
      <c r="L72" t="n">
        <v>68</v>
      </c>
      <c r="M72" t="n">
        <v>21.61</v>
      </c>
      <c r="N72" t="n">
        <v>2234.05</v>
      </c>
      <c r="O72" t="n">
        <v>4.17</v>
      </c>
      <c r="P72" t="n">
        <v>8</v>
      </c>
      <c r="Q72" t="n">
        <v>0</v>
      </c>
      <c r="R72" t="n">
        <v>2022.1</v>
      </c>
      <c r="S72" t="b">
        <v>0</v>
      </c>
      <c r="T72" t="n">
        <v>2403137</v>
      </c>
      <c r="U72" t="n">
        <v>12</v>
      </c>
      <c r="V72" t="n">
        <v>0.0982</v>
      </c>
      <c r="W72" t="n">
        <v>2.4</v>
      </c>
      <c r="X72" t="n">
        <v>62.25</v>
      </c>
      <c r="Y72">
        <f>VLOOKUP(D72,$AB$2:$AC$7,2,FALSE)</f>
        <v/>
      </c>
      <c r="Z72">
        <f>IF(A72&lt;Y72,"Yes","No")</f>
        <v/>
      </c>
    </row>
    <row r="73">
      <c r="A73" t="n">
        <v>2022</v>
      </c>
      <c r="B73" t="inlineStr">
        <is>
          <t>Q4</t>
        </is>
      </c>
      <c r="C73" t="inlineStr">
        <is>
          <t>Asia</t>
        </is>
      </c>
      <c r="D73" t="inlineStr">
        <is>
          <t>Cybertruck</t>
        </is>
      </c>
      <c r="E73" t="n">
        <v>1360</v>
      </c>
      <c r="F73" t="n">
        <v>115987.1</v>
      </c>
      <c r="G73" t="n">
        <v>9</v>
      </c>
      <c r="H73" t="inlineStr">
        <is>
          <t>Performance</t>
        </is>
      </c>
      <c r="I73" t="inlineStr">
        <is>
          <t>RWD</t>
        </is>
      </c>
      <c r="J73" t="inlineStr">
        <is>
          <t>Red</t>
        </is>
      </c>
      <c r="K73" t="n">
        <v>414</v>
      </c>
      <c r="L73" t="n">
        <v>34</v>
      </c>
      <c r="M73" t="n">
        <v>15.83</v>
      </c>
      <c r="N73" t="n">
        <v>2434.84</v>
      </c>
      <c r="O73" t="n">
        <v>4.04</v>
      </c>
      <c r="P73" t="n">
        <v>4</v>
      </c>
      <c r="Q73" t="n">
        <v>1</v>
      </c>
      <c r="R73" t="n">
        <v>2023.6</v>
      </c>
      <c r="S73" t="b">
        <v>0</v>
      </c>
      <c r="T73" t="n">
        <v>3824032</v>
      </c>
      <c r="U73" t="n">
        <v>3</v>
      </c>
      <c r="V73" t="n">
        <v>0.0617</v>
      </c>
      <c r="W73" t="n">
        <v>1.56</v>
      </c>
      <c r="X73" t="n">
        <v>71.94</v>
      </c>
      <c r="Y73">
        <f>VLOOKUP(D73,$AB$2:$AC$7,2,FALSE)</f>
        <v/>
      </c>
      <c r="Z73">
        <f>IF(A73&lt;Y73,"Yes","No")</f>
        <v/>
      </c>
    </row>
    <row r="74">
      <c r="A74" t="n">
        <v>2022</v>
      </c>
      <c r="B74" t="inlineStr">
        <is>
          <t>Q3</t>
        </is>
      </c>
      <c r="C74" t="inlineStr">
        <is>
          <t>Europe</t>
        </is>
      </c>
      <c r="D74" t="inlineStr">
        <is>
          <t>Model S</t>
        </is>
      </c>
      <c r="E74" t="n">
        <v>262</v>
      </c>
      <c r="F74" t="n">
        <v>97532.36</v>
      </c>
      <c r="G74" t="n">
        <v>31</v>
      </c>
      <c r="H74" t="inlineStr">
        <is>
          <t>Performance</t>
        </is>
      </c>
      <c r="I74" t="inlineStr">
        <is>
          <t>RWD</t>
        </is>
      </c>
      <c r="J74" t="inlineStr">
        <is>
          <t>Silver</t>
        </is>
      </c>
      <c r="K74" t="n">
        <v>410</v>
      </c>
      <c r="L74" t="n">
        <v>46</v>
      </c>
      <c r="M74" t="n">
        <v>22.3</v>
      </c>
      <c r="N74" t="n">
        <v>499.92</v>
      </c>
      <c r="O74" t="n">
        <v>3.82</v>
      </c>
      <c r="P74" t="n">
        <v>6</v>
      </c>
      <c r="Q74" t="n">
        <v>3</v>
      </c>
      <c r="R74" t="n">
        <v>2021.2</v>
      </c>
      <c r="S74" t="b">
        <v>1</v>
      </c>
      <c r="T74" t="n">
        <v>721193</v>
      </c>
      <c r="U74" t="n">
        <v>9</v>
      </c>
      <c r="V74" t="n">
        <v>0.0255</v>
      </c>
      <c r="W74" t="n">
        <v>1.93</v>
      </c>
      <c r="X74" t="n">
        <v>89.92</v>
      </c>
      <c r="Y74">
        <f>VLOOKUP(D74,$AB$2:$AC$7,2,FALSE)</f>
        <v/>
      </c>
      <c r="Z74">
        <f>IF(A74&lt;Y74,"Yes","No")</f>
        <v/>
      </c>
    </row>
    <row r="75">
      <c r="A75" t="n">
        <v>2024</v>
      </c>
      <c r="B75" t="inlineStr">
        <is>
          <t>Q3</t>
        </is>
      </c>
      <c r="C75" t="inlineStr">
        <is>
          <t>Asia</t>
        </is>
      </c>
      <c r="D75" t="inlineStr">
        <is>
          <t>Semi</t>
        </is>
      </c>
      <c r="E75" t="n">
        <v>581</v>
      </c>
      <c r="F75" t="n">
        <v>81749.75999999999</v>
      </c>
      <c r="G75" t="n">
        <v>18</v>
      </c>
      <c r="H75" t="inlineStr">
        <is>
          <t>Long Range</t>
        </is>
      </c>
      <c r="I75" t="inlineStr">
        <is>
          <t>AWD</t>
        </is>
      </c>
      <c r="J75" t="inlineStr">
        <is>
          <t>Green</t>
        </is>
      </c>
      <c r="K75" t="n">
        <v>676</v>
      </c>
      <c r="L75" t="n">
        <v>41</v>
      </c>
      <c r="M75" t="n">
        <v>22.52</v>
      </c>
      <c r="N75" t="n">
        <v>881.67</v>
      </c>
      <c r="O75" t="n">
        <v>3.68</v>
      </c>
      <c r="P75" t="n">
        <v>5</v>
      </c>
      <c r="Q75" t="n">
        <v>1</v>
      </c>
      <c r="R75" t="n">
        <v>2021.8</v>
      </c>
      <c r="S75" t="b">
        <v>1</v>
      </c>
      <c r="T75" t="n">
        <v>3127419</v>
      </c>
      <c r="U75" t="n">
        <v>10</v>
      </c>
      <c r="V75" t="n">
        <v>0.0615</v>
      </c>
      <c r="W75" t="n">
        <v>1.43</v>
      </c>
      <c r="X75" t="n">
        <v>89.48999999999999</v>
      </c>
      <c r="Y75">
        <f>VLOOKUP(D75,$AB$2:$AC$7,2,FALSE)</f>
        <v/>
      </c>
      <c r="Z75">
        <f>IF(A75&lt;Y75,"Yes","No")</f>
        <v/>
      </c>
    </row>
    <row r="76">
      <c r="A76" t="n">
        <v>2014</v>
      </c>
      <c r="B76" t="inlineStr">
        <is>
          <t>Q1</t>
        </is>
      </c>
      <c r="C76" t="inlineStr">
        <is>
          <t>North America</t>
        </is>
      </c>
      <c r="D76" t="inlineStr">
        <is>
          <t>Model X</t>
        </is>
      </c>
      <c r="E76" t="n">
        <v>3311</v>
      </c>
      <c r="F76" t="n">
        <v>119965.58</v>
      </c>
      <c r="G76" t="n">
        <v>46</v>
      </c>
      <c r="H76" t="inlineStr">
        <is>
          <t>Long Range</t>
        </is>
      </c>
      <c r="I76" t="inlineStr">
        <is>
          <t>RWD</t>
        </is>
      </c>
      <c r="J76" t="inlineStr">
        <is>
          <t>Blue</t>
        </is>
      </c>
      <c r="K76" t="n">
        <v>644</v>
      </c>
      <c r="L76" t="n">
        <v>34</v>
      </c>
      <c r="M76" t="n">
        <v>14.5</v>
      </c>
      <c r="N76" t="n">
        <v>3754.86</v>
      </c>
      <c r="O76" t="n">
        <v>3.61</v>
      </c>
      <c r="P76" t="n">
        <v>8</v>
      </c>
      <c r="Q76" t="n">
        <v>2</v>
      </c>
      <c r="R76" t="n">
        <v>2021.9</v>
      </c>
      <c r="S76" t="b">
        <v>1</v>
      </c>
      <c r="T76" t="n">
        <v>1182406</v>
      </c>
      <c r="U76" t="n">
        <v>8</v>
      </c>
      <c r="V76" t="n">
        <v>0.0553</v>
      </c>
      <c r="W76" t="n">
        <v>2.24</v>
      </c>
      <c r="X76" t="n">
        <v>84.94</v>
      </c>
      <c r="Y76">
        <f>VLOOKUP(D76,$AB$2:$AC$7,2,FALSE)</f>
        <v/>
      </c>
      <c r="Z76">
        <f>IF(A76&lt;Y76,"Yes","No")</f>
        <v/>
      </c>
    </row>
    <row r="77">
      <c r="A77" t="n">
        <v>2020</v>
      </c>
      <c r="B77" t="inlineStr">
        <is>
          <t>Q2</t>
        </is>
      </c>
      <c r="C77" t="inlineStr">
        <is>
          <t>Asia</t>
        </is>
      </c>
      <c r="D77" t="inlineStr">
        <is>
          <t>Model 3</t>
        </is>
      </c>
      <c r="E77" t="n">
        <v>1376</v>
      </c>
      <c r="F77" t="n">
        <v>62426.16</v>
      </c>
      <c r="G77" t="n">
        <v>45</v>
      </c>
      <c r="H77" t="inlineStr">
        <is>
          <t>Standard</t>
        </is>
      </c>
      <c r="I77" t="inlineStr">
        <is>
          <t>RWD</t>
        </is>
      </c>
      <c r="J77" t="inlineStr">
        <is>
          <t>Silver</t>
        </is>
      </c>
      <c r="K77" t="n">
        <v>495</v>
      </c>
      <c r="L77" t="n">
        <v>84</v>
      </c>
      <c r="M77" t="n">
        <v>13.95</v>
      </c>
      <c r="N77" t="n">
        <v>1228.22</v>
      </c>
      <c r="O77" t="n">
        <v>4.93</v>
      </c>
      <c r="P77" t="n">
        <v>6</v>
      </c>
      <c r="Q77" t="n">
        <v>1</v>
      </c>
      <c r="R77" t="n">
        <v>2022.1</v>
      </c>
      <c r="S77" t="b">
        <v>1</v>
      </c>
      <c r="T77" t="n">
        <v>4315889</v>
      </c>
      <c r="U77" t="n">
        <v>12</v>
      </c>
      <c r="V77" t="n">
        <v>0.0252</v>
      </c>
      <c r="W77" t="n">
        <v>2.38</v>
      </c>
      <c r="X77" t="n">
        <v>64.63</v>
      </c>
      <c r="Y77">
        <f>VLOOKUP(D77,$AB$2:$AC$7,2,FALSE)</f>
        <v/>
      </c>
      <c r="Z77">
        <f>IF(A77&lt;Y77,"Yes","No")</f>
        <v/>
      </c>
    </row>
    <row r="78">
      <c r="A78" t="n">
        <v>2022</v>
      </c>
      <c r="B78" t="inlineStr">
        <is>
          <t>Q3</t>
        </is>
      </c>
      <c r="C78" t="inlineStr">
        <is>
          <t>South America</t>
        </is>
      </c>
      <c r="D78" t="inlineStr">
        <is>
          <t>Model S</t>
        </is>
      </c>
      <c r="E78" t="n">
        <v>282</v>
      </c>
      <c r="F78" t="n">
        <v>41903.94</v>
      </c>
      <c r="G78" t="n">
        <v>60</v>
      </c>
      <c r="H78" t="inlineStr">
        <is>
          <t>Performance</t>
        </is>
      </c>
      <c r="I78" t="inlineStr">
        <is>
          <t>RWD</t>
        </is>
      </c>
      <c r="J78" t="inlineStr">
        <is>
          <t>Green</t>
        </is>
      </c>
      <c r="K78" t="n">
        <v>457</v>
      </c>
      <c r="L78" t="n">
        <v>79</v>
      </c>
      <c r="M78" t="n">
        <v>19.87</v>
      </c>
      <c r="N78" t="n">
        <v>489.61</v>
      </c>
      <c r="O78" t="n">
        <v>3.55</v>
      </c>
      <c r="P78" t="n">
        <v>6</v>
      </c>
      <c r="Q78" t="n">
        <v>2</v>
      </c>
      <c r="R78" t="n">
        <v>2023.4</v>
      </c>
      <c r="S78" t="b">
        <v>0</v>
      </c>
      <c r="T78" t="n">
        <v>2595056</v>
      </c>
      <c r="U78" t="n">
        <v>9</v>
      </c>
      <c r="V78" t="n">
        <v>0.0166</v>
      </c>
      <c r="W78" t="n">
        <v>0.62</v>
      </c>
      <c r="X78" t="n">
        <v>73.19</v>
      </c>
      <c r="Y78">
        <f>VLOOKUP(D78,$AB$2:$AC$7,2,FALSE)</f>
        <v/>
      </c>
      <c r="Z78">
        <f>IF(A78&lt;Y78,"Yes","No")</f>
        <v/>
      </c>
    </row>
    <row r="79">
      <c r="A79" t="n">
        <v>2019</v>
      </c>
      <c r="B79" t="inlineStr">
        <is>
          <t>Q4</t>
        </is>
      </c>
      <c r="C79" t="inlineStr">
        <is>
          <t>Europe</t>
        </is>
      </c>
      <c r="D79" t="inlineStr">
        <is>
          <t>Model X</t>
        </is>
      </c>
      <c r="E79" t="n">
        <v>1226</v>
      </c>
      <c r="F79" t="n">
        <v>61569.51</v>
      </c>
      <c r="G79" t="n">
        <v>45</v>
      </c>
      <c r="H79" t="inlineStr">
        <is>
          <t>Long Range</t>
        </is>
      </c>
      <c r="I79" t="inlineStr">
        <is>
          <t>RWD</t>
        </is>
      </c>
      <c r="J79" t="inlineStr">
        <is>
          <t>Blue</t>
        </is>
      </c>
      <c r="K79" t="n">
        <v>416</v>
      </c>
      <c r="L79" t="n">
        <v>78</v>
      </c>
      <c r="M79" t="n">
        <v>17.45</v>
      </c>
      <c r="N79" t="n">
        <v>1990.17</v>
      </c>
      <c r="O79" t="n">
        <v>3.98</v>
      </c>
      <c r="P79" t="n">
        <v>8</v>
      </c>
      <c r="Q79" t="n">
        <v>0</v>
      </c>
      <c r="R79" t="n">
        <v>2022.8</v>
      </c>
      <c r="S79" t="b">
        <v>1</v>
      </c>
      <c r="T79" t="n">
        <v>1281767</v>
      </c>
      <c r="U79" t="n">
        <v>3</v>
      </c>
      <c r="V79" t="n">
        <v>0.0146</v>
      </c>
      <c r="W79" t="n">
        <v>2.39</v>
      </c>
      <c r="X79" t="n">
        <v>85.92</v>
      </c>
      <c r="Y79">
        <f>VLOOKUP(D79,$AB$2:$AC$7,2,FALSE)</f>
        <v/>
      </c>
      <c r="Z79">
        <f>IF(A79&lt;Y79,"Yes","No")</f>
        <v/>
      </c>
    </row>
    <row r="80">
      <c r="A80" t="n">
        <v>2018</v>
      </c>
      <c r="B80" t="inlineStr">
        <is>
          <t>Q2</t>
        </is>
      </c>
      <c r="C80" t="inlineStr">
        <is>
          <t>Europe</t>
        </is>
      </c>
      <c r="D80" t="inlineStr">
        <is>
          <t>Model X</t>
        </is>
      </c>
      <c r="E80" t="n">
        <v>4782</v>
      </c>
      <c r="F80" t="n">
        <v>96295.92</v>
      </c>
      <c r="G80" t="n">
        <v>12</v>
      </c>
      <c r="H80" t="inlineStr">
        <is>
          <t>Standard</t>
        </is>
      </c>
      <c r="I80" t="inlineStr">
        <is>
          <t>RWD</t>
        </is>
      </c>
      <c r="J80" t="inlineStr">
        <is>
          <t>Silver</t>
        </is>
      </c>
      <c r="K80" t="n">
        <v>589</v>
      </c>
      <c r="L80" t="n">
        <v>61</v>
      </c>
      <c r="M80" t="n">
        <v>23.55</v>
      </c>
      <c r="N80" t="n">
        <v>7147.85</v>
      </c>
      <c r="O80" t="n">
        <v>3.64</v>
      </c>
      <c r="P80" t="n">
        <v>8</v>
      </c>
      <c r="Q80" t="n">
        <v>3</v>
      </c>
      <c r="R80" t="n">
        <v>2021.4</v>
      </c>
      <c r="S80" t="b">
        <v>0</v>
      </c>
      <c r="T80" t="n">
        <v>508174</v>
      </c>
      <c r="U80" t="n">
        <v>2</v>
      </c>
      <c r="V80" t="n">
        <v>0.0353</v>
      </c>
      <c r="W80" t="n">
        <v>1.7</v>
      </c>
      <c r="X80" t="n">
        <v>85.29000000000001</v>
      </c>
      <c r="Y80">
        <f>VLOOKUP(D80,$AB$2:$AC$7,2,FALSE)</f>
        <v/>
      </c>
      <c r="Z80">
        <f>IF(A80&lt;Y80,"Yes","No")</f>
        <v/>
      </c>
    </row>
    <row r="81">
      <c r="A81" t="n">
        <v>2022</v>
      </c>
      <c r="B81" t="inlineStr">
        <is>
          <t>Q4</t>
        </is>
      </c>
      <c r="C81" t="inlineStr">
        <is>
          <t>Asia</t>
        </is>
      </c>
      <c r="D81" t="inlineStr">
        <is>
          <t>Cybertruck</t>
        </is>
      </c>
      <c r="E81" t="n">
        <v>116</v>
      </c>
      <c r="F81" t="n">
        <v>107009.65</v>
      </c>
      <c r="G81" t="n">
        <v>27</v>
      </c>
      <c r="H81" t="inlineStr">
        <is>
          <t>Standard</t>
        </is>
      </c>
      <c r="I81" t="inlineStr">
        <is>
          <t>RWD</t>
        </is>
      </c>
      <c r="J81" t="inlineStr">
        <is>
          <t>Green</t>
        </is>
      </c>
      <c r="K81" t="n">
        <v>537</v>
      </c>
      <c r="L81" t="n">
        <v>78</v>
      </c>
      <c r="M81" t="n">
        <v>17.84</v>
      </c>
      <c r="N81" t="n">
        <v>68.5</v>
      </c>
      <c r="O81" t="n">
        <v>3.58</v>
      </c>
      <c r="P81" t="n">
        <v>5</v>
      </c>
      <c r="Q81" t="n">
        <v>2</v>
      </c>
      <c r="R81" t="n">
        <v>2024.5</v>
      </c>
      <c r="S81" t="b">
        <v>1</v>
      </c>
      <c r="T81" t="n">
        <v>3340928</v>
      </c>
      <c r="U81" t="n">
        <v>10</v>
      </c>
      <c r="V81" t="n">
        <v>0.0505</v>
      </c>
      <c r="W81" t="n">
        <v>1.6</v>
      </c>
      <c r="X81" t="n">
        <v>84.76000000000001</v>
      </c>
      <c r="Y81">
        <f>VLOOKUP(D81,$AB$2:$AC$7,2,FALSE)</f>
        <v/>
      </c>
      <c r="Z81">
        <f>IF(A81&lt;Y81,"Yes","No")</f>
        <v/>
      </c>
    </row>
    <row r="82">
      <c r="A82" t="n">
        <v>2021</v>
      </c>
      <c r="B82" t="inlineStr">
        <is>
          <t>Q1</t>
        </is>
      </c>
      <c r="C82" t="inlineStr">
        <is>
          <t>Europe</t>
        </is>
      </c>
      <c r="D82" t="inlineStr">
        <is>
          <t>Model S</t>
        </is>
      </c>
      <c r="E82" t="n">
        <v>3276</v>
      </c>
      <c r="F82" t="n">
        <v>66721.86</v>
      </c>
      <c r="G82" t="n">
        <v>21</v>
      </c>
      <c r="H82" t="inlineStr">
        <is>
          <t>Performance</t>
        </is>
      </c>
      <c r="I82" t="inlineStr">
        <is>
          <t>RWD</t>
        </is>
      </c>
      <c r="J82" t="inlineStr">
        <is>
          <t>Black</t>
        </is>
      </c>
      <c r="K82" t="n">
        <v>451</v>
      </c>
      <c r="L82" t="n">
        <v>68</v>
      </c>
      <c r="M82" t="n">
        <v>19.11</v>
      </c>
      <c r="N82" t="n">
        <v>4914.51</v>
      </c>
      <c r="O82" t="n">
        <v>3.57</v>
      </c>
      <c r="P82" t="n">
        <v>5</v>
      </c>
      <c r="Q82" t="n">
        <v>2</v>
      </c>
      <c r="R82" t="n">
        <v>2023.9</v>
      </c>
      <c r="S82" t="b">
        <v>0</v>
      </c>
      <c r="T82" t="n">
        <v>1349404</v>
      </c>
      <c r="U82" t="n">
        <v>11</v>
      </c>
      <c r="V82" t="n">
        <v>0.09039999999999999</v>
      </c>
      <c r="W82" t="n">
        <v>0.78</v>
      </c>
      <c r="X82" t="n">
        <v>87.94</v>
      </c>
      <c r="Y82">
        <f>VLOOKUP(D82,$AB$2:$AC$7,2,FALSE)</f>
        <v/>
      </c>
      <c r="Z82">
        <f>IF(A82&lt;Y82,"Yes","No")</f>
        <v/>
      </c>
    </row>
    <row r="83">
      <c r="A83" t="n">
        <v>2017</v>
      </c>
      <c r="B83" t="inlineStr">
        <is>
          <t>Q2</t>
        </is>
      </c>
      <c r="C83" t="inlineStr">
        <is>
          <t>Australia</t>
        </is>
      </c>
      <c r="D83" t="inlineStr">
        <is>
          <t>Cybertruck</t>
        </is>
      </c>
      <c r="E83" t="n">
        <v>2501</v>
      </c>
      <c r="F83" t="n">
        <v>85466.60000000001</v>
      </c>
      <c r="G83" t="n">
        <v>32</v>
      </c>
      <c r="H83" t="inlineStr">
        <is>
          <t>Performance</t>
        </is>
      </c>
      <c r="I83" t="inlineStr">
        <is>
          <t>RWD</t>
        </is>
      </c>
      <c r="J83" t="inlineStr">
        <is>
          <t>Green</t>
        </is>
      </c>
      <c r="K83" t="n">
        <v>638</v>
      </c>
      <c r="L83" t="n">
        <v>49</v>
      </c>
      <c r="M83" t="n">
        <v>18.7</v>
      </c>
      <c r="N83" t="n">
        <v>1333.72</v>
      </c>
      <c r="O83" t="n">
        <v>4</v>
      </c>
      <c r="P83" t="n">
        <v>4</v>
      </c>
      <c r="Q83" t="n">
        <v>3</v>
      </c>
      <c r="R83" t="n">
        <v>2024.5</v>
      </c>
      <c r="S83" t="b">
        <v>1</v>
      </c>
      <c r="T83" t="n">
        <v>4081151</v>
      </c>
      <c r="U83" t="n">
        <v>6</v>
      </c>
      <c r="V83" t="n">
        <v>0.097</v>
      </c>
      <c r="W83" t="n">
        <v>2.07</v>
      </c>
      <c r="X83" t="n">
        <v>83.28</v>
      </c>
      <c r="Y83">
        <f>VLOOKUP(D83,$AB$2:$AC$7,2,FALSE)</f>
        <v/>
      </c>
      <c r="Z83">
        <f>IF(A83&lt;Y83,"Yes","No")</f>
        <v/>
      </c>
    </row>
    <row r="84">
      <c r="A84" t="n">
        <v>2021</v>
      </c>
      <c r="B84" t="inlineStr">
        <is>
          <t>Q2</t>
        </is>
      </c>
      <c r="C84" t="inlineStr">
        <is>
          <t>North America</t>
        </is>
      </c>
      <c r="D84" t="inlineStr">
        <is>
          <t>Cybertruck</t>
        </is>
      </c>
      <c r="E84" t="n">
        <v>3985</v>
      </c>
      <c r="F84" t="n">
        <v>49493.53</v>
      </c>
      <c r="G84" t="n">
        <v>40</v>
      </c>
      <c r="H84" t="inlineStr">
        <is>
          <t>Performance</t>
        </is>
      </c>
      <c r="I84" t="inlineStr">
        <is>
          <t>RWD</t>
        </is>
      </c>
      <c r="J84" t="inlineStr">
        <is>
          <t>Black</t>
        </is>
      </c>
      <c r="K84" t="n">
        <v>698</v>
      </c>
      <c r="L84" t="n">
        <v>45</v>
      </c>
      <c r="M84" t="n">
        <v>13.38</v>
      </c>
      <c r="N84" t="n">
        <v>9549.700000000001</v>
      </c>
      <c r="O84" t="n">
        <v>3.66</v>
      </c>
      <c r="P84" t="n">
        <v>4</v>
      </c>
      <c r="Q84" t="n">
        <v>3</v>
      </c>
      <c r="R84" t="n">
        <v>2022.7</v>
      </c>
      <c r="S84" t="b">
        <v>1</v>
      </c>
      <c r="T84" t="n">
        <v>3564160</v>
      </c>
      <c r="U84" t="n">
        <v>5</v>
      </c>
      <c r="V84" t="n">
        <v>0.0469</v>
      </c>
      <c r="W84" t="n">
        <v>2.05</v>
      </c>
      <c r="X84" t="n">
        <v>87.62</v>
      </c>
      <c r="Y84">
        <f>VLOOKUP(D84,$AB$2:$AC$7,2,FALSE)</f>
        <v/>
      </c>
      <c r="Z84">
        <f>IF(A84&lt;Y84,"Yes","No")</f>
        <v/>
      </c>
    </row>
    <row r="85">
      <c r="A85" t="n">
        <v>2023</v>
      </c>
      <c r="B85" t="inlineStr">
        <is>
          <t>Q1</t>
        </is>
      </c>
      <c r="C85" t="inlineStr">
        <is>
          <t>Europe</t>
        </is>
      </c>
      <c r="D85" t="inlineStr">
        <is>
          <t>Cybertruck</t>
        </is>
      </c>
      <c r="E85" t="n">
        <v>1748</v>
      </c>
      <c r="F85" t="n">
        <v>82675.38</v>
      </c>
      <c r="G85" t="n">
        <v>42</v>
      </c>
      <c r="H85" t="inlineStr">
        <is>
          <t>Long Range</t>
        </is>
      </c>
      <c r="I85" t="inlineStr">
        <is>
          <t>RWD</t>
        </is>
      </c>
      <c r="J85" t="inlineStr">
        <is>
          <t>White</t>
        </is>
      </c>
      <c r="K85" t="n">
        <v>438</v>
      </c>
      <c r="L85" t="n">
        <v>59</v>
      </c>
      <c r="M85" t="n">
        <v>23.95</v>
      </c>
      <c r="N85" t="n">
        <v>2070.78</v>
      </c>
      <c r="O85" t="n">
        <v>4.03</v>
      </c>
      <c r="P85" t="n">
        <v>6</v>
      </c>
      <c r="Q85" t="n">
        <v>3</v>
      </c>
      <c r="R85" t="n">
        <v>2021.4</v>
      </c>
      <c r="S85" t="b">
        <v>0</v>
      </c>
      <c r="T85" t="n">
        <v>4781570</v>
      </c>
      <c r="U85" t="n">
        <v>6</v>
      </c>
      <c r="V85" t="n">
        <v>0.0302</v>
      </c>
      <c r="W85" t="n">
        <v>2.45</v>
      </c>
      <c r="X85" t="n">
        <v>68.93000000000001</v>
      </c>
      <c r="Y85">
        <f>VLOOKUP(D85,$AB$2:$AC$7,2,FALSE)</f>
        <v/>
      </c>
      <c r="Z85">
        <f>IF(A85&lt;Y85,"Yes","No")</f>
        <v/>
      </c>
    </row>
    <row r="86">
      <c r="A86" t="n">
        <v>2016</v>
      </c>
      <c r="B86" t="inlineStr">
        <is>
          <t>Q2</t>
        </is>
      </c>
      <c r="C86" t="inlineStr">
        <is>
          <t>Australia</t>
        </is>
      </c>
      <c r="D86" t="inlineStr">
        <is>
          <t>Model X</t>
        </is>
      </c>
      <c r="E86" t="n">
        <v>3980</v>
      </c>
      <c r="F86" t="n">
        <v>64648.27</v>
      </c>
      <c r="G86" t="n">
        <v>59</v>
      </c>
      <c r="H86" t="inlineStr">
        <is>
          <t>Performance</t>
        </is>
      </c>
      <c r="I86" t="inlineStr">
        <is>
          <t>RWD</t>
        </is>
      </c>
      <c r="J86" t="inlineStr">
        <is>
          <t>White</t>
        </is>
      </c>
      <c r="K86" t="n">
        <v>412</v>
      </c>
      <c r="L86" t="n">
        <v>66</v>
      </c>
      <c r="M86" t="n">
        <v>21.12</v>
      </c>
      <c r="N86" t="n">
        <v>5012.37</v>
      </c>
      <c r="O86" t="n">
        <v>4.97</v>
      </c>
      <c r="P86" t="n">
        <v>6</v>
      </c>
      <c r="Q86" t="n">
        <v>1</v>
      </c>
      <c r="R86" t="n">
        <v>2022.1</v>
      </c>
      <c r="S86" t="b">
        <v>0</v>
      </c>
      <c r="T86" t="n">
        <v>762946</v>
      </c>
      <c r="U86" t="n">
        <v>7</v>
      </c>
      <c r="V86" t="n">
        <v>0.09320000000000001</v>
      </c>
      <c r="W86" t="n">
        <v>1.81</v>
      </c>
      <c r="X86" t="n">
        <v>82.42</v>
      </c>
      <c r="Y86">
        <f>VLOOKUP(D86,$AB$2:$AC$7,2,FALSE)</f>
        <v/>
      </c>
      <c r="Z86">
        <f>IF(A86&lt;Y86,"Yes","No")</f>
        <v/>
      </c>
    </row>
    <row r="87">
      <c r="A87" t="n">
        <v>2015</v>
      </c>
      <c r="B87" t="inlineStr">
        <is>
          <t>Q2</t>
        </is>
      </c>
      <c r="C87" t="inlineStr">
        <is>
          <t>South America</t>
        </is>
      </c>
      <c r="D87" t="inlineStr">
        <is>
          <t>Model X</t>
        </is>
      </c>
      <c r="E87" t="n">
        <v>4654</v>
      </c>
      <c r="F87" t="n">
        <v>94174.56</v>
      </c>
      <c r="G87" t="n">
        <v>8</v>
      </c>
      <c r="H87" t="inlineStr">
        <is>
          <t>Standard</t>
        </is>
      </c>
      <c r="I87" t="inlineStr">
        <is>
          <t>AWD</t>
        </is>
      </c>
      <c r="J87" t="inlineStr">
        <is>
          <t>Black</t>
        </is>
      </c>
      <c r="K87" t="n">
        <v>375</v>
      </c>
      <c r="L87" t="n">
        <v>72</v>
      </c>
      <c r="M87" t="n">
        <v>23.86</v>
      </c>
      <c r="N87" t="n">
        <v>4427.55</v>
      </c>
      <c r="O87" t="n">
        <v>3.85</v>
      </c>
      <c r="P87" t="n">
        <v>4</v>
      </c>
      <c r="Q87" t="n">
        <v>3</v>
      </c>
      <c r="R87" t="n">
        <v>2022.12</v>
      </c>
      <c r="S87" t="b">
        <v>0</v>
      </c>
      <c r="T87" t="n">
        <v>943431</v>
      </c>
      <c r="U87" t="n">
        <v>12</v>
      </c>
      <c r="V87" t="n">
        <v>0.0794</v>
      </c>
      <c r="W87" t="n">
        <v>0.51</v>
      </c>
      <c r="X87" t="n">
        <v>76.51000000000001</v>
      </c>
      <c r="Y87">
        <f>VLOOKUP(D87,$AB$2:$AC$7,2,FALSE)</f>
        <v/>
      </c>
      <c r="Z87">
        <f>IF(A87&lt;Y87,"Yes","No")</f>
        <v/>
      </c>
    </row>
    <row r="88">
      <c r="A88" t="n">
        <v>2014</v>
      </c>
      <c r="B88" t="inlineStr">
        <is>
          <t>Q4</t>
        </is>
      </c>
      <c r="C88" t="inlineStr">
        <is>
          <t>Australia</t>
        </is>
      </c>
      <c r="D88" t="inlineStr">
        <is>
          <t>Model Y</t>
        </is>
      </c>
      <c r="E88" t="n">
        <v>1683</v>
      </c>
      <c r="F88" t="n">
        <v>99252.44</v>
      </c>
      <c r="G88" t="n">
        <v>18</v>
      </c>
      <c r="H88" t="inlineStr">
        <is>
          <t>Long Range</t>
        </is>
      </c>
      <c r="I88" t="inlineStr">
        <is>
          <t>RWD</t>
        </is>
      </c>
      <c r="J88" t="inlineStr">
        <is>
          <t>Green</t>
        </is>
      </c>
      <c r="K88" t="n">
        <v>380</v>
      </c>
      <c r="L88" t="n">
        <v>88</v>
      </c>
      <c r="M88" t="n">
        <v>22.22</v>
      </c>
      <c r="N88" t="n">
        <v>3037.14</v>
      </c>
      <c r="O88" t="n">
        <v>3.85</v>
      </c>
      <c r="P88" t="n">
        <v>4</v>
      </c>
      <c r="Q88" t="n">
        <v>1</v>
      </c>
      <c r="R88" t="n">
        <v>2023.3</v>
      </c>
      <c r="S88" t="b">
        <v>1</v>
      </c>
      <c r="T88" t="n">
        <v>3430231</v>
      </c>
      <c r="U88" t="n">
        <v>9</v>
      </c>
      <c r="V88" t="n">
        <v>0.0268</v>
      </c>
      <c r="W88" t="n">
        <v>2</v>
      </c>
      <c r="X88" t="n">
        <v>86.17</v>
      </c>
      <c r="Y88">
        <f>VLOOKUP(D88,$AB$2:$AC$7,2,FALSE)</f>
        <v/>
      </c>
      <c r="Z88">
        <f>IF(A88&lt;Y88,"Yes","No")</f>
        <v/>
      </c>
    </row>
    <row r="89">
      <c r="A89" t="n">
        <v>2016</v>
      </c>
      <c r="B89" t="inlineStr">
        <is>
          <t>Q1</t>
        </is>
      </c>
      <c r="C89" t="inlineStr">
        <is>
          <t>North America</t>
        </is>
      </c>
      <c r="D89" t="inlineStr">
        <is>
          <t>Model X</t>
        </is>
      </c>
      <c r="E89" t="n">
        <v>4702</v>
      </c>
      <c r="F89" t="n">
        <v>86236.55</v>
      </c>
      <c r="G89" t="n">
        <v>59</v>
      </c>
      <c r="H89" t="inlineStr">
        <is>
          <t>Long Range</t>
        </is>
      </c>
      <c r="I89" t="inlineStr">
        <is>
          <t>RWD</t>
        </is>
      </c>
      <c r="J89" t="inlineStr">
        <is>
          <t>Blue</t>
        </is>
      </c>
      <c r="K89" t="n">
        <v>678</v>
      </c>
      <c r="L89" t="n">
        <v>64</v>
      </c>
      <c r="M89" t="n">
        <v>19.29</v>
      </c>
      <c r="N89" t="n">
        <v>10713.6</v>
      </c>
      <c r="O89" t="n">
        <v>3.7</v>
      </c>
      <c r="P89" t="n">
        <v>8</v>
      </c>
      <c r="Q89" t="n">
        <v>2</v>
      </c>
      <c r="R89" t="n">
        <v>2021.2</v>
      </c>
      <c r="S89" t="b">
        <v>0</v>
      </c>
      <c r="T89" t="n">
        <v>1463100</v>
      </c>
      <c r="U89" t="n">
        <v>9</v>
      </c>
      <c r="V89" t="n">
        <v>0.0683</v>
      </c>
      <c r="W89" t="n">
        <v>1.94</v>
      </c>
      <c r="X89" t="n">
        <v>60.42</v>
      </c>
      <c r="Y89">
        <f>VLOOKUP(D89,$AB$2:$AC$7,2,FALSE)</f>
        <v/>
      </c>
      <c r="Z89">
        <f>IF(A89&lt;Y89,"Yes","No")</f>
        <v/>
      </c>
    </row>
    <row r="90">
      <c r="A90" t="n">
        <v>2017</v>
      </c>
      <c r="B90" t="inlineStr">
        <is>
          <t>Q3</t>
        </is>
      </c>
      <c r="C90" t="inlineStr">
        <is>
          <t>South America</t>
        </is>
      </c>
      <c r="D90" t="inlineStr">
        <is>
          <t>Semi</t>
        </is>
      </c>
      <c r="E90" t="n">
        <v>1632</v>
      </c>
      <c r="F90" t="n">
        <v>49917.07</v>
      </c>
      <c r="G90" t="n">
        <v>54</v>
      </c>
      <c r="H90" t="inlineStr">
        <is>
          <t>Performance</t>
        </is>
      </c>
      <c r="I90" t="inlineStr">
        <is>
          <t>RWD</t>
        </is>
      </c>
      <c r="J90" t="inlineStr">
        <is>
          <t>Blue</t>
        </is>
      </c>
      <c r="K90" t="n">
        <v>613</v>
      </c>
      <c r="L90" t="n">
        <v>50</v>
      </c>
      <c r="M90" t="n">
        <v>14.04</v>
      </c>
      <c r="N90" t="n">
        <v>3000.45</v>
      </c>
      <c r="O90" t="n">
        <v>3.78</v>
      </c>
      <c r="P90" t="n">
        <v>5</v>
      </c>
      <c r="Q90" t="n">
        <v>3</v>
      </c>
      <c r="R90" t="n">
        <v>2022.4</v>
      </c>
      <c r="S90" t="b">
        <v>1</v>
      </c>
      <c r="T90" t="n">
        <v>2287625</v>
      </c>
      <c r="U90" t="n">
        <v>8</v>
      </c>
      <c r="V90" t="n">
        <v>0.0312</v>
      </c>
      <c r="W90" t="n">
        <v>2.01</v>
      </c>
      <c r="X90" t="n">
        <v>88.62</v>
      </c>
      <c r="Y90">
        <f>VLOOKUP(D90,$AB$2:$AC$7,2,FALSE)</f>
        <v/>
      </c>
      <c r="Z90">
        <f>IF(A90&lt;Y90,"Yes","No")</f>
        <v/>
      </c>
    </row>
    <row r="91">
      <c r="A91" t="n">
        <v>2016</v>
      </c>
      <c r="B91" t="inlineStr">
        <is>
          <t>Q1</t>
        </is>
      </c>
      <c r="C91" t="inlineStr">
        <is>
          <t>Asia</t>
        </is>
      </c>
      <c r="D91" t="inlineStr">
        <is>
          <t>Semi</t>
        </is>
      </c>
      <c r="E91" t="n">
        <v>2995</v>
      </c>
      <c r="F91" t="n">
        <v>93885.33</v>
      </c>
      <c r="G91" t="n">
        <v>3</v>
      </c>
      <c r="H91" t="inlineStr">
        <is>
          <t>Performance</t>
        </is>
      </c>
      <c r="I91" t="inlineStr">
        <is>
          <t>AWD</t>
        </is>
      </c>
      <c r="J91" t="inlineStr">
        <is>
          <t>Blue</t>
        </is>
      </c>
      <c r="K91" t="n">
        <v>507</v>
      </c>
      <c r="L91" t="n">
        <v>40</v>
      </c>
      <c r="M91" t="n">
        <v>17.86</v>
      </c>
      <c r="N91" t="n">
        <v>4507.6</v>
      </c>
      <c r="O91" t="n">
        <v>4.84</v>
      </c>
      <c r="P91" t="n">
        <v>6</v>
      </c>
      <c r="Q91" t="n">
        <v>0</v>
      </c>
      <c r="R91" t="n">
        <v>2022.6</v>
      </c>
      <c r="S91" t="b">
        <v>1</v>
      </c>
      <c r="T91" t="n">
        <v>1938183</v>
      </c>
      <c r="U91" t="n">
        <v>4</v>
      </c>
      <c r="V91" t="n">
        <v>0.053</v>
      </c>
      <c r="W91" t="n">
        <v>1.41</v>
      </c>
      <c r="X91" t="n">
        <v>89.67</v>
      </c>
      <c r="Y91">
        <f>VLOOKUP(D91,$AB$2:$AC$7,2,FALSE)</f>
        <v/>
      </c>
      <c r="Z91">
        <f>IF(A91&lt;Y91,"Yes","No")</f>
        <v/>
      </c>
    </row>
    <row r="92">
      <c r="A92" t="n">
        <v>2017</v>
      </c>
      <c r="B92" t="inlineStr">
        <is>
          <t>Q4</t>
        </is>
      </c>
      <c r="C92" t="inlineStr">
        <is>
          <t>South America</t>
        </is>
      </c>
      <c r="D92" t="inlineStr">
        <is>
          <t>Model Y</t>
        </is>
      </c>
      <c r="E92" t="n">
        <v>4453</v>
      </c>
      <c r="F92" t="n">
        <v>103169.57</v>
      </c>
      <c r="G92" t="n">
        <v>52</v>
      </c>
      <c r="H92" t="inlineStr">
        <is>
          <t>Standard</t>
        </is>
      </c>
      <c r="I92" t="inlineStr">
        <is>
          <t>AWD</t>
        </is>
      </c>
      <c r="J92" t="inlineStr">
        <is>
          <t>Green</t>
        </is>
      </c>
      <c r="K92" t="n">
        <v>655</v>
      </c>
      <c r="L92" t="n">
        <v>85</v>
      </c>
      <c r="M92" t="n">
        <v>22.45</v>
      </c>
      <c r="N92" t="n">
        <v>6906.66</v>
      </c>
      <c r="O92" t="n">
        <v>4.29</v>
      </c>
      <c r="P92" t="n">
        <v>6</v>
      </c>
      <c r="Q92" t="n">
        <v>0</v>
      </c>
      <c r="R92" t="n">
        <v>2024.2</v>
      </c>
      <c r="S92" t="b">
        <v>1</v>
      </c>
      <c r="T92" t="n">
        <v>4694014</v>
      </c>
      <c r="U92" t="n">
        <v>10</v>
      </c>
      <c r="V92" t="n">
        <v>0.0282</v>
      </c>
      <c r="W92" t="n">
        <v>1.57</v>
      </c>
      <c r="X92" t="n">
        <v>64.94</v>
      </c>
      <c r="Y92">
        <f>VLOOKUP(D92,$AB$2:$AC$7,2,FALSE)</f>
        <v/>
      </c>
      <c r="Z92">
        <f>IF(A92&lt;Y92,"Yes","No")</f>
        <v/>
      </c>
    </row>
    <row r="93">
      <c r="A93" t="n">
        <v>2020</v>
      </c>
      <c r="B93" t="inlineStr">
        <is>
          <t>Q4</t>
        </is>
      </c>
      <c r="C93" t="inlineStr">
        <is>
          <t>North America</t>
        </is>
      </c>
      <c r="D93" t="inlineStr">
        <is>
          <t>Semi</t>
        </is>
      </c>
      <c r="E93" t="n">
        <v>1732</v>
      </c>
      <c r="F93" t="n">
        <v>95938.03</v>
      </c>
      <c r="G93" t="n">
        <v>31</v>
      </c>
      <c r="H93" t="inlineStr">
        <is>
          <t>Standard</t>
        </is>
      </c>
      <c r="I93" t="inlineStr">
        <is>
          <t>RWD</t>
        </is>
      </c>
      <c r="J93" t="inlineStr">
        <is>
          <t>Red</t>
        </is>
      </c>
      <c r="K93" t="n">
        <v>582</v>
      </c>
      <c r="L93" t="n">
        <v>38</v>
      </c>
      <c r="M93" t="n">
        <v>19.16</v>
      </c>
      <c r="N93" t="n">
        <v>2448.35</v>
      </c>
      <c r="O93" t="n">
        <v>3.59</v>
      </c>
      <c r="P93" t="n">
        <v>8</v>
      </c>
      <c r="Q93" t="n">
        <v>2</v>
      </c>
      <c r="R93" t="n">
        <v>2020.7</v>
      </c>
      <c r="S93" t="b">
        <v>0</v>
      </c>
      <c r="T93" t="n">
        <v>125295</v>
      </c>
      <c r="U93" t="n">
        <v>5</v>
      </c>
      <c r="V93" t="n">
        <v>0.062</v>
      </c>
      <c r="W93" t="n">
        <v>0.59</v>
      </c>
      <c r="X93" t="n">
        <v>70.34</v>
      </c>
      <c r="Y93">
        <f>VLOOKUP(D93,$AB$2:$AC$7,2,FALSE)</f>
        <v/>
      </c>
      <c r="Z93">
        <f>IF(A93&lt;Y93,"Yes","No")</f>
        <v/>
      </c>
    </row>
    <row r="94">
      <c r="A94" t="n">
        <v>2013</v>
      </c>
      <c r="B94" t="inlineStr">
        <is>
          <t>Q1</t>
        </is>
      </c>
      <c r="C94" t="inlineStr">
        <is>
          <t>North America</t>
        </is>
      </c>
      <c r="D94" t="inlineStr">
        <is>
          <t>Model Y</t>
        </is>
      </c>
      <c r="E94" t="n">
        <v>309</v>
      </c>
      <c r="F94" t="n">
        <v>59402.71</v>
      </c>
      <c r="G94" t="n">
        <v>11</v>
      </c>
      <c r="H94" t="inlineStr">
        <is>
          <t>Standard</t>
        </is>
      </c>
      <c r="I94" t="inlineStr">
        <is>
          <t>RWD</t>
        </is>
      </c>
      <c r="J94" t="inlineStr">
        <is>
          <t>White</t>
        </is>
      </c>
      <c r="K94" t="n">
        <v>545</v>
      </c>
      <c r="L94" t="n">
        <v>58</v>
      </c>
      <c r="M94" t="n">
        <v>23.44</v>
      </c>
      <c r="N94" t="n">
        <v>714.88</v>
      </c>
      <c r="O94" t="n">
        <v>4.06</v>
      </c>
      <c r="P94" t="n">
        <v>5</v>
      </c>
      <c r="Q94" t="n">
        <v>2</v>
      </c>
      <c r="R94" t="n">
        <v>2020.3</v>
      </c>
      <c r="S94" t="b">
        <v>0</v>
      </c>
      <c r="T94" t="n">
        <v>4536252</v>
      </c>
      <c r="U94" t="n">
        <v>4</v>
      </c>
      <c r="V94" t="n">
        <v>0.0755</v>
      </c>
      <c r="W94" t="n">
        <v>0.95</v>
      </c>
      <c r="X94" t="n">
        <v>60.1</v>
      </c>
      <c r="Y94">
        <f>VLOOKUP(D94,$AB$2:$AC$7,2,FALSE)</f>
        <v/>
      </c>
      <c r="Z94">
        <f>IF(A94&lt;Y94,"Yes","No")</f>
        <v/>
      </c>
    </row>
    <row r="95">
      <c r="A95" t="n">
        <v>2012</v>
      </c>
      <c r="B95" t="inlineStr">
        <is>
          <t>Q3</t>
        </is>
      </c>
      <c r="C95" t="inlineStr">
        <is>
          <t>Australia</t>
        </is>
      </c>
      <c r="D95" t="inlineStr">
        <is>
          <t>Semi</t>
        </is>
      </c>
      <c r="E95" t="n">
        <v>4510</v>
      </c>
      <c r="F95" t="n">
        <v>71050.88</v>
      </c>
      <c r="G95" t="n">
        <v>24</v>
      </c>
      <c r="H95" t="inlineStr">
        <is>
          <t>Standard</t>
        </is>
      </c>
      <c r="I95" t="inlineStr">
        <is>
          <t>AWD</t>
        </is>
      </c>
      <c r="J95" t="inlineStr">
        <is>
          <t>Blue</t>
        </is>
      </c>
      <c r="K95" t="n">
        <v>527</v>
      </c>
      <c r="L95" t="n">
        <v>39</v>
      </c>
      <c r="M95" t="n">
        <v>16.31</v>
      </c>
      <c r="N95" t="n">
        <v>10710.44</v>
      </c>
      <c r="O95" t="n">
        <v>4.59</v>
      </c>
      <c r="P95" t="n">
        <v>4</v>
      </c>
      <c r="Q95" t="n">
        <v>0</v>
      </c>
      <c r="R95" t="n">
        <v>2023.1</v>
      </c>
      <c r="S95" t="b">
        <v>1</v>
      </c>
      <c r="T95" t="n">
        <v>2118855</v>
      </c>
      <c r="U95" t="n">
        <v>5</v>
      </c>
      <c r="V95" t="n">
        <v>0.0161</v>
      </c>
      <c r="W95" t="n">
        <v>1.69</v>
      </c>
      <c r="X95" t="n">
        <v>73.39</v>
      </c>
      <c r="Y95">
        <f>VLOOKUP(D95,$AB$2:$AC$7,2,FALSE)</f>
        <v/>
      </c>
      <c r="Z95">
        <f>IF(A95&lt;Y95,"Yes","No")</f>
        <v/>
      </c>
    </row>
    <row r="96">
      <c r="A96" t="n">
        <v>2022</v>
      </c>
      <c r="B96" t="inlineStr">
        <is>
          <t>Q1</t>
        </is>
      </c>
      <c r="C96" t="inlineStr">
        <is>
          <t>Europe</t>
        </is>
      </c>
      <c r="D96" t="inlineStr">
        <is>
          <t>Semi</t>
        </is>
      </c>
      <c r="E96" t="n">
        <v>412</v>
      </c>
      <c r="F96" t="n">
        <v>69192.55</v>
      </c>
      <c r="G96" t="n">
        <v>14</v>
      </c>
      <c r="H96" t="inlineStr">
        <is>
          <t>Performance</t>
        </is>
      </c>
      <c r="I96" t="inlineStr">
        <is>
          <t>AWD</t>
        </is>
      </c>
      <c r="J96" t="inlineStr">
        <is>
          <t>Red</t>
        </is>
      </c>
      <c r="K96" t="n">
        <v>421</v>
      </c>
      <c r="L96" t="n">
        <v>62</v>
      </c>
      <c r="M96" t="n">
        <v>24.92</v>
      </c>
      <c r="N96" t="n">
        <v>398.95</v>
      </c>
      <c r="O96" t="n">
        <v>4.87</v>
      </c>
      <c r="P96" t="n">
        <v>6</v>
      </c>
      <c r="Q96" t="n">
        <v>2</v>
      </c>
      <c r="R96" t="n">
        <v>2021.5</v>
      </c>
      <c r="S96" t="b">
        <v>1</v>
      </c>
      <c r="T96" t="n">
        <v>4472570</v>
      </c>
      <c r="U96" t="n">
        <v>5</v>
      </c>
      <c r="V96" t="n">
        <v>0.0472</v>
      </c>
      <c r="W96" t="n">
        <v>1.05</v>
      </c>
      <c r="X96" t="n">
        <v>76.7</v>
      </c>
      <c r="Y96">
        <f>VLOOKUP(D96,$AB$2:$AC$7,2,FALSE)</f>
        <v/>
      </c>
      <c r="Z96">
        <f>IF(A96&lt;Y96,"Yes","No")</f>
        <v/>
      </c>
    </row>
    <row r="97">
      <c r="A97" t="n">
        <v>2021</v>
      </c>
      <c r="B97" t="inlineStr">
        <is>
          <t>Q2</t>
        </is>
      </c>
      <c r="C97" t="inlineStr">
        <is>
          <t>Australia</t>
        </is>
      </c>
      <c r="D97" t="inlineStr">
        <is>
          <t>Cybertruck</t>
        </is>
      </c>
      <c r="E97" t="n">
        <v>4110</v>
      </c>
      <c r="F97" t="n">
        <v>38985.15</v>
      </c>
      <c r="G97" t="n">
        <v>22</v>
      </c>
      <c r="H97" t="inlineStr">
        <is>
          <t>Performance</t>
        </is>
      </c>
      <c r="I97" t="inlineStr">
        <is>
          <t>RWD</t>
        </is>
      </c>
      <c r="J97" t="inlineStr">
        <is>
          <t>Silver</t>
        </is>
      </c>
      <c r="K97" t="n">
        <v>513</v>
      </c>
      <c r="L97" t="n">
        <v>74</v>
      </c>
      <c r="M97" t="n">
        <v>18</v>
      </c>
      <c r="N97" t="n">
        <v>3281.57</v>
      </c>
      <c r="O97" t="n">
        <v>4.06</v>
      </c>
      <c r="P97" t="n">
        <v>8</v>
      </c>
      <c r="Q97" t="n">
        <v>1</v>
      </c>
      <c r="R97" t="n">
        <v>2021.5</v>
      </c>
      <c r="S97" t="b">
        <v>1</v>
      </c>
      <c r="T97" t="n">
        <v>3984136</v>
      </c>
      <c r="U97" t="n">
        <v>2</v>
      </c>
      <c r="V97" t="n">
        <v>0.0606</v>
      </c>
      <c r="W97" t="n">
        <v>2.44</v>
      </c>
      <c r="X97" t="n">
        <v>76.72</v>
      </c>
      <c r="Y97">
        <f>VLOOKUP(D97,$AB$2:$AC$7,2,FALSE)</f>
        <v/>
      </c>
      <c r="Z97">
        <f>IF(A97&lt;Y97,"Yes","No")</f>
        <v/>
      </c>
    </row>
    <row r="98">
      <c r="A98" t="n">
        <v>2014</v>
      </c>
      <c r="B98" t="inlineStr">
        <is>
          <t>Q4</t>
        </is>
      </c>
      <c r="C98" t="inlineStr">
        <is>
          <t>Europe</t>
        </is>
      </c>
      <c r="D98" t="inlineStr">
        <is>
          <t>Model X</t>
        </is>
      </c>
      <c r="E98" t="n">
        <v>1715</v>
      </c>
      <c r="F98" t="n">
        <v>63072.35</v>
      </c>
      <c r="G98" t="n">
        <v>5</v>
      </c>
      <c r="H98" t="inlineStr">
        <is>
          <t>Long Range</t>
        </is>
      </c>
      <c r="I98" t="inlineStr">
        <is>
          <t>RWD</t>
        </is>
      </c>
      <c r="J98" t="inlineStr">
        <is>
          <t>Red</t>
        </is>
      </c>
      <c r="K98" t="n">
        <v>624</v>
      </c>
      <c r="L98" t="n">
        <v>76</v>
      </c>
      <c r="M98" t="n">
        <v>22.95</v>
      </c>
      <c r="N98" t="n">
        <v>1034.27</v>
      </c>
      <c r="O98" t="n">
        <v>4.07</v>
      </c>
      <c r="P98" t="n">
        <v>4</v>
      </c>
      <c r="Q98" t="n">
        <v>0</v>
      </c>
      <c r="R98" t="n">
        <v>2021.1</v>
      </c>
      <c r="S98" t="b">
        <v>1</v>
      </c>
      <c r="T98" t="n">
        <v>4121450</v>
      </c>
      <c r="U98" t="n">
        <v>5</v>
      </c>
      <c r="V98" t="n">
        <v>0.0883</v>
      </c>
      <c r="W98" t="n">
        <v>1.17</v>
      </c>
      <c r="X98" t="n">
        <v>88.70999999999999</v>
      </c>
      <c r="Y98">
        <f>VLOOKUP(D98,$AB$2:$AC$7,2,FALSE)</f>
        <v/>
      </c>
      <c r="Z98">
        <f>IF(A98&lt;Y98,"Yes","No")</f>
        <v/>
      </c>
    </row>
    <row r="99">
      <c r="A99" t="n">
        <v>2012</v>
      </c>
      <c r="B99" t="inlineStr">
        <is>
          <t>Q2</t>
        </is>
      </c>
      <c r="C99" t="inlineStr">
        <is>
          <t>Europe</t>
        </is>
      </c>
      <c r="D99" t="inlineStr">
        <is>
          <t>Semi</t>
        </is>
      </c>
      <c r="E99" t="n">
        <v>1011</v>
      </c>
      <c r="F99" t="n">
        <v>98484.73</v>
      </c>
      <c r="G99" t="n">
        <v>48</v>
      </c>
      <c r="H99" t="inlineStr">
        <is>
          <t>Long Range</t>
        </is>
      </c>
      <c r="I99" t="inlineStr">
        <is>
          <t>AWD</t>
        </is>
      </c>
      <c r="J99" t="inlineStr">
        <is>
          <t>Green</t>
        </is>
      </c>
      <c r="K99" t="n">
        <v>659</v>
      </c>
      <c r="L99" t="n">
        <v>75</v>
      </c>
      <c r="M99" t="n">
        <v>15.45</v>
      </c>
      <c r="N99" t="n">
        <v>2355.89</v>
      </c>
      <c r="O99" t="n">
        <v>4.33</v>
      </c>
      <c r="P99" t="n">
        <v>6</v>
      </c>
      <c r="Q99" t="n">
        <v>3</v>
      </c>
      <c r="R99" t="n">
        <v>2023.9</v>
      </c>
      <c r="S99" t="b">
        <v>0</v>
      </c>
      <c r="T99" t="n">
        <v>2687233</v>
      </c>
      <c r="U99" t="n">
        <v>6</v>
      </c>
      <c r="V99" t="n">
        <v>0.0424</v>
      </c>
      <c r="W99" t="n">
        <v>2.27</v>
      </c>
      <c r="X99" t="n">
        <v>73.98</v>
      </c>
      <c r="Y99">
        <f>VLOOKUP(D99,$AB$2:$AC$7,2,FALSE)</f>
        <v/>
      </c>
      <c r="Z99">
        <f>IF(A99&lt;Y99,"Yes","No")</f>
        <v/>
      </c>
    </row>
    <row r="100">
      <c r="A100" t="n">
        <v>2024</v>
      </c>
      <c r="B100" t="inlineStr">
        <is>
          <t>Q4</t>
        </is>
      </c>
      <c r="C100" t="inlineStr">
        <is>
          <t>Asia</t>
        </is>
      </c>
      <c r="D100" t="inlineStr">
        <is>
          <t>Model 3</t>
        </is>
      </c>
      <c r="E100" t="n">
        <v>3086</v>
      </c>
      <c r="F100" t="n">
        <v>61598.37</v>
      </c>
      <c r="G100" t="n">
        <v>2</v>
      </c>
      <c r="H100" t="inlineStr">
        <is>
          <t>Performance</t>
        </is>
      </c>
      <c r="I100" t="inlineStr">
        <is>
          <t>AWD</t>
        </is>
      </c>
      <c r="J100" t="inlineStr">
        <is>
          <t>Green</t>
        </is>
      </c>
      <c r="K100" t="n">
        <v>424</v>
      </c>
      <c r="L100" t="n">
        <v>31</v>
      </c>
      <c r="M100" t="n">
        <v>16.13</v>
      </c>
      <c r="N100" t="n">
        <v>7312.33</v>
      </c>
      <c r="O100" t="n">
        <v>4.37</v>
      </c>
      <c r="P100" t="n">
        <v>8</v>
      </c>
      <c r="Q100" t="n">
        <v>2</v>
      </c>
      <c r="R100" t="n">
        <v>2021.4</v>
      </c>
      <c r="S100" t="b">
        <v>0</v>
      </c>
      <c r="T100" t="n">
        <v>2029536</v>
      </c>
      <c r="U100" t="n">
        <v>8</v>
      </c>
      <c r="V100" t="n">
        <v>0.0613</v>
      </c>
      <c r="W100" t="n">
        <v>0.99</v>
      </c>
      <c r="X100" t="n">
        <v>76.52</v>
      </c>
      <c r="Y100">
        <f>VLOOKUP(D100,$AB$2:$AC$7,2,FALSE)</f>
        <v/>
      </c>
      <c r="Z100">
        <f>IF(A100&lt;Y100,"Yes","No")</f>
        <v/>
      </c>
    </row>
    <row r="101">
      <c r="A101" t="n">
        <v>2022</v>
      </c>
      <c r="B101" t="inlineStr">
        <is>
          <t>Q3</t>
        </is>
      </c>
      <c r="C101" t="inlineStr">
        <is>
          <t>Asia</t>
        </is>
      </c>
      <c r="D101" t="inlineStr">
        <is>
          <t>Model Y</t>
        </is>
      </c>
      <c r="E101" t="n">
        <v>4068</v>
      </c>
      <c r="F101" t="n">
        <v>74170.46000000001</v>
      </c>
      <c r="G101" t="n">
        <v>46</v>
      </c>
      <c r="H101" t="inlineStr">
        <is>
          <t>Long Range</t>
        </is>
      </c>
      <c r="I101" t="inlineStr">
        <is>
          <t>AWD</t>
        </is>
      </c>
      <c r="J101" t="inlineStr">
        <is>
          <t>Black</t>
        </is>
      </c>
      <c r="K101" t="n">
        <v>629</v>
      </c>
      <c r="L101" t="n">
        <v>61</v>
      </c>
      <c r="M101" t="n">
        <v>15.21</v>
      </c>
      <c r="N101" t="n">
        <v>9269.870000000001</v>
      </c>
      <c r="O101" t="n">
        <v>4.99</v>
      </c>
      <c r="P101" t="n">
        <v>4</v>
      </c>
      <c r="Q101" t="n">
        <v>0</v>
      </c>
      <c r="R101" t="n">
        <v>2020.11</v>
      </c>
      <c r="S101" t="b">
        <v>1</v>
      </c>
      <c r="T101" t="n">
        <v>153551</v>
      </c>
      <c r="U101" t="n">
        <v>8</v>
      </c>
      <c r="V101" t="n">
        <v>0.0224</v>
      </c>
      <c r="W101" t="n">
        <v>1.76</v>
      </c>
      <c r="X101" t="n">
        <v>62.04</v>
      </c>
      <c r="Y101">
        <f>VLOOKUP(D101,$AB$2:$AC$7,2,FALSE)</f>
        <v/>
      </c>
      <c r="Z101">
        <f>IF(A101&lt;Y101,"Yes","No")</f>
        <v/>
      </c>
    </row>
    <row r="102">
      <c r="A102" t="n">
        <v>2014</v>
      </c>
      <c r="B102" t="inlineStr">
        <is>
          <t>Q1</t>
        </is>
      </c>
      <c r="C102" t="inlineStr">
        <is>
          <t>Europe</t>
        </is>
      </c>
      <c r="D102" t="inlineStr">
        <is>
          <t>Cybertruck</t>
        </is>
      </c>
      <c r="E102" t="n">
        <v>3785</v>
      </c>
      <c r="F102" t="n">
        <v>66722.06</v>
      </c>
      <c r="G102" t="n">
        <v>39</v>
      </c>
      <c r="H102" t="inlineStr">
        <is>
          <t>Performance</t>
        </is>
      </c>
      <c r="I102" t="inlineStr">
        <is>
          <t>RWD</t>
        </is>
      </c>
      <c r="J102" t="inlineStr">
        <is>
          <t>Green</t>
        </is>
      </c>
      <c r="K102" t="n">
        <v>599</v>
      </c>
      <c r="L102" t="n">
        <v>31</v>
      </c>
      <c r="M102" t="n">
        <v>13.08</v>
      </c>
      <c r="N102" t="n">
        <v>6068.44</v>
      </c>
      <c r="O102" t="n">
        <v>3.52</v>
      </c>
      <c r="P102" t="n">
        <v>6</v>
      </c>
      <c r="Q102" t="n">
        <v>2</v>
      </c>
      <c r="R102" t="n">
        <v>2020.9</v>
      </c>
      <c r="S102" t="b">
        <v>0</v>
      </c>
      <c r="T102" t="n">
        <v>1603799</v>
      </c>
      <c r="U102" t="n">
        <v>3</v>
      </c>
      <c r="V102" t="n">
        <v>0.0926</v>
      </c>
      <c r="W102" t="n">
        <v>1.55</v>
      </c>
      <c r="X102" t="n">
        <v>67.23</v>
      </c>
      <c r="Y102">
        <f>VLOOKUP(D102,$AB$2:$AC$7,2,FALSE)</f>
        <v/>
      </c>
      <c r="Z102">
        <f>IF(A102&lt;Y102,"Yes","No")</f>
        <v/>
      </c>
    </row>
    <row r="103">
      <c r="A103" t="n">
        <v>2021</v>
      </c>
      <c r="B103" t="inlineStr">
        <is>
          <t>Q3</t>
        </is>
      </c>
      <c r="C103" t="inlineStr">
        <is>
          <t>Asia</t>
        </is>
      </c>
      <c r="D103" t="inlineStr">
        <is>
          <t>Model X</t>
        </is>
      </c>
      <c r="E103" t="n">
        <v>3301</v>
      </c>
      <c r="F103" t="n">
        <v>41716.64</v>
      </c>
      <c r="G103" t="n">
        <v>25</v>
      </c>
      <c r="H103" t="inlineStr">
        <is>
          <t>Long Range</t>
        </is>
      </c>
      <c r="I103" t="inlineStr">
        <is>
          <t>AWD</t>
        </is>
      </c>
      <c r="J103" t="inlineStr">
        <is>
          <t>Green</t>
        </is>
      </c>
      <c r="K103" t="n">
        <v>465</v>
      </c>
      <c r="L103" t="n">
        <v>49</v>
      </c>
      <c r="M103" t="n">
        <v>21.21</v>
      </c>
      <c r="N103" t="n">
        <v>7248.12</v>
      </c>
      <c r="O103" t="n">
        <v>4.48</v>
      </c>
      <c r="P103" t="n">
        <v>4</v>
      </c>
      <c r="Q103" t="n">
        <v>0</v>
      </c>
      <c r="R103" t="n">
        <v>2023.7</v>
      </c>
      <c r="S103" t="b">
        <v>0</v>
      </c>
      <c r="T103" t="n">
        <v>4736395</v>
      </c>
      <c r="U103" t="n">
        <v>9</v>
      </c>
      <c r="V103" t="n">
        <v>0.0151</v>
      </c>
      <c r="W103" t="n">
        <v>0.52</v>
      </c>
      <c r="X103" t="n">
        <v>65.14</v>
      </c>
      <c r="Y103">
        <f>VLOOKUP(D103,$AB$2:$AC$7,2,FALSE)</f>
        <v/>
      </c>
      <c r="Z103">
        <f>IF(A103&lt;Y103,"Yes","No")</f>
        <v/>
      </c>
    </row>
    <row r="104">
      <c r="A104" t="n">
        <v>2019</v>
      </c>
      <c r="B104" t="inlineStr">
        <is>
          <t>Q4</t>
        </is>
      </c>
      <c r="C104" t="inlineStr">
        <is>
          <t>Asia</t>
        </is>
      </c>
      <c r="D104" t="inlineStr">
        <is>
          <t>Cybertruck</t>
        </is>
      </c>
      <c r="E104" t="n">
        <v>831</v>
      </c>
      <c r="F104" t="n">
        <v>111057.25</v>
      </c>
      <c r="G104" t="n">
        <v>58</v>
      </c>
      <c r="H104" t="inlineStr">
        <is>
          <t>Standard</t>
        </is>
      </c>
      <c r="I104" t="inlineStr">
        <is>
          <t>AWD</t>
        </is>
      </c>
      <c r="J104" t="inlineStr">
        <is>
          <t>Black</t>
        </is>
      </c>
      <c r="K104" t="n">
        <v>640</v>
      </c>
      <c r="L104" t="n">
        <v>60</v>
      </c>
      <c r="M104" t="n">
        <v>16.25</v>
      </c>
      <c r="N104" t="n">
        <v>1951.45</v>
      </c>
      <c r="O104" t="n">
        <v>4.53</v>
      </c>
      <c r="P104" t="n">
        <v>6</v>
      </c>
      <c r="Q104" t="n">
        <v>0</v>
      </c>
      <c r="R104" t="n">
        <v>2021.6</v>
      </c>
      <c r="S104" t="b">
        <v>1</v>
      </c>
      <c r="T104" t="n">
        <v>1837768</v>
      </c>
      <c r="U104" t="n">
        <v>11</v>
      </c>
      <c r="V104" t="n">
        <v>0.023</v>
      </c>
      <c r="W104" t="n">
        <v>2.14</v>
      </c>
      <c r="X104" t="n">
        <v>84.63</v>
      </c>
      <c r="Y104">
        <f>VLOOKUP(D104,$AB$2:$AC$7,2,FALSE)</f>
        <v/>
      </c>
      <c r="Z104">
        <f>IF(A104&lt;Y104,"Yes","No")</f>
        <v/>
      </c>
    </row>
    <row r="105">
      <c r="A105" t="n">
        <v>2013</v>
      </c>
      <c r="B105" t="inlineStr">
        <is>
          <t>Q3</t>
        </is>
      </c>
      <c r="C105" t="inlineStr">
        <is>
          <t>Europe</t>
        </is>
      </c>
      <c r="D105" t="inlineStr">
        <is>
          <t>Cybertruck</t>
        </is>
      </c>
      <c r="E105" t="n">
        <v>2019</v>
      </c>
      <c r="F105" t="n">
        <v>83169.14999999999</v>
      </c>
      <c r="G105" t="n">
        <v>54</v>
      </c>
      <c r="H105" t="inlineStr">
        <is>
          <t>Long Range</t>
        </is>
      </c>
      <c r="I105" t="inlineStr">
        <is>
          <t>RWD</t>
        </is>
      </c>
      <c r="J105" t="inlineStr">
        <is>
          <t>Blue</t>
        </is>
      </c>
      <c r="K105" t="n">
        <v>421</v>
      </c>
      <c r="L105" t="n">
        <v>80</v>
      </c>
      <c r="M105" t="n">
        <v>24.86</v>
      </c>
      <c r="N105" t="n">
        <v>3933.67</v>
      </c>
      <c r="O105" t="n">
        <v>4.25</v>
      </c>
      <c r="P105" t="n">
        <v>6</v>
      </c>
      <c r="Q105" t="n">
        <v>0</v>
      </c>
      <c r="R105" t="n">
        <v>2020.7</v>
      </c>
      <c r="S105" t="b">
        <v>1</v>
      </c>
      <c r="T105" t="n">
        <v>737687</v>
      </c>
      <c r="U105" t="n">
        <v>7</v>
      </c>
      <c r="V105" t="n">
        <v>0.0645</v>
      </c>
      <c r="W105" t="n">
        <v>1.73</v>
      </c>
      <c r="X105" t="n">
        <v>77.87</v>
      </c>
      <c r="Y105">
        <f>VLOOKUP(D105,$AB$2:$AC$7,2,FALSE)</f>
        <v/>
      </c>
      <c r="Z105">
        <f>IF(A105&lt;Y105,"Yes","No")</f>
        <v/>
      </c>
    </row>
    <row r="106">
      <c r="A106" t="n">
        <v>2024</v>
      </c>
      <c r="B106" t="inlineStr">
        <is>
          <t>Q3</t>
        </is>
      </c>
      <c r="C106" t="inlineStr">
        <is>
          <t>North America</t>
        </is>
      </c>
      <c r="D106" t="inlineStr">
        <is>
          <t>Semi</t>
        </is>
      </c>
      <c r="E106" t="n">
        <v>2289</v>
      </c>
      <c r="F106" t="n">
        <v>101601.59</v>
      </c>
      <c r="G106" t="n">
        <v>28</v>
      </c>
      <c r="H106" t="inlineStr">
        <is>
          <t>Long Range</t>
        </is>
      </c>
      <c r="I106" t="inlineStr">
        <is>
          <t>AWD</t>
        </is>
      </c>
      <c r="J106" t="inlineStr">
        <is>
          <t>White</t>
        </is>
      </c>
      <c r="K106" t="n">
        <v>633</v>
      </c>
      <c r="L106" t="n">
        <v>90</v>
      </c>
      <c r="M106" t="n">
        <v>17.51</v>
      </c>
      <c r="N106" t="n">
        <v>1994.81</v>
      </c>
      <c r="O106" t="n">
        <v>4.38</v>
      </c>
      <c r="P106" t="n">
        <v>8</v>
      </c>
      <c r="Q106" t="n">
        <v>0</v>
      </c>
      <c r="R106" t="n">
        <v>2024.5</v>
      </c>
      <c r="S106" t="b">
        <v>1</v>
      </c>
      <c r="T106" t="n">
        <v>716618</v>
      </c>
      <c r="U106" t="n">
        <v>3</v>
      </c>
      <c r="V106" t="n">
        <v>0.0341</v>
      </c>
      <c r="W106" t="n">
        <v>1.26</v>
      </c>
      <c r="X106" t="n">
        <v>83.52</v>
      </c>
      <c r="Y106">
        <f>VLOOKUP(D106,$AB$2:$AC$7,2,FALSE)</f>
        <v/>
      </c>
      <c r="Z106">
        <f>IF(A106&lt;Y106,"Yes","No")</f>
        <v/>
      </c>
    </row>
    <row r="107">
      <c r="A107" t="n">
        <v>2014</v>
      </c>
      <c r="B107" t="inlineStr">
        <is>
          <t>Q4</t>
        </is>
      </c>
      <c r="C107" t="inlineStr">
        <is>
          <t>Asia</t>
        </is>
      </c>
      <c r="D107" t="inlineStr">
        <is>
          <t>Model X</t>
        </is>
      </c>
      <c r="E107" t="n">
        <v>922</v>
      </c>
      <c r="F107" t="n">
        <v>42779.24</v>
      </c>
      <c r="G107" t="n">
        <v>60</v>
      </c>
      <c r="H107" t="inlineStr">
        <is>
          <t>Long Range</t>
        </is>
      </c>
      <c r="I107" t="inlineStr">
        <is>
          <t>RWD</t>
        </is>
      </c>
      <c r="J107" t="inlineStr">
        <is>
          <t>White</t>
        </is>
      </c>
      <c r="K107" t="n">
        <v>488</v>
      </c>
      <c r="L107" t="n">
        <v>36</v>
      </c>
      <c r="M107" t="n">
        <v>14.59</v>
      </c>
      <c r="N107" t="n">
        <v>806.55</v>
      </c>
      <c r="O107" t="n">
        <v>4.17</v>
      </c>
      <c r="P107" t="n">
        <v>8</v>
      </c>
      <c r="Q107" t="n">
        <v>0</v>
      </c>
      <c r="R107" t="n">
        <v>2020.2</v>
      </c>
      <c r="S107" t="b">
        <v>0</v>
      </c>
      <c r="T107" t="n">
        <v>4749132</v>
      </c>
      <c r="U107" t="n">
        <v>3</v>
      </c>
      <c r="V107" t="n">
        <v>0.06370000000000001</v>
      </c>
      <c r="W107" t="n">
        <v>2.07</v>
      </c>
      <c r="X107" t="n">
        <v>85.91</v>
      </c>
      <c r="Y107">
        <f>VLOOKUP(D107,$AB$2:$AC$7,2,FALSE)</f>
        <v/>
      </c>
      <c r="Z107">
        <f>IF(A107&lt;Y107,"Yes","No")</f>
        <v/>
      </c>
    </row>
    <row r="108">
      <c r="A108" t="n">
        <v>2012</v>
      </c>
      <c r="B108" t="inlineStr">
        <is>
          <t>Q3</t>
        </is>
      </c>
      <c r="C108" t="inlineStr">
        <is>
          <t>Australia</t>
        </is>
      </c>
      <c r="D108" t="inlineStr">
        <is>
          <t>Model Y</t>
        </is>
      </c>
      <c r="E108" t="n">
        <v>743</v>
      </c>
      <c r="F108" t="n">
        <v>96611.73</v>
      </c>
      <c r="G108" t="n">
        <v>35</v>
      </c>
      <c r="H108" t="inlineStr">
        <is>
          <t>Standard</t>
        </is>
      </c>
      <c r="I108" t="inlineStr">
        <is>
          <t>AWD</t>
        </is>
      </c>
      <c r="J108" t="inlineStr">
        <is>
          <t>Green</t>
        </is>
      </c>
      <c r="K108" t="n">
        <v>544</v>
      </c>
      <c r="L108" t="n">
        <v>40</v>
      </c>
      <c r="M108" t="n">
        <v>14.67</v>
      </c>
      <c r="N108" t="n">
        <v>818.98</v>
      </c>
      <c r="O108" t="n">
        <v>4.24</v>
      </c>
      <c r="P108" t="n">
        <v>4</v>
      </c>
      <c r="Q108" t="n">
        <v>1</v>
      </c>
      <c r="R108" t="n">
        <v>2023.5</v>
      </c>
      <c r="S108" t="b">
        <v>0</v>
      </c>
      <c r="T108" t="n">
        <v>2614504</v>
      </c>
      <c r="U108" t="n">
        <v>9</v>
      </c>
      <c r="V108" t="n">
        <v>0.0804</v>
      </c>
      <c r="W108" t="n">
        <v>1.22</v>
      </c>
      <c r="X108" t="n">
        <v>88.33</v>
      </c>
      <c r="Y108">
        <f>VLOOKUP(D108,$AB$2:$AC$7,2,FALSE)</f>
        <v/>
      </c>
      <c r="Z108">
        <f>IF(A108&lt;Y108,"Yes","No")</f>
        <v/>
      </c>
    </row>
    <row r="109">
      <c r="A109" t="n">
        <v>2023</v>
      </c>
      <c r="B109" t="inlineStr">
        <is>
          <t>Q4</t>
        </is>
      </c>
      <c r="C109" t="inlineStr">
        <is>
          <t>South America</t>
        </is>
      </c>
      <c r="D109" t="inlineStr">
        <is>
          <t>Cybertruck</t>
        </is>
      </c>
      <c r="E109" t="n">
        <v>1651</v>
      </c>
      <c r="F109" t="n">
        <v>73918.24000000001</v>
      </c>
      <c r="G109" t="n">
        <v>8</v>
      </c>
      <c r="H109" t="inlineStr">
        <is>
          <t>Long Range</t>
        </is>
      </c>
      <c r="I109" t="inlineStr">
        <is>
          <t>AWD</t>
        </is>
      </c>
      <c r="J109" t="inlineStr">
        <is>
          <t>Blue</t>
        </is>
      </c>
      <c r="K109" t="n">
        <v>520</v>
      </c>
      <c r="L109" t="n">
        <v>83</v>
      </c>
      <c r="M109" t="n">
        <v>20.44</v>
      </c>
      <c r="N109" t="n">
        <v>3480.56</v>
      </c>
      <c r="O109" t="n">
        <v>3.99</v>
      </c>
      <c r="P109" t="n">
        <v>6</v>
      </c>
      <c r="Q109" t="n">
        <v>3</v>
      </c>
      <c r="R109" t="n">
        <v>2024.3</v>
      </c>
      <c r="S109" t="b">
        <v>0</v>
      </c>
      <c r="T109" t="n">
        <v>2789934</v>
      </c>
      <c r="U109" t="n">
        <v>11</v>
      </c>
      <c r="V109" t="n">
        <v>0.0953</v>
      </c>
      <c r="W109" t="n">
        <v>0.9</v>
      </c>
      <c r="X109" t="n">
        <v>69.43000000000001</v>
      </c>
      <c r="Y109">
        <f>VLOOKUP(D109,$AB$2:$AC$7,2,FALSE)</f>
        <v/>
      </c>
      <c r="Z109">
        <f>IF(A109&lt;Y109,"Yes","No")</f>
        <v/>
      </c>
    </row>
    <row r="110">
      <c r="A110" t="n">
        <v>2018</v>
      </c>
      <c r="B110" t="inlineStr">
        <is>
          <t>Q3</t>
        </is>
      </c>
      <c r="C110" t="inlineStr">
        <is>
          <t>Asia</t>
        </is>
      </c>
      <c r="D110" t="inlineStr">
        <is>
          <t>Semi</t>
        </is>
      </c>
      <c r="E110" t="n">
        <v>4072</v>
      </c>
      <c r="F110" t="n">
        <v>117259.86</v>
      </c>
      <c r="G110" t="n">
        <v>50</v>
      </c>
      <c r="H110" t="inlineStr">
        <is>
          <t>Standard</t>
        </is>
      </c>
      <c r="I110" t="inlineStr">
        <is>
          <t>RWD</t>
        </is>
      </c>
      <c r="J110" t="inlineStr">
        <is>
          <t>Blue</t>
        </is>
      </c>
      <c r="K110" t="n">
        <v>493</v>
      </c>
      <c r="L110" t="n">
        <v>82</v>
      </c>
      <c r="M110" t="n">
        <v>22.43</v>
      </c>
      <c r="N110" t="n">
        <v>5008.69</v>
      </c>
      <c r="O110" t="n">
        <v>4.9</v>
      </c>
      <c r="P110" t="n">
        <v>5</v>
      </c>
      <c r="Q110" t="n">
        <v>1</v>
      </c>
      <c r="R110" t="n">
        <v>2024.1</v>
      </c>
      <c r="S110" t="b">
        <v>0</v>
      </c>
      <c r="T110" t="n">
        <v>1858658</v>
      </c>
      <c r="U110" t="n">
        <v>9</v>
      </c>
      <c r="V110" t="n">
        <v>0.0818</v>
      </c>
      <c r="W110" t="n">
        <v>2.16</v>
      </c>
      <c r="X110" t="n">
        <v>62.07</v>
      </c>
      <c r="Y110">
        <f>VLOOKUP(D110,$AB$2:$AC$7,2,FALSE)</f>
        <v/>
      </c>
      <c r="Z110">
        <f>IF(A110&lt;Y110,"Yes","No")</f>
        <v/>
      </c>
    </row>
    <row r="111">
      <c r="A111" t="n">
        <v>2024</v>
      </c>
      <c r="B111" t="inlineStr">
        <is>
          <t>Q4</t>
        </is>
      </c>
      <c r="C111" t="inlineStr">
        <is>
          <t>Australia</t>
        </is>
      </c>
      <c r="D111" t="inlineStr">
        <is>
          <t>Model 3</t>
        </is>
      </c>
      <c r="E111" t="n">
        <v>2530</v>
      </c>
      <c r="F111" t="n">
        <v>55571.8</v>
      </c>
      <c r="G111" t="n">
        <v>42</v>
      </c>
      <c r="H111" t="inlineStr">
        <is>
          <t>Standard</t>
        </is>
      </c>
      <c r="I111" t="inlineStr">
        <is>
          <t>RWD</t>
        </is>
      </c>
      <c r="J111" t="inlineStr">
        <is>
          <t>Blue</t>
        </is>
      </c>
      <c r="K111" t="n">
        <v>387</v>
      </c>
      <c r="L111" t="n">
        <v>58</v>
      </c>
      <c r="M111" t="n">
        <v>24.89</v>
      </c>
      <c r="N111" t="n">
        <v>3689.93</v>
      </c>
      <c r="O111" t="n">
        <v>4.1</v>
      </c>
      <c r="P111" t="n">
        <v>8</v>
      </c>
      <c r="Q111" t="n">
        <v>0</v>
      </c>
      <c r="R111" t="n">
        <v>2022.12</v>
      </c>
      <c r="S111" t="b">
        <v>1</v>
      </c>
      <c r="T111" t="n">
        <v>1017457</v>
      </c>
      <c r="U111" t="n">
        <v>5</v>
      </c>
      <c r="V111" t="n">
        <v>0.0692</v>
      </c>
      <c r="W111" t="n">
        <v>1.21</v>
      </c>
      <c r="X111" t="n">
        <v>79.41</v>
      </c>
      <c r="Y111">
        <f>VLOOKUP(D111,$AB$2:$AC$7,2,FALSE)</f>
        <v/>
      </c>
      <c r="Z111">
        <f>IF(A111&lt;Y111,"Yes","No")</f>
        <v/>
      </c>
    </row>
    <row r="112">
      <c r="A112" t="n">
        <v>2012</v>
      </c>
      <c r="B112" t="inlineStr">
        <is>
          <t>Q4</t>
        </is>
      </c>
      <c r="C112" t="inlineStr">
        <is>
          <t>Asia</t>
        </is>
      </c>
      <c r="D112" t="inlineStr">
        <is>
          <t>Model Y</t>
        </is>
      </c>
      <c r="E112" t="n">
        <v>917</v>
      </c>
      <c r="F112" t="n">
        <v>35896.56</v>
      </c>
      <c r="G112" t="n">
        <v>16</v>
      </c>
      <c r="H112" t="inlineStr">
        <is>
          <t>Standard</t>
        </is>
      </c>
      <c r="I112" t="inlineStr">
        <is>
          <t>AWD</t>
        </is>
      </c>
      <c r="J112" t="inlineStr">
        <is>
          <t>Blue</t>
        </is>
      </c>
      <c r="K112" t="n">
        <v>541</v>
      </c>
      <c r="L112" t="n">
        <v>55</v>
      </c>
      <c r="M112" t="n">
        <v>18.56</v>
      </c>
      <c r="N112" t="n">
        <v>1704.8</v>
      </c>
      <c r="O112" t="n">
        <v>4.54</v>
      </c>
      <c r="P112" t="n">
        <v>5</v>
      </c>
      <c r="Q112" t="n">
        <v>2</v>
      </c>
      <c r="R112" t="n">
        <v>2020.8</v>
      </c>
      <c r="S112" t="b">
        <v>1</v>
      </c>
      <c r="T112" t="n">
        <v>2578265</v>
      </c>
      <c r="U112" t="n">
        <v>8</v>
      </c>
      <c r="V112" t="n">
        <v>0.09279999999999999</v>
      </c>
      <c r="W112" t="n">
        <v>0.67</v>
      </c>
      <c r="X112" t="n">
        <v>84.94</v>
      </c>
      <c r="Y112">
        <f>VLOOKUP(D112,$AB$2:$AC$7,2,FALSE)</f>
        <v/>
      </c>
      <c r="Z112">
        <f>IF(A112&lt;Y112,"Yes","No")</f>
        <v/>
      </c>
    </row>
    <row r="113">
      <c r="A113" t="n">
        <v>2023</v>
      </c>
      <c r="B113" t="inlineStr">
        <is>
          <t>Q2</t>
        </is>
      </c>
      <c r="C113" t="inlineStr">
        <is>
          <t>Asia</t>
        </is>
      </c>
      <c r="D113" t="inlineStr">
        <is>
          <t>Model X</t>
        </is>
      </c>
      <c r="E113" t="n">
        <v>2860</v>
      </c>
      <c r="F113" t="n">
        <v>73703.27</v>
      </c>
      <c r="G113" t="n">
        <v>13</v>
      </c>
      <c r="H113" t="inlineStr">
        <is>
          <t>Performance</t>
        </is>
      </c>
      <c r="I113" t="inlineStr">
        <is>
          <t>RWD</t>
        </is>
      </c>
      <c r="J113" t="inlineStr">
        <is>
          <t>White</t>
        </is>
      </c>
      <c r="K113" t="n">
        <v>593</v>
      </c>
      <c r="L113" t="n">
        <v>36</v>
      </c>
      <c r="M113" t="n">
        <v>18.26</v>
      </c>
      <c r="N113" t="n">
        <v>5415.49</v>
      </c>
      <c r="O113" t="n">
        <v>3.98</v>
      </c>
      <c r="P113" t="n">
        <v>6</v>
      </c>
      <c r="Q113" t="n">
        <v>0</v>
      </c>
      <c r="R113" t="n">
        <v>2020.1</v>
      </c>
      <c r="S113" t="b">
        <v>0</v>
      </c>
      <c r="T113" t="n">
        <v>1017400</v>
      </c>
      <c r="U113" t="n">
        <v>12</v>
      </c>
      <c r="V113" t="n">
        <v>0.082</v>
      </c>
      <c r="W113" t="n">
        <v>2.36</v>
      </c>
      <c r="X113" t="n">
        <v>82.20999999999999</v>
      </c>
      <c r="Y113">
        <f>VLOOKUP(D113,$AB$2:$AC$7,2,FALSE)</f>
        <v/>
      </c>
      <c r="Z113">
        <f>IF(A113&lt;Y113,"Yes","No")</f>
        <v/>
      </c>
    </row>
    <row r="114">
      <c r="A114" t="n">
        <v>2020</v>
      </c>
      <c r="B114" t="inlineStr">
        <is>
          <t>Q2</t>
        </is>
      </c>
      <c r="C114" t="inlineStr">
        <is>
          <t>South America</t>
        </is>
      </c>
      <c r="D114" t="inlineStr">
        <is>
          <t>Model 3</t>
        </is>
      </c>
      <c r="E114" t="n">
        <v>2761</v>
      </c>
      <c r="F114" t="n">
        <v>82587.16</v>
      </c>
      <c r="G114" t="n">
        <v>29</v>
      </c>
      <c r="H114" t="inlineStr">
        <is>
          <t>Standard</t>
        </is>
      </c>
      <c r="I114" t="inlineStr">
        <is>
          <t>RWD</t>
        </is>
      </c>
      <c r="J114" t="inlineStr">
        <is>
          <t>Green</t>
        </is>
      </c>
      <c r="K114" t="n">
        <v>444</v>
      </c>
      <c r="L114" t="n">
        <v>41</v>
      </c>
      <c r="M114" t="n">
        <v>20.69</v>
      </c>
      <c r="N114" t="n">
        <v>3766.75</v>
      </c>
      <c r="O114" t="n">
        <v>3.54</v>
      </c>
      <c r="P114" t="n">
        <v>5</v>
      </c>
      <c r="Q114" t="n">
        <v>3</v>
      </c>
      <c r="R114" t="n">
        <v>2024.7</v>
      </c>
      <c r="S114" t="b">
        <v>0</v>
      </c>
      <c r="T114" t="n">
        <v>137329</v>
      </c>
      <c r="U114" t="n">
        <v>5</v>
      </c>
      <c r="V114" t="n">
        <v>0.0285</v>
      </c>
      <c r="W114" t="n">
        <v>2</v>
      </c>
      <c r="X114" t="n">
        <v>84.26000000000001</v>
      </c>
      <c r="Y114">
        <f>VLOOKUP(D114,$AB$2:$AC$7,2,FALSE)</f>
        <v/>
      </c>
      <c r="Z114">
        <f>IF(A114&lt;Y114,"Yes","No")</f>
        <v/>
      </c>
    </row>
    <row r="115">
      <c r="A115" t="n">
        <v>2013</v>
      </c>
      <c r="B115" t="inlineStr">
        <is>
          <t>Q1</t>
        </is>
      </c>
      <c r="C115" t="inlineStr">
        <is>
          <t>South America</t>
        </is>
      </c>
      <c r="D115" t="inlineStr">
        <is>
          <t>Model 3</t>
        </is>
      </c>
      <c r="E115" t="n">
        <v>3046</v>
      </c>
      <c r="F115" t="n">
        <v>62708.72</v>
      </c>
      <c r="G115" t="n">
        <v>29</v>
      </c>
      <c r="H115" t="inlineStr">
        <is>
          <t>Standard</t>
        </is>
      </c>
      <c r="I115" t="inlineStr">
        <is>
          <t>RWD</t>
        </is>
      </c>
      <c r="J115" t="inlineStr">
        <is>
          <t>Green</t>
        </is>
      </c>
      <c r="K115" t="n">
        <v>600</v>
      </c>
      <c r="L115" t="n">
        <v>63</v>
      </c>
      <c r="M115" t="n">
        <v>24.59</v>
      </c>
      <c r="N115" t="n">
        <v>3432.26</v>
      </c>
      <c r="O115" t="n">
        <v>4.08</v>
      </c>
      <c r="P115" t="n">
        <v>8</v>
      </c>
      <c r="Q115" t="n">
        <v>0</v>
      </c>
      <c r="R115" t="n">
        <v>2022.6</v>
      </c>
      <c r="S115" t="b">
        <v>0</v>
      </c>
      <c r="T115" t="n">
        <v>1547265</v>
      </c>
      <c r="U115" t="n">
        <v>12</v>
      </c>
      <c r="V115" t="n">
        <v>0.0735</v>
      </c>
      <c r="W115" t="n">
        <v>1.09</v>
      </c>
      <c r="X115" t="n">
        <v>78.43000000000001</v>
      </c>
      <c r="Y115">
        <f>VLOOKUP(D115,$AB$2:$AC$7,2,FALSE)</f>
        <v/>
      </c>
      <c r="Z115">
        <f>IF(A115&lt;Y115,"Yes","No")</f>
        <v/>
      </c>
    </row>
    <row r="116">
      <c r="A116" t="n">
        <v>2013</v>
      </c>
      <c r="B116" t="inlineStr">
        <is>
          <t>Q2</t>
        </is>
      </c>
      <c r="C116" t="inlineStr">
        <is>
          <t>Asia</t>
        </is>
      </c>
      <c r="D116" t="inlineStr">
        <is>
          <t>Model S</t>
        </is>
      </c>
      <c r="E116" t="n">
        <v>2004</v>
      </c>
      <c r="F116" t="n">
        <v>60957.3</v>
      </c>
      <c r="G116" t="n">
        <v>11</v>
      </c>
      <c r="H116" t="inlineStr">
        <is>
          <t>Long Range</t>
        </is>
      </c>
      <c r="I116" t="inlineStr">
        <is>
          <t>AWD</t>
        </is>
      </c>
      <c r="J116" t="inlineStr">
        <is>
          <t>Silver</t>
        </is>
      </c>
      <c r="K116" t="n">
        <v>548</v>
      </c>
      <c r="L116" t="n">
        <v>56</v>
      </c>
      <c r="M116" t="n">
        <v>20.16</v>
      </c>
      <c r="N116" t="n">
        <v>3305.82</v>
      </c>
      <c r="O116" t="n">
        <v>4.13</v>
      </c>
      <c r="P116" t="n">
        <v>8</v>
      </c>
      <c r="Q116" t="n">
        <v>1</v>
      </c>
      <c r="R116" t="n">
        <v>2024.3</v>
      </c>
      <c r="S116" t="b">
        <v>0</v>
      </c>
      <c r="T116" t="n">
        <v>2522921</v>
      </c>
      <c r="U116" t="n">
        <v>4</v>
      </c>
      <c r="V116" t="n">
        <v>0.0268</v>
      </c>
      <c r="W116" t="n">
        <v>2.18</v>
      </c>
      <c r="X116" t="n">
        <v>78.58</v>
      </c>
      <c r="Y116">
        <f>VLOOKUP(D116,$AB$2:$AC$7,2,FALSE)</f>
        <v/>
      </c>
      <c r="Z116">
        <f>IF(A116&lt;Y116,"Yes","No")</f>
        <v/>
      </c>
    </row>
    <row r="117">
      <c r="A117" t="n">
        <v>2017</v>
      </c>
      <c r="B117" t="inlineStr">
        <is>
          <t>Q1</t>
        </is>
      </c>
      <c r="C117" t="inlineStr">
        <is>
          <t>Australia</t>
        </is>
      </c>
      <c r="D117" t="inlineStr">
        <is>
          <t>Model 3</t>
        </is>
      </c>
      <c r="E117" t="n">
        <v>1648</v>
      </c>
      <c r="F117" t="n">
        <v>104293.35</v>
      </c>
      <c r="G117" t="n">
        <v>35</v>
      </c>
      <c r="H117" t="inlineStr">
        <is>
          <t>Performance</t>
        </is>
      </c>
      <c r="I117" t="inlineStr">
        <is>
          <t>RWD</t>
        </is>
      </c>
      <c r="J117" t="inlineStr">
        <is>
          <t>Blue</t>
        </is>
      </c>
      <c r="K117" t="n">
        <v>700</v>
      </c>
      <c r="L117" t="n">
        <v>61</v>
      </c>
      <c r="M117" t="n">
        <v>17.99</v>
      </c>
      <c r="N117" t="n">
        <v>3592.28</v>
      </c>
      <c r="O117" t="n">
        <v>4.23</v>
      </c>
      <c r="P117" t="n">
        <v>4</v>
      </c>
      <c r="Q117" t="n">
        <v>0</v>
      </c>
      <c r="R117" t="n">
        <v>2021.5</v>
      </c>
      <c r="S117" t="b">
        <v>1</v>
      </c>
      <c r="T117" t="n">
        <v>2405633</v>
      </c>
      <c r="U117" t="n">
        <v>5</v>
      </c>
      <c r="V117" t="n">
        <v>0.0584</v>
      </c>
      <c r="W117" t="n">
        <v>0.84</v>
      </c>
      <c r="X117" t="n">
        <v>73.72</v>
      </c>
      <c r="Y117">
        <f>VLOOKUP(D117,$AB$2:$AC$7,2,FALSE)</f>
        <v/>
      </c>
      <c r="Z117">
        <f>IF(A117&lt;Y117,"Yes","No")</f>
        <v/>
      </c>
    </row>
    <row r="118">
      <c r="A118" t="n">
        <v>2023</v>
      </c>
      <c r="B118" t="inlineStr">
        <is>
          <t>Q4</t>
        </is>
      </c>
      <c r="C118" t="inlineStr">
        <is>
          <t>South America</t>
        </is>
      </c>
      <c r="D118" t="inlineStr">
        <is>
          <t>Cybertruck</t>
        </is>
      </c>
      <c r="E118" t="n">
        <v>977</v>
      </c>
      <c r="F118" t="n">
        <v>83680.69</v>
      </c>
      <c r="G118" t="n">
        <v>17</v>
      </c>
      <c r="H118" t="inlineStr">
        <is>
          <t>Performance</t>
        </is>
      </c>
      <c r="I118" t="inlineStr">
        <is>
          <t>RWD</t>
        </is>
      </c>
      <c r="J118" t="inlineStr">
        <is>
          <t>Silver</t>
        </is>
      </c>
      <c r="K118" t="n">
        <v>371</v>
      </c>
      <c r="L118" t="n">
        <v>78</v>
      </c>
      <c r="M118" t="n">
        <v>21.63</v>
      </c>
      <c r="N118" t="n">
        <v>1556.07</v>
      </c>
      <c r="O118" t="n">
        <v>4.98</v>
      </c>
      <c r="P118" t="n">
        <v>4</v>
      </c>
      <c r="Q118" t="n">
        <v>1</v>
      </c>
      <c r="R118" t="n">
        <v>2022.1</v>
      </c>
      <c r="S118" t="b">
        <v>0</v>
      </c>
      <c r="T118" t="n">
        <v>2304653</v>
      </c>
      <c r="U118" t="n">
        <v>7</v>
      </c>
      <c r="V118" t="n">
        <v>0.0876</v>
      </c>
      <c r="W118" t="n">
        <v>0.67</v>
      </c>
      <c r="X118" t="n">
        <v>85.95999999999999</v>
      </c>
      <c r="Y118">
        <f>VLOOKUP(D118,$AB$2:$AC$7,2,FALSE)</f>
        <v/>
      </c>
      <c r="Z118">
        <f>IF(A118&lt;Y118,"Yes","No")</f>
        <v/>
      </c>
    </row>
    <row r="119">
      <c r="A119" t="n">
        <v>2013</v>
      </c>
      <c r="B119" t="inlineStr">
        <is>
          <t>Q2</t>
        </is>
      </c>
      <c r="C119" t="inlineStr">
        <is>
          <t>Europe</t>
        </is>
      </c>
      <c r="D119" t="inlineStr">
        <is>
          <t>Semi</t>
        </is>
      </c>
      <c r="E119" t="n">
        <v>4866</v>
      </c>
      <c r="F119" t="n">
        <v>93576.35000000001</v>
      </c>
      <c r="G119" t="n">
        <v>55</v>
      </c>
      <c r="H119" t="inlineStr">
        <is>
          <t>Performance</t>
        </is>
      </c>
      <c r="I119" t="inlineStr">
        <is>
          <t>RWD</t>
        </is>
      </c>
      <c r="J119" t="inlineStr">
        <is>
          <t>Black</t>
        </is>
      </c>
      <c r="K119" t="n">
        <v>665</v>
      </c>
      <c r="L119" t="n">
        <v>38</v>
      </c>
      <c r="M119" t="n">
        <v>22.42</v>
      </c>
      <c r="N119" t="n">
        <v>10350.27</v>
      </c>
      <c r="O119" t="n">
        <v>4.71</v>
      </c>
      <c r="P119" t="n">
        <v>6</v>
      </c>
      <c r="Q119" t="n">
        <v>2</v>
      </c>
      <c r="R119" t="n">
        <v>2024.9</v>
      </c>
      <c r="S119" t="b">
        <v>1</v>
      </c>
      <c r="T119" t="n">
        <v>2815003</v>
      </c>
      <c r="U119" t="n">
        <v>6</v>
      </c>
      <c r="V119" t="n">
        <v>0.036</v>
      </c>
      <c r="W119" t="n">
        <v>1.03</v>
      </c>
      <c r="X119" t="n">
        <v>85.73999999999999</v>
      </c>
      <c r="Y119">
        <f>VLOOKUP(D119,$AB$2:$AC$7,2,FALSE)</f>
        <v/>
      </c>
      <c r="Z119">
        <f>IF(A119&lt;Y119,"Yes","No")</f>
        <v/>
      </c>
    </row>
    <row r="120">
      <c r="A120" t="n">
        <v>2022</v>
      </c>
      <c r="B120" t="inlineStr">
        <is>
          <t>Q1</t>
        </is>
      </c>
      <c r="C120" t="inlineStr">
        <is>
          <t>Europe</t>
        </is>
      </c>
      <c r="D120" t="inlineStr">
        <is>
          <t>Model Y</t>
        </is>
      </c>
      <c r="E120" t="n">
        <v>535</v>
      </c>
      <c r="F120" t="n">
        <v>119361.33</v>
      </c>
      <c r="G120" t="n">
        <v>55</v>
      </c>
      <c r="H120" t="inlineStr">
        <is>
          <t>Performance</t>
        </is>
      </c>
      <c r="I120" t="inlineStr">
        <is>
          <t>AWD</t>
        </is>
      </c>
      <c r="J120" t="inlineStr">
        <is>
          <t>Green</t>
        </is>
      </c>
      <c r="K120" t="n">
        <v>417</v>
      </c>
      <c r="L120" t="n">
        <v>45</v>
      </c>
      <c r="M120" t="n">
        <v>14.75</v>
      </c>
      <c r="N120" t="n">
        <v>612.14</v>
      </c>
      <c r="O120" t="n">
        <v>3.87</v>
      </c>
      <c r="P120" t="n">
        <v>8</v>
      </c>
      <c r="Q120" t="n">
        <v>3</v>
      </c>
      <c r="R120" t="n">
        <v>2021.1</v>
      </c>
      <c r="S120" t="b">
        <v>0</v>
      </c>
      <c r="T120" t="n">
        <v>3574771</v>
      </c>
      <c r="U120" t="n">
        <v>8</v>
      </c>
      <c r="V120" t="n">
        <v>0.0507</v>
      </c>
      <c r="W120" t="n">
        <v>1.77</v>
      </c>
      <c r="X120" t="n">
        <v>86.40000000000001</v>
      </c>
      <c r="Y120">
        <f>VLOOKUP(D120,$AB$2:$AC$7,2,FALSE)</f>
        <v/>
      </c>
      <c r="Z120">
        <f>IF(A120&lt;Y120,"Yes","No")</f>
        <v/>
      </c>
    </row>
    <row r="121">
      <c r="A121" t="n">
        <v>2013</v>
      </c>
      <c r="B121" t="inlineStr">
        <is>
          <t>Q4</t>
        </is>
      </c>
      <c r="C121" t="inlineStr">
        <is>
          <t>South America</t>
        </is>
      </c>
      <c r="D121" t="inlineStr">
        <is>
          <t>Semi</t>
        </is>
      </c>
      <c r="E121" t="n">
        <v>2329</v>
      </c>
      <c r="F121" t="n">
        <v>94049.81</v>
      </c>
      <c r="G121" t="n">
        <v>56</v>
      </c>
      <c r="H121" t="inlineStr">
        <is>
          <t>Long Range</t>
        </is>
      </c>
      <c r="I121" t="inlineStr">
        <is>
          <t>RWD</t>
        </is>
      </c>
      <c r="J121" t="inlineStr">
        <is>
          <t>Blue</t>
        </is>
      </c>
      <c r="K121" t="n">
        <v>517</v>
      </c>
      <c r="L121" t="n">
        <v>67</v>
      </c>
      <c r="M121" t="n">
        <v>13.03</v>
      </c>
      <c r="N121" t="n">
        <v>4770.42</v>
      </c>
      <c r="O121" t="n">
        <v>4.6</v>
      </c>
      <c r="P121" t="n">
        <v>8</v>
      </c>
      <c r="Q121" t="n">
        <v>2</v>
      </c>
      <c r="R121" t="n">
        <v>2020.9</v>
      </c>
      <c r="S121" t="b">
        <v>0</v>
      </c>
      <c r="T121" t="n">
        <v>1927289</v>
      </c>
      <c r="U121" t="n">
        <v>8</v>
      </c>
      <c r="V121" t="n">
        <v>0.0842</v>
      </c>
      <c r="W121" t="n">
        <v>1.49</v>
      </c>
      <c r="X121" t="n">
        <v>69.69</v>
      </c>
      <c r="Y121">
        <f>VLOOKUP(D121,$AB$2:$AC$7,2,FALSE)</f>
        <v/>
      </c>
      <c r="Z121">
        <f>IF(A121&lt;Y121,"Yes","No")</f>
        <v/>
      </c>
    </row>
    <row r="122">
      <c r="A122" t="n">
        <v>2016</v>
      </c>
      <c r="B122" t="inlineStr">
        <is>
          <t>Q3</t>
        </is>
      </c>
      <c r="C122" t="inlineStr">
        <is>
          <t>South America</t>
        </is>
      </c>
      <c r="D122" t="inlineStr">
        <is>
          <t>Cybertruck</t>
        </is>
      </c>
      <c r="E122" t="n">
        <v>1119</v>
      </c>
      <c r="F122" t="n">
        <v>83122.08</v>
      </c>
      <c r="G122" t="n">
        <v>31</v>
      </c>
      <c r="H122" t="inlineStr">
        <is>
          <t>Long Range</t>
        </is>
      </c>
      <c r="I122" t="inlineStr">
        <is>
          <t>AWD</t>
        </is>
      </c>
      <c r="J122" t="inlineStr">
        <is>
          <t>Red</t>
        </is>
      </c>
      <c r="K122" t="n">
        <v>400</v>
      </c>
      <c r="L122" t="n">
        <v>70</v>
      </c>
      <c r="M122" t="n">
        <v>22.41</v>
      </c>
      <c r="N122" t="n">
        <v>1588.04</v>
      </c>
      <c r="O122" t="n">
        <v>3.69</v>
      </c>
      <c r="P122" t="n">
        <v>5</v>
      </c>
      <c r="Q122" t="n">
        <v>3</v>
      </c>
      <c r="R122" t="n">
        <v>2023.1</v>
      </c>
      <c r="S122" t="b">
        <v>0</v>
      </c>
      <c r="T122" t="n">
        <v>1797168</v>
      </c>
      <c r="U122" t="n">
        <v>4</v>
      </c>
      <c r="V122" t="n">
        <v>0.08939999999999999</v>
      </c>
      <c r="W122" t="n">
        <v>1.1</v>
      </c>
      <c r="X122" t="n">
        <v>86.23</v>
      </c>
      <c r="Y122">
        <f>VLOOKUP(D122,$AB$2:$AC$7,2,FALSE)</f>
        <v/>
      </c>
      <c r="Z122">
        <f>IF(A122&lt;Y122,"Yes","No")</f>
        <v/>
      </c>
    </row>
    <row r="123">
      <c r="A123" t="n">
        <v>2016</v>
      </c>
      <c r="B123" t="inlineStr">
        <is>
          <t>Q1</t>
        </is>
      </c>
      <c r="C123" t="inlineStr">
        <is>
          <t>Asia</t>
        </is>
      </c>
      <c r="D123" t="inlineStr">
        <is>
          <t>Model X</t>
        </is>
      </c>
      <c r="E123" t="n">
        <v>725</v>
      </c>
      <c r="F123" t="n">
        <v>66606.72</v>
      </c>
      <c r="G123" t="n">
        <v>57</v>
      </c>
      <c r="H123" t="inlineStr">
        <is>
          <t>Performance</t>
        </is>
      </c>
      <c r="I123" t="inlineStr">
        <is>
          <t>AWD</t>
        </is>
      </c>
      <c r="J123" t="inlineStr">
        <is>
          <t>Red</t>
        </is>
      </c>
      <c r="K123" t="n">
        <v>552</v>
      </c>
      <c r="L123" t="n">
        <v>70</v>
      </c>
      <c r="M123" t="n">
        <v>16.67</v>
      </c>
      <c r="N123" t="n">
        <v>1376.69</v>
      </c>
      <c r="O123" t="n">
        <v>3.85</v>
      </c>
      <c r="P123" t="n">
        <v>4</v>
      </c>
      <c r="Q123" t="n">
        <v>0</v>
      </c>
      <c r="R123" t="n">
        <v>2020.4</v>
      </c>
      <c r="S123" t="b">
        <v>0</v>
      </c>
      <c r="T123" t="n">
        <v>753797</v>
      </c>
      <c r="U123" t="n">
        <v>4</v>
      </c>
      <c r="V123" t="n">
        <v>0.0634</v>
      </c>
      <c r="W123" t="n">
        <v>1.54</v>
      </c>
      <c r="X123" t="n">
        <v>73.34999999999999</v>
      </c>
      <c r="Y123">
        <f>VLOOKUP(D123,$AB$2:$AC$7,2,FALSE)</f>
        <v/>
      </c>
      <c r="Z123">
        <f>IF(A123&lt;Y123,"Yes","No")</f>
        <v/>
      </c>
    </row>
    <row r="124">
      <c r="A124" t="n">
        <v>2012</v>
      </c>
      <c r="B124" t="inlineStr">
        <is>
          <t>Q3</t>
        </is>
      </c>
      <c r="C124" t="inlineStr">
        <is>
          <t>North America</t>
        </is>
      </c>
      <c r="D124" t="inlineStr">
        <is>
          <t>Model Y</t>
        </is>
      </c>
      <c r="E124" t="n">
        <v>1132</v>
      </c>
      <c r="F124" t="n">
        <v>75604.52</v>
      </c>
      <c r="G124" t="n">
        <v>14</v>
      </c>
      <c r="H124" t="inlineStr">
        <is>
          <t>Long Range</t>
        </is>
      </c>
      <c r="I124" t="inlineStr">
        <is>
          <t>AWD</t>
        </is>
      </c>
      <c r="J124" t="inlineStr">
        <is>
          <t>Green</t>
        </is>
      </c>
      <c r="K124" t="n">
        <v>402</v>
      </c>
      <c r="L124" t="n">
        <v>36</v>
      </c>
      <c r="M124" t="n">
        <v>16.76</v>
      </c>
      <c r="N124" t="n">
        <v>2560.56</v>
      </c>
      <c r="O124" t="n">
        <v>3.71</v>
      </c>
      <c r="P124" t="n">
        <v>5</v>
      </c>
      <c r="Q124" t="n">
        <v>1</v>
      </c>
      <c r="R124" t="n">
        <v>2020.9</v>
      </c>
      <c r="S124" t="b">
        <v>1</v>
      </c>
      <c r="T124" t="n">
        <v>1476709</v>
      </c>
      <c r="U124" t="n">
        <v>9</v>
      </c>
      <c r="V124" t="n">
        <v>0.0416</v>
      </c>
      <c r="W124" t="n">
        <v>0.93</v>
      </c>
      <c r="X124" t="n">
        <v>82.45</v>
      </c>
      <c r="Y124">
        <f>VLOOKUP(D124,$AB$2:$AC$7,2,FALSE)</f>
        <v/>
      </c>
      <c r="Z124">
        <f>IF(A124&lt;Y124,"Yes","No")</f>
        <v/>
      </c>
    </row>
    <row r="125">
      <c r="A125" t="n">
        <v>2018</v>
      </c>
      <c r="B125" t="inlineStr">
        <is>
          <t>Q4</t>
        </is>
      </c>
      <c r="C125" t="inlineStr">
        <is>
          <t>Europe</t>
        </is>
      </c>
      <c r="D125" t="inlineStr">
        <is>
          <t>Model S</t>
        </is>
      </c>
      <c r="E125" t="n">
        <v>873</v>
      </c>
      <c r="F125" t="n">
        <v>46901.12</v>
      </c>
      <c r="G125" t="n">
        <v>7</v>
      </c>
      <c r="H125" t="inlineStr">
        <is>
          <t>Performance</t>
        </is>
      </c>
      <c r="I125" t="inlineStr">
        <is>
          <t>RWD</t>
        </is>
      </c>
      <c r="J125" t="inlineStr">
        <is>
          <t>White</t>
        </is>
      </c>
      <c r="K125" t="n">
        <v>569</v>
      </c>
      <c r="L125" t="n">
        <v>50</v>
      </c>
      <c r="M125" t="n">
        <v>22.49</v>
      </c>
      <c r="N125" t="n">
        <v>869.14</v>
      </c>
      <c r="O125" t="n">
        <v>4.47</v>
      </c>
      <c r="P125" t="n">
        <v>5</v>
      </c>
      <c r="Q125" t="n">
        <v>2</v>
      </c>
      <c r="R125" t="n">
        <v>2020.11</v>
      </c>
      <c r="S125" t="b">
        <v>0</v>
      </c>
      <c r="T125" t="n">
        <v>1823403</v>
      </c>
      <c r="U125" t="n">
        <v>10</v>
      </c>
      <c r="V125" t="n">
        <v>0.0646</v>
      </c>
      <c r="W125" t="n">
        <v>0.88</v>
      </c>
      <c r="X125" t="n">
        <v>71.75</v>
      </c>
      <c r="Y125">
        <f>VLOOKUP(D125,$AB$2:$AC$7,2,FALSE)</f>
        <v/>
      </c>
      <c r="Z125">
        <f>IF(A125&lt;Y125,"Yes","No")</f>
        <v/>
      </c>
    </row>
    <row r="126">
      <c r="A126" t="n">
        <v>2022</v>
      </c>
      <c r="B126" t="inlineStr">
        <is>
          <t>Q1</t>
        </is>
      </c>
      <c r="C126" t="inlineStr">
        <is>
          <t>Europe</t>
        </is>
      </c>
      <c r="D126" t="inlineStr">
        <is>
          <t>Model Y</t>
        </is>
      </c>
      <c r="E126" t="n">
        <v>3211</v>
      </c>
      <c r="F126" t="n">
        <v>44583.21</v>
      </c>
      <c r="G126" t="n">
        <v>31</v>
      </c>
      <c r="H126" t="inlineStr">
        <is>
          <t>Performance</t>
        </is>
      </c>
      <c r="I126" t="inlineStr">
        <is>
          <t>AWD</t>
        </is>
      </c>
      <c r="J126" t="inlineStr">
        <is>
          <t>Silver</t>
        </is>
      </c>
      <c r="K126" t="n">
        <v>356</v>
      </c>
      <c r="L126" t="n">
        <v>53</v>
      </c>
      <c r="M126" t="n">
        <v>24.21</v>
      </c>
      <c r="N126" t="n">
        <v>2453.09</v>
      </c>
      <c r="O126" t="n">
        <v>4.79</v>
      </c>
      <c r="P126" t="n">
        <v>8</v>
      </c>
      <c r="Q126" t="n">
        <v>2</v>
      </c>
      <c r="R126" t="n">
        <v>2024.11</v>
      </c>
      <c r="S126" t="b">
        <v>1</v>
      </c>
      <c r="T126" t="n">
        <v>4051157</v>
      </c>
      <c r="U126" t="n">
        <v>3</v>
      </c>
      <c r="V126" t="n">
        <v>0.0115</v>
      </c>
      <c r="W126" t="n">
        <v>0.64</v>
      </c>
      <c r="X126" t="n">
        <v>67.87</v>
      </c>
      <c r="Y126">
        <f>VLOOKUP(D126,$AB$2:$AC$7,2,FALSE)</f>
        <v/>
      </c>
      <c r="Z126">
        <f>IF(A126&lt;Y126,"Yes","No")</f>
        <v/>
      </c>
    </row>
    <row r="127">
      <c r="A127" t="n">
        <v>2012</v>
      </c>
      <c r="B127" t="inlineStr">
        <is>
          <t>Q1</t>
        </is>
      </c>
      <c r="C127" t="inlineStr">
        <is>
          <t>Australia</t>
        </is>
      </c>
      <c r="D127" t="inlineStr">
        <is>
          <t>Cybertruck</t>
        </is>
      </c>
      <c r="E127" t="n">
        <v>2396</v>
      </c>
      <c r="F127" t="n">
        <v>88428.50999999999</v>
      </c>
      <c r="G127" t="n">
        <v>32</v>
      </c>
      <c r="H127" t="inlineStr">
        <is>
          <t>Long Range</t>
        </is>
      </c>
      <c r="I127" t="inlineStr">
        <is>
          <t>RWD</t>
        </is>
      </c>
      <c r="J127" t="inlineStr">
        <is>
          <t>Green</t>
        </is>
      </c>
      <c r="K127" t="n">
        <v>555</v>
      </c>
      <c r="L127" t="n">
        <v>35</v>
      </c>
      <c r="M127" t="n">
        <v>20.69</v>
      </c>
      <c r="N127" t="n">
        <v>3774.44</v>
      </c>
      <c r="O127" t="n">
        <v>3.73</v>
      </c>
      <c r="P127" t="n">
        <v>4</v>
      </c>
      <c r="Q127" t="n">
        <v>2</v>
      </c>
      <c r="R127" t="n">
        <v>2020.9</v>
      </c>
      <c r="S127" t="b">
        <v>1</v>
      </c>
      <c r="T127" t="n">
        <v>1403397</v>
      </c>
      <c r="U127" t="n">
        <v>10</v>
      </c>
      <c r="V127" t="n">
        <v>0.0394</v>
      </c>
      <c r="W127" t="n">
        <v>1.67</v>
      </c>
      <c r="X127" t="n">
        <v>82.90000000000001</v>
      </c>
      <c r="Y127">
        <f>VLOOKUP(D127,$AB$2:$AC$7,2,FALSE)</f>
        <v/>
      </c>
      <c r="Z127">
        <f>IF(A127&lt;Y127,"Yes","No")</f>
        <v/>
      </c>
    </row>
    <row r="128">
      <c r="A128" t="n">
        <v>2022</v>
      </c>
      <c r="B128" t="inlineStr">
        <is>
          <t>Q1</t>
        </is>
      </c>
      <c r="C128" t="inlineStr">
        <is>
          <t>Asia</t>
        </is>
      </c>
      <c r="D128" t="inlineStr">
        <is>
          <t>Semi</t>
        </is>
      </c>
      <c r="E128" t="n">
        <v>3633</v>
      </c>
      <c r="F128" t="n">
        <v>97046.46000000001</v>
      </c>
      <c r="G128" t="n">
        <v>54</v>
      </c>
      <c r="H128" t="inlineStr">
        <is>
          <t>Standard</t>
        </is>
      </c>
      <c r="I128" t="inlineStr">
        <is>
          <t>AWD</t>
        </is>
      </c>
      <c r="J128" t="inlineStr">
        <is>
          <t>Black</t>
        </is>
      </c>
      <c r="K128" t="n">
        <v>394</v>
      </c>
      <c r="L128" t="n">
        <v>89</v>
      </c>
      <c r="M128" t="n">
        <v>18.21</v>
      </c>
      <c r="N128" t="n">
        <v>5110.7</v>
      </c>
      <c r="O128" t="n">
        <v>4.41</v>
      </c>
      <c r="P128" t="n">
        <v>6</v>
      </c>
      <c r="Q128" t="n">
        <v>1</v>
      </c>
      <c r="R128" t="n">
        <v>2020.1</v>
      </c>
      <c r="S128" t="b">
        <v>1</v>
      </c>
      <c r="T128" t="n">
        <v>195215</v>
      </c>
      <c r="U128" t="n">
        <v>4</v>
      </c>
      <c r="V128" t="n">
        <v>0.0547</v>
      </c>
      <c r="W128" t="n">
        <v>1.19</v>
      </c>
      <c r="X128" t="n">
        <v>75.52</v>
      </c>
      <c r="Y128">
        <f>VLOOKUP(D128,$AB$2:$AC$7,2,FALSE)</f>
        <v/>
      </c>
      <c r="Z128">
        <f>IF(A128&lt;Y128,"Yes","No")</f>
        <v/>
      </c>
    </row>
    <row r="129">
      <c r="A129" t="n">
        <v>2023</v>
      </c>
      <c r="B129" t="inlineStr">
        <is>
          <t>Q3</t>
        </is>
      </c>
      <c r="C129" t="inlineStr">
        <is>
          <t>Europe</t>
        </is>
      </c>
      <c r="D129" t="inlineStr">
        <is>
          <t>Model X</t>
        </is>
      </c>
      <c r="E129" t="n">
        <v>1089</v>
      </c>
      <c r="F129" t="n">
        <v>98730.99000000001</v>
      </c>
      <c r="G129" t="n">
        <v>55</v>
      </c>
      <c r="H129" t="inlineStr">
        <is>
          <t>Long Range</t>
        </is>
      </c>
      <c r="I129" t="inlineStr">
        <is>
          <t>AWD</t>
        </is>
      </c>
      <c r="J129" t="inlineStr">
        <is>
          <t>Red</t>
        </is>
      </c>
      <c r="K129" t="n">
        <v>521</v>
      </c>
      <c r="L129" t="n">
        <v>81</v>
      </c>
      <c r="M129" t="n">
        <v>18.15</v>
      </c>
      <c r="N129" t="n">
        <v>1685.45</v>
      </c>
      <c r="O129" t="n">
        <v>3.89</v>
      </c>
      <c r="P129" t="n">
        <v>4</v>
      </c>
      <c r="Q129" t="n">
        <v>3</v>
      </c>
      <c r="R129" t="n">
        <v>2023.9</v>
      </c>
      <c r="S129" t="b">
        <v>0</v>
      </c>
      <c r="T129" t="n">
        <v>565056</v>
      </c>
      <c r="U129" t="n">
        <v>9</v>
      </c>
      <c r="V129" t="n">
        <v>0.0873</v>
      </c>
      <c r="W129" t="n">
        <v>0.83</v>
      </c>
      <c r="X129" t="n">
        <v>64.72</v>
      </c>
      <c r="Y129">
        <f>VLOOKUP(D129,$AB$2:$AC$7,2,FALSE)</f>
        <v/>
      </c>
      <c r="Z129">
        <f>IF(A129&lt;Y129,"Yes","No")</f>
        <v/>
      </c>
    </row>
    <row r="130">
      <c r="A130" t="n">
        <v>2024</v>
      </c>
      <c r="B130" t="inlineStr">
        <is>
          <t>Q1</t>
        </is>
      </c>
      <c r="C130" t="inlineStr">
        <is>
          <t>South America</t>
        </is>
      </c>
      <c r="D130" t="inlineStr">
        <is>
          <t>Semi</t>
        </is>
      </c>
      <c r="E130" t="n">
        <v>994</v>
      </c>
      <c r="F130" t="n">
        <v>54414.38</v>
      </c>
      <c r="G130" t="n">
        <v>32</v>
      </c>
      <c r="H130" t="inlineStr">
        <is>
          <t>Standard</t>
        </is>
      </c>
      <c r="I130" t="inlineStr">
        <is>
          <t>AWD</t>
        </is>
      </c>
      <c r="J130" t="inlineStr">
        <is>
          <t>Red</t>
        </is>
      </c>
      <c r="K130" t="n">
        <v>475</v>
      </c>
      <c r="L130" t="n">
        <v>32</v>
      </c>
      <c r="M130" t="n">
        <v>18.66</v>
      </c>
      <c r="N130" t="n">
        <v>1258.36</v>
      </c>
      <c r="O130" t="n">
        <v>3.73</v>
      </c>
      <c r="P130" t="n">
        <v>4</v>
      </c>
      <c r="Q130" t="n">
        <v>3</v>
      </c>
      <c r="R130" t="n">
        <v>2021.6</v>
      </c>
      <c r="S130" t="b">
        <v>1</v>
      </c>
      <c r="T130" t="n">
        <v>3591813</v>
      </c>
      <c r="U130" t="n">
        <v>7</v>
      </c>
      <c r="V130" t="n">
        <v>0.0344</v>
      </c>
      <c r="W130" t="n">
        <v>0.66</v>
      </c>
      <c r="X130" t="n">
        <v>71.18000000000001</v>
      </c>
      <c r="Y130">
        <f>VLOOKUP(D130,$AB$2:$AC$7,2,FALSE)</f>
        <v/>
      </c>
      <c r="Z130">
        <f>IF(A130&lt;Y130,"Yes","No")</f>
        <v/>
      </c>
    </row>
    <row r="131">
      <c r="A131" t="n">
        <v>2020</v>
      </c>
      <c r="B131" t="inlineStr">
        <is>
          <t>Q1</t>
        </is>
      </c>
      <c r="C131" t="inlineStr">
        <is>
          <t>Europe</t>
        </is>
      </c>
      <c r="D131" t="inlineStr">
        <is>
          <t>Model 3</t>
        </is>
      </c>
      <c r="E131" t="n">
        <v>4275</v>
      </c>
      <c r="F131" t="n">
        <v>118420.18</v>
      </c>
      <c r="G131" t="n">
        <v>25</v>
      </c>
      <c r="H131" t="inlineStr">
        <is>
          <t>Standard</t>
        </is>
      </c>
      <c r="I131" t="inlineStr">
        <is>
          <t>RWD</t>
        </is>
      </c>
      <c r="J131" t="inlineStr">
        <is>
          <t>White</t>
        </is>
      </c>
      <c r="K131" t="n">
        <v>509</v>
      </c>
      <c r="L131" t="n">
        <v>50</v>
      </c>
      <c r="M131" t="n">
        <v>14.04</v>
      </c>
      <c r="N131" t="n">
        <v>6042.68</v>
      </c>
      <c r="O131" t="n">
        <v>4.05</v>
      </c>
      <c r="P131" t="n">
        <v>6</v>
      </c>
      <c r="Q131" t="n">
        <v>2</v>
      </c>
      <c r="R131" t="n">
        <v>2024.4</v>
      </c>
      <c r="S131" t="b">
        <v>0</v>
      </c>
      <c r="T131" t="n">
        <v>3189303</v>
      </c>
      <c r="U131" t="n">
        <v>11</v>
      </c>
      <c r="V131" t="n">
        <v>0.0975</v>
      </c>
      <c r="W131" t="n">
        <v>2.5</v>
      </c>
      <c r="X131" t="n">
        <v>83.28</v>
      </c>
      <c r="Y131">
        <f>VLOOKUP(D131,$AB$2:$AC$7,2,FALSE)</f>
        <v/>
      </c>
      <c r="Z131">
        <f>IF(A131&lt;Y131,"Yes","No")</f>
        <v/>
      </c>
    </row>
    <row r="132">
      <c r="A132" t="n">
        <v>2023</v>
      </c>
      <c r="B132" t="inlineStr">
        <is>
          <t>Q2</t>
        </is>
      </c>
      <c r="C132" t="inlineStr">
        <is>
          <t>Europe</t>
        </is>
      </c>
      <c r="D132" t="inlineStr">
        <is>
          <t>Model S</t>
        </is>
      </c>
      <c r="E132" t="n">
        <v>3409</v>
      </c>
      <c r="F132" t="n">
        <v>37032.37</v>
      </c>
      <c r="G132" t="n">
        <v>34</v>
      </c>
      <c r="H132" t="inlineStr">
        <is>
          <t>Long Range</t>
        </is>
      </c>
      <c r="I132" t="inlineStr">
        <is>
          <t>AWD</t>
        </is>
      </c>
      <c r="J132" t="inlineStr">
        <is>
          <t>White</t>
        </is>
      </c>
      <c r="K132" t="n">
        <v>350</v>
      </c>
      <c r="L132" t="n">
        <v>78</v>
      </c>
      <c r="M132" t="n">
        <v>20.89</v>
      </c>
      <c r="N132" t="n">
        <v>7493.02</v>
      </c>
      <c r="O132" t="n">
        <v>4.59</v>
      </c>
      <c r="P132" t="n">
        <v>4</v>
      </c>
      <c r="Q132" t="n">
        <v>1</v>
      </c>
      <c r="R132" t="n">
        <v>2024.4</v>
      </c>
      <c r="S132" t="b">
        <v>0</v>
      </c>
      <c r="T132" t="n">
        <v>4227437</v>
      </c>
      <c r="U132" t="n">
        <v>2</v>
      </c>
      <c r="V132" t="n">
        <v>0.0975</v>
      </c>
      <c r="W132" t="n">
        <v>0.78</v>
      </c>
      <c r="X132" t="n">
        <v>68.39</v>
      </c>
      <c r="Y132">
        <f>VLOOKUP(D132,$AB$2:$AC$7,2,FALSE)</f>
        <v/>
      </c>
      <c r="Z132">
        <f>IF(A132&lt;Y132,"Yes","No")</f>
        <v/>
      </c>
    </row>
    <row r="133">
      <c r="A133" t="n">
        <v>2012</v>
      </c>
      <c r="B133" t="inlineStr">
        <is>
          <t>Q2</t>
        </is>
      </c>
      <c r="C133" t="inlineStr">
        <is>
          <t>South America</t>
        </is>
      </c>
      <c r="D133" t="inlineStr">
        <is>
          <t>Model Y</t>
        </is>
      </c>
      <c r="E133" t="n">
        <v>3101</v>
      </c>
      <c r="F133" t="n">
        <v>73968.92999999999</v>
      </c>
      <c r="G133" t="n">
        <v>47</v>
      </c>
      <c r="H133" t="inlineStr">
        <is>
          <t>Standard</t>
        </is>
      </c>
      <c r="I133" t="inlineStr">
        <is>
          <t>AWD</t>
        </is>
      </c>
      <c r="J133" t="inlineStr">
        <is>
          <t>Silver</t>
        </is>
      </c>
      <c r="K133" t="n">
        <v>418</v>
      </c>
      <c r="L133" t="n">
        <v>70</v>
      </c>
      <c r="M133" t="n">
        <v>22.84</v>
      </c>
      <c r="N133" t="n">
        <v>2014.6</v>
      </c>
      <c r="O133" t="n">
        <v>4.35</v>
      </c>
      <c r="P133" t="n">
        <v>8</v>
      </c>
      <c r="Q133" t="n">
        <v>1</v>
      </c>
      <c r="R133" t="n">
        <v>2021.5</v>
      </c>
      <c r="S133" t="b">
        <v>0</v>
      </c>
      <c r="T133" t="n">
        <v>2742486</v>
      </c>
      <c r="U133" t="n">
        <v>8</v>
      </c>
      <c r="V133" t="n">
        <v>0.0731</v>
      </c>
      <c r="W133" t="n">
        <v>1.97</v>
      </c>
      <c r="X133" t="n">
        <v>69.54000000000001</v>
      </c>
      <c r="Y133">
        <f>VLOOKUP(D133,$AB$2:$AC$7,2,FALSE)</f>
        <v/>
      </c>
      <c r="Z133">
        <f>IF(A133&lt;Y133,"Yes","No")</f>
        <v/>
      </c>
    </row>
    <row r="134">
      <c r="A134" t="n">
        <v>2016</v>
      </c>
      <c r="B134" t="inlineStr">
        <is>
          <t>Q2</t>
        </is>
      </c>
      <c r="C134" t="inlineStr">
        <is>
          <t>North America</t>
        </is>
      </c>
      <c r="D134" t="inlineStr">
        <is>
          <t>Model 3</t>
        </is>
      </c>
      <c r="E134" t="n">
        <v>1165</v>
      </c>
      <c r="F134" t="n">
        <v>101294.64</v>
      </c>
      <c r="G134" t="n">
        <v>37</v>
      </c>
      <c r="H134" t="inlineStr">
        <is>
          <t>Standard</t>
        </is>
      </c>
      <c r="I134" t="inlineStr">
        <is>
          <t>AWD</t>
        </is>
      </c>
      <c r="J134" t="inlineStr">
        <is>
          <t>Red</t>
        </is>
      </c>
      <c r="K134" t="n">
        <v>434</v>
      </c>
      <c r="L134" t="n">
        <v>58</v>
      </c>
      <c r="M134" t="n">
        <v>18.59</v>
      </c>
      <c r="N134" t="n">
        <v>1529.67</v>
      </c>
      <c r="O134" t="n">
        <v>4.3</v>
      </c>
      <c r="P134" t="n">
        <v>5</v>
      </c>
      <c r="Q134" t="n">
        <v>3</v>
      </c>
      <c r="R134" t="n">
        <v>2022.8</v>
      </c>
      <c r="S134" t="b">
        <v>0</v>
      </c>
      <c r="T134" t="n">
        <v>1105907</v>
      </c>
      <c r="U134" t="n">
        <v>3</v>
      </c>
      <c r="V134" t="n">
        <v>0.0242</v>
      </c>
      <c r="W134" t="n">
        <v>1.87</v>
      </c>
      <c r="X134" t="n">
        <v>84.79000000000001</v>
      </c>
      <c r="Y134">
        <f>VLOOKUP(D134,$AB$2:$AC$7,2,FALSE)</f>
        <v/>
      </c>
      <c r="Z134">
        <f>IF(A134&lt;Y134,"Yes","No")</f>
        <v/>
      </c>
    </row>
    <row r="135">
      <c r="A135" t="n">
        <v>2023</v>
      </c>
      <c r="B135" t="inlineStr">
        <is>
          <t>Q1</t>
        </is>
      </c>
      <c r="C135" t="inlineStr">
        <is>
          <t>Europe</t>
        </is>
      </c>
      <c r="D135" t="inlineStr">
        <is>
          <t>Model X</t>
        </is>
      </c>
      <c r="E135" t="n">
        <v>1265</v>
      </c>
      <c r="F135" t="n">
        <v>42753.1</v>
      </c>
      <c r="G135" t="n">
        <v>15</v>
      </c>
      <c r="H135" t="inlineStr">
        <is>
          <t>Long Range</t>
        </is>
      </c>
      <c r="I135" t="inlineStr">
        <is>
          <t>RWD</t>
        </is>
      </c>
      <c r="J135" t="inlineStr">
        <is>
          <t>Silver</t>
        </is>
      </c>
      <c r="K135" t="n">
        <v>375</v>
      </c>
      <c r="L135" t="n">
        <v>73</v>
      </c>
      <c r="M135" t="n">
        <v>16.59</v>
      </c>
      <c r="N135" t="n">
        <v>2707.33</v>
      </c>
      <c r="O135" t="n">
        <v>3.76</v>
      </c>
      <c r="P135" t="n">
        <v>8</v>
      </c>
      <c r="Q135" t="n">
        <v>3</v>
      </c>
      <c r="R135" t="n">
        <v>2024.12</v>
      </c>
      <c r="S135" t="b">
        <v>1</v>
      </c>
      <c r="T135" t="n">
        <v>894613</v>
      </c>
      <c r="U135" t="n">
        <v>9</v>
      </c>
      <c r="V135" t="n">
        <v>0.0192</v>
      </c>
      <c r="W135" t="n">
        <v>2.09</v>
      </c>
      <c r="X135" t="n">
        <v>63.64</v>
      </c>
      <c r="Y135">
        <f>VLOOKUP(D135,$AB$2:$AC$7,2,FALSE)</f>
        <v/>
      </c>
      <c r="Z135">
        <f>IF(A135&lt;Y135,"Yes","No")</f>
        <v/>
      </c>
    </row>
    <row r="136">
      <c r="A136" t="n">
        <v>2012</v>
      </c>
      <c r="B136" t="inlineStr">
        <is>
          <t>Q2</t>
        </is>
      </c>
      <c r="C136" t="inlineStr">
        <is>
          <t>Europe</t>
        </is>
      </c>
      <c r="D136" t="inlineStr">
        <is>
          <t>Model 3</t>
        </is>
      </c>
      <c r="E136" t="n">
        <v>3331</v>
      </c>
      <c r="F136" t="n">
        <v>66640.38</v>
      </c>
      <c r="G136" t="n">
        <v>40</v>
      </c>
      <c r="H136" t="inlineStr">
        <is>
          <t>Performance</t>
        </is>
      </c>
      <c r="I136" t="inlineStr">
        <is>
          <t>AWD</t>
        </is>
      </c>
      <c r="J136" t="inlineStr">
        <is>
          <t>Silver</t>
        </is>
      </c>
      <c r="K136" t="n">
        <v>650</v>
      </c>
      <c r="L136" t="n">
        <v>46</v>
      </c>
      <c r="M136" t="n">
        <v>24.01</v>
      </c>
      <c r="N136" t="n">
        <v>2165.06</v>
      </c>
      <c r="O136" t="n">
        <v>5</v>
      </c>
      <c r="P136" t="n">
        <v>5</v>
      </c>
      <c r="Q136" t="n">
        <v>3</v>
      </c>
      <c r="R136" t="n">
        <v>2021.2</v>
      </c>
      <c r="S136" t="b">
        <v>0</v>
      </c>
      <c r="T136" t="n">
        <v>1127836</v>
      </c>
      <c r="U136" t="n">
        <v>2</v>
      </c>
      <c r="V136" t="n">
        <v>0.0948</v>
      </c>
      <c r="W136" t="n">
        <v>0.6</v>
      </c>
      <c r="X136" t="n">
        <v>87.72</v>
      </c>
      <c r="Y136">
        <f>VLOOKUP(D136,$AB$2:$AC$7,2,FALSE)</f>
        <v/>
      </c>
      <c r="Z136">
        <f>IF(A136&lt;Y136,"Yes","No")</f>
        <v/>
      </c>
    </row>
    <row r="137">
      <c r="A137" t="n">
        <v>2018</v>
      </c>
      <c r="B137" t="inlineStr">
        <is>
          <t>Q4</t>
        </is>
      </c>
      <c r="C137" t="inlineStr">
        <is>
          <t>Australia</t>
        </is>
      </c>
      <c r="D137" t="inlineStr">
        <is>
          <t>Model S</t>
        </is>
      </c>
      <c r="E137" t="n">
        <v>3185</v>
      </c>
      <c r="F137" t="n">
        <v>93073.10000000001</v>
      </c>
      <c r="G137" t="n">
        <v>11</v>
      </c>
      <c r="H137" t="inlineStr">
        <is>
          <t>Long Range</t>
        </is>
      </c>
      <c r="I137" t="inlineStr">
        <is>
          <t>AWD</t>
        </is>
      </c>
      <c r="J137" t="inlineStr">
        <is>
          <t>Black</t>
        </is>
      </c>
      <c r="K137" t="n">
        <v>490</v>
      </c>
      <c r="L137" t="n">
        <v>47</v>
      </c>
      <c r="M137" t="n">
        <v>18.35</v>
      </c>
      <c r="N137" t="n">
        <v>2539.28</v>
      </c>
      <c r="O137" t="n">
        <v>4.42</v>
      </c>
      <c r="P137" t="n">
        <v>5</v>
      </c>
      <c r="Q137" t="n">
        <v>2</v>
      </c>
      <c r="R137" t="n">
        <v>2023.7</v>
      </c>
      <c r="S137" t="b">
        <v>0</v>
      </c>
      <c r="T137" t="n">
        <v>611529</v>
      </c>
      <c r="U137" t="n">
        <v>3</v>
      </c>
      <c r="V137" t="n">
        <v>0.0352</v>
      </c>
      <c r="W137" t="n">
        <v>0.77</v>
      </c>
      <c r="X137" t="n">
        <v>65.98</v>
      </c>
      <c r="Y137">
        <f>VLOOKUP(D137,$AB$2:$AC$7,2,FALSE)</f>
        <v/>
      </c>
      <c r="Z137">
        <f>IF(A137&lt;Y137,"Yes","No")</f>
        <v/>
      </c>
    </row>
    <row r="138">
      <c r="A138" t="n">
        <v>2024</v>
      </c>
      <c r="B138" t="inlineStr">
        <is>
          <t>Q2</t>
        </is>
      </c>
      <c r="C138" t="inlineStr">
        <is>
          <t>South America</t>
        </is>
      </c>
      <c r="D138" t="inlineStr">
        <is>
          <t>Model S</t>
        </is>
      </c>
      <c r="E138" t="n">
        <v>3183</v>
      </c>
      <c r="F138" t="n">
        <v>101462.84</v>
      </c>
      <c r="G138" t="n">
        <v>22</v>
      </c>
      <c r="H138" t="inlineStr">
        <is>
          <t>Long Range</t>
        </is>
      </c>
      <c r="I138" t="inlineStr">
        <is>
          <t>RWD</t>
        </is>
      </c>
      <c r="J138" t="inlineStr">
        <is>
          <t>White</t>
        </is>
      </c>
      <c r="K138" t="n">
        <v>639</v>
      </c>
      <c r="L138" t="n">
        <v>62</v>
      </c>
      <c r="M138" t="n">
        <v>16.86</v>
      </c>
      <c r="N138" t="n">
        <v>3313.09</v>
      </c>
      <c r="O138" t="n">
        <v>3.54</v>
      </c>
      <c r="P138" t="n">
        <v>5</v>
      </c>
      <c r="Q138" t="n">
        <v>0</v>
      </c>
      <c r="R138" t="n">
        <v>2022.1</v>
      </c>
      <c r="S138" t="b">
        <v>0</v>
      </c>
      <c r="T138" t="n">
        <v>4541199</v>
      </c>
      <c r="U138" t="n">
        <v>7</v>
      </c>
      <c r="V138" t="n">
        <v>0.079</v>
      </c>
      <c r="W138" t="n">
        <v>2.5</v>
      </c>
      <c r="X138" t="n">
        <v>89.22</v>
      </c>
      <c r="Y138">
        <f>VLOOKUP(D138,$AB$2:$AC$7,2,FALSE)</f>
        <v/>
      </c>
      <c r="Z138">
        <f>IF(A138&lt;Y138,"Yes","No")</f>
        <v/>
      </c>
    </row>
    <row r="139">
      <c r="A139" t="n">
        <v>2013</v>
      </c>
      <c r="B139" t="inlineStr">
        <is>
          <t>Q2</t>
        </is>
      </c>
      <c r="C139" t="inlineStr">
        <is>
          <t>Europe</t>
        </is>
      </c>
      <c r="D139" t="inlineStr">
        <is>
          <t>Model X</t>
        </is>
      </c>
      <c r="E139" t="n">
        <v>4421</v>
      </c>
      <c r="F139" t="n">
        <v>104384.24</v>
      </c>
      <c r="G139" t="n">
        <v>58</v>
      </c>
      <c r="H139" t="inlineStr">
        <is>
          <t>Performance</t>
        </is>
      </c>
      <c r="I139" t="inlineStr">
        <is>
          <t>AWD</t>
        </is>
      </c>
      <c r="J139" t="inlineStr">
        <is>
          <t>Black</t>
        </is>
      </c>
      <c r="K139" t="n">
        <v>644</v>
      </c>
      <c r="L139" t="n">
        <v>84</v>
      </c>
      <c r="M139" t="n">
        <v>24.79</v>
      </c>
      <c r="N139" t="n">
        <v>5644.93</v>
      </c>
      <c r="O139" t="n">
        <v>4.9</v>
      </c>
      <c r="P139" t="n">
        <v>5</v>
      </c>
      <c r="Q139" t="n">
        <v>1</v>
      </c>
      <c r="R139" t="n">
        <v>2021.1</v>
      </c>
      <c r="S139" t="b">
        <v>0</v>
      </c>
      <c r="T139" t="n">
        <v>3109691</v>
      </c>
      <c r="U139" t="n">
        <v>11</v>
      </c>
      <c r="V139" t="n">
        <v>0.0125</v>
      </c>
      <c r="W139" t="n">
        <v>1.9</v>
      </c>
      <c r="X139" t="n">
        <v>88.43000000000001</v>
      </c>
      <c r="Y139">
        <f>VLOOKUP(D139,$AB$2:$AC$7,2,FALSE)</f>
        <v/>
      </c>
      <c r="Z139">
        <f>IF(A139&lt;Y139,"Yes","No")</f>
        <v/>
      </c>
    </row>
    <row r="140">
      <c r="A140" t="n">
        <v>2021</v>
      </c>
      <c r="B140" t="inlineStr">
        <is>
          <t>Q2</t>
        </is>
      </c>
      <c r="C140" t="inlineStr">
        <is>
          <t>South America</t>
        </is>
      </c>
      <c r="D140" t="inlineStr">
        <is>
          <t>Model 3</t>
        </is>
      </c>
      <c r="E140" t="n">
        <v>4082</v>
      </c>
      <c r="F140" t="n">
        <v>81080.59</v>
      </c>
      <c r="G140" t="n">
        <v>11</v>
      </c>
      <c r="H140" t="inlineStr">
        <is>
          <t>Long Range</t>
        </is>
      </c>
      <c r="I140" t="inlineStr">
        <is>
          <t>AWD</t>
        </is>
      </c>
      <c r="J140" t="inlineStr">
        <is>
          <t>Red</t>
        </is>
      </c>
      <c r="K140" t="n">
        <v>378</v>
      </c>
      <c r="L140" t="n">
        <v>44</v>
      </c>
      <c r="M140" t="n">
        <v>20.22</v>
      </c>
      <c r="N140" t="n">
        <v>2203.69</v>
      </c>
      <c r="O140" t="n">
        <v>4.22</v>
      </c>
      <c r="P140" t="n">
        <v>6</v>
      </c>
      <c r="Q140" t="n">
        <v>1</v>
      </c>
      <c r="R140" t="n">
        <v>2021.6</v>
      </c>
      <c r="S140" t="b">
        <v>1</v>
      </c>
      <c r="T140" t="n">
        <v>2814459</v>
      </c>
      <c r="U140" t="n">
        <v>2</v>
      </c>
      <c r="V140" t="n">
        <v>0.012</v>
      </c>
      <c r="W140" t="n">
        <v>1.67</v>
      </c>
      <c r="X140" t="n">
        <v>87.52</v>
      </c>
      <c r="Y140">
        <f>VLOOKUP(D140,$AB$2:$AC$7,2,FALSE)</f>
        <v/>
      </c>
      <c r="Z140">
        <f>IF(A140&lt;Y140,"Yes","No")</f>
        <v/>
      </c>
    </row>
    <row r="141">
      <c r="A141" t="n">
        <v>2024</v>
      </c>
      <c r="B141" t="inlineStr">
        <is>
          <t>Q1</t>
        </is>
      </c>
      <c r="C141" t="inlineStr">
        <is>
          <t>South America</t>
        </is>
      </c>
      <c r="D141" t="inlineStr">
        <is>
          <t>Model X</t>
        </is>
      </c>
      <c r="E141" t="n">
        <v>644</v>
      </c>
      <c r="F141" t="n">
        <v>66755.22</v>
      </c>
      <c r="G141" t="n">
        <v>60</v>
      </c>
      <c r="H141" t="inlineStr">
        <is>
          <t>Performance</t>
        </is>
      </c>
      <c r="I141" t="inlineStr">
        <is>
          <t>RWD</t>
        </is>
      </c>
      <c r="J141" t="inlineStr">
        <is>
          <t>Silver</t>
        </is>
      </c>
      <c r="K141" t="n">
        <v>401</v>
      </c>
      <c r="L141" t="n">
        <v>51</v>
      </c>
      <c r="M141" t="n">
        <v>16.62</v>
      </c>
      <c r="N141" t="n">
        <v>497.75</v>
      </c>
      <c r="O141" t="n">
        <v>3.74</v>
      </c>
      <c r="P141" t="n">
        <v>8</v>
      </c>
      <c r="Q141" t="n">
        <v>3</v>
      </c>
      <c r="R141" t="n">
        <v>2022.3</v>
      </c>
      <c r="S141" t="b">
        <v>0</v>
      </c>
      <c r="T141" t="n">
        <v>1972649</v>
      </c>
      <c r="U141" t="n">
        <v>12</v>
      </c>
      <c r="V141" t="n">
        <v>0.063</v>
      </c>
      <c r="W141" t="n">
        <v>0.85</v>
      </c>
      <c r="X141" t="n">
        <v>69.2</v>
      </c>
      <c r="Y141">
        <f>VLOOKUP(D141,$AB$2:$AC$7,2,FALSE)</f>
        <v/>
      </c>
      <c r="Z141">
        <f>IF(A141&lt;Y141,"Yes","No")</f>
        <v/>
      </c>
    </row>
    <row r="142">
      <c r="A142" t="n">
        <v>2023</v>
      </c>
      <c r="B142" t="inlineStr">
        <is>
          <t>Q3</t>
        </is>
      </c>
      <c r="C142" t="inlineStr">
        <is>
          <t>Europe</t>
        </is>
      </c>
      <c r="D142" t="inlineStr">
        <is>
          <t>Model 3</t>
        </is>
      </c>
      <c r="E142" t="n">
        <v>64</v>
      </c>
      <c r="F142" t="n">
        <v>115646.99</v>
      </c>
      <c r="G142" t="n">
        <v>60</v>
      </c>
      <c r="H142" t="inlineStr">
        <is>
          <t>Performance</t>
        </is>
      </c>
      <c r="I142" t="inlineStr">
        <is>
          <t>RWD</t>
        </is>
      </c>
      <c r="J142" t="inlineStr">
        <is>
          <t>Silver</t>
        </is>
      </c>
      <c r="K142" t="n">
        <v>366</v>
      </c>
      <c r="L142" t="n">
        <v>41</v>
      </c>
      <c r="M142" t="n">
        <v>20.23</v>
      </c>
      <c r="N142" t="n">
        <v>149.89</v>
      </c>
      <c r="O142" t="n">
        <v>4.95</v>
      </c>
      <c r="P142" t="n">
        <v>5</v>
      </c>
      <c r="Q142" t="n">
        <v>0</v>
      </c>
      <c r="R142" t="n">
        <v>2023.3</v>
      </c>
      <c r="S142" t="b">
        <v>0</v>
      </c>
      <c r="T142" t="n">
        <v>752689</v>
      </c>
      <c r="U142" t="n">
        <v>5</v>
      </c>
      <c r="V142" t="n">
        <v>0.0412</v>
      </c>
      <c r="W142" t="n">
        <v>1.14</v>
      </c>
      <c r="X142" t="n">
        <v>79.09</v>
      </c>
      <c r="Y142">
        <f>VLOOKUP(D142,$AB$2:$AC$7,2,FALSE)</f>
        <v/>
      </c>
      <c r="Z142">
        <f>IF(A142&lt;Y142,"Yes","No")</f>
        <v/>
      </c>
    </row>
    <row r="143">
      <c r="A143" t="n">
        <v>2013</v>
      </c>
      <c r="B143" t="inlineStr">
        <is>
          <t>Q3</t>
        </is>
      </c>
      <c r="C143" t="inlineStr">
        <is>
          <t>Australia</t>
        </is>
      </c>
      <c r="D143" t="inlineStr">
        <is>
          <t>Model S</t>
        </is>
      </c>
      <c r="E143" t="n">
        <v>2222</v>
      </c>
      <c r="F143" t="n">
        <v>52823.16</v>
      </c>
      <c r="G143" t="n">
        <v>44</v>
      </c>
      <c r="H143" t="inlineStr">
        <is>
          <t>Standard</t>
        </is>
      </c>
      <c r="I143" t="inlineStr">
        <is>
          <t>RWD</t>
        </is>
      </c>
      <c r="J143" t="inlineStr">
        <is>
          <t>White</t>
        </is>
      </c>
      <c r="K143" t="n">
        <v>405</v>
      </c>
      <c r="L143" t="n">
        <v>76</v>
      </c>
      <c r="M143" t="n">
        <v>13.02</v>
      </c>
      <c r="N143" t="n">
        <v>2826.1</v>
      </c>
      <c r="O143" t="n">
        <v>4.6</v>
      </c>
      <c r="P143" t="n">
        <v>5</v>
      </c>
      <c r="Q143" t="n">
        <v>3</v>
      </c>
      <c r="R143" t="n">
        <v>2023.7</v>
      </c>
      <c r="S143" t="b">
        <v>0</v>
      </c>
      <c r="T143" t="n">
        <v>4680381</v>
      </c>
      <c r="U143" t="n">
        <v>8</v>
      </c>
      <c r="V143" t="n">
        <v>0.0191</v>
      </c>
      <c r="W143" t="n">
        <v>1.46</v>
      </c>
      <c r="X143" t="n">
        <v>85.92</v>
      </c>
      <c r="Y143">
        <f>VLOOKUP(D143,$AB$2:$AC$7,2,FALSE)</f>
        <v/>
      </c>
      <c r="Z143">
        <f>IF(A143&lt;Y143,"Yes","No")</f>
        <v/>
      </c>
    </row>
    <row r="144">
      <c r="A144" t="n">
        <v>2022</v>
      </c>
      <c r="B144" t="inlineStr">
        <is>
          <t>Q2</t>
        </is>
      </c>
      <c r="C144" t="inlineStr">
        <is>
          <t>Europe</t>
        </is>
      </c>
      <c r="D144" t="inlineStr">
        <is>
          <t>Model Y</t>
        </is>
      </c>
      <c r="E144" t="n">
        <v>653</v>
      </c>
      <c r="F144" t="n">
        <v>102931.54</v>
      </c>
      <c r="G144" t="n">
        <v>2</v>
      </c>
      <c r="H144" t="inlineStr">
        <is>
          <t>Long Range</t>
        </is>
      </c>
      <c r="I144" t="inlineStr">
        <is>
          <t>AWD</t>
        </is>
      </c>
      <c r="J144" t="inlineStr">
        <is>
          <t>White</t>
        </is>
      </c>
      <c r="K144" t="n">
        <v>483</v>
      </c>
      <c r="L144" t="n">
        <v>90</v>
      </c>
      <c r="M144" t="n">
        <v>14.26</v>
      </c>
      <c r="N144" t="n">
        <v>772.9</v>
      </c>
      <c r="O144" t="n">
        <v>4.83</v>
      </c>
      <c r="P144" t="n">
        <v>5</v>
      </c>
      <c r="Q144" t="n">
        <v>0</v>
      </c>
      <c r="R144" t="n">
        <v>2024.2</v>
      </c>
      <c r="S144" t="b">
        <v>0</v>
      </c>
      <c r="T144" t="n">
        <v>4149489</v>
      </c>
      <c r="U144" t="n">
        <v>2</v>
      </c>
      <c r="V144" t="n">
        <v>0.0488</v>
      </c>
      <c r="W144" t="n">
        <v>1.81</v>
      </c>
      <c r="X144" t="n">
        <v>78.22</v>
      </c>
      <c r="Y144">
        <f>VLOOKUP(D144,$AB$2:$AC$7,2,FALSE)</f>
        <v/>
      </c>
      <c r="Z144">
        <f>IF(A144&lt;Y144,"Yes","No")</f>
        <v/>
      </c>
    </row>
    <row r="145">
      <c r="A145" t="n">
        <v>2018</v>
      </c>
      <c r="B145" t="inlineStr">
        <is>
          <t>Q2</t>
        </is>
      </c>
      <c r="C145" t="inlineStr">
        <is>
          <t>North America</t>
        </is>
      </c>
      <c r="D145" t="inlineStr">
        <is>
          <t>Model S</t>
        </is>
      </c>
      <c r="E145" t="n">
        <v>2762</v>
      </c>
      <c r="F145" t="n">
        <v>52471.79</v>
      </c>
      <c r="G145" t="n">
        <v>12</v>
      </c>
      <c r="H145" t="inlineStr">
        <is>
          <t>Long Range</t>
        </is>
      </c>
      <c r="I145" t="inlineStr">
        <is>
          <t>RWD</t>
        </is>
      </c>
      <c r="J145" t="inlineStr">
        <is>
          <t>Green</t>
        </is>
      </c>
      <c r="K145" t="n">
        <v>494</v>
      </c>
      <c r="L145" t="n">
        <v>49</v>
      </c>
      <c r="M145" t="n">
        <v>15.85</v>
      </c>
      <c r="N145" t="n">
        <v>1655.19</v>
      </c>
      <c r="O145" t="n">
        <v>4.36</v>
      </c>
      <c r="P145" t="n">
        <v>8</v>
      </c>
      <c r="Q145" t="n">
        <v>1</v>
      </c>
      <c r="R145" t="n">
        <v>2020.6</v>
      </c>
      <c r="S145" t="b">
        <v>1</v>
      </c>
      <c r="T145" t="n">
        <v>3687018</v>
      </c>
      <c r="U145" t="n">
        <v>3</v>
      </c>
      <c r="V145" t="n">
        <v>0.0365</v>
      </c>
      <c r="W145" t="n">
        <v>1.82</v>
      </c>
      <c r="X145" t="n">
        <v>78.01000000000001</v>
      </c>
      <c r="Y145">
        <f>VLOOKUP(D145,$AB$2:$AC$7,2,FALSE)</f>
        <v/>
      </c>
      <c r="Z145">
        <f>IF(A145&lt;Y145,"Yes","No")</f>
        <v/>
      </c>
    </row>
    <row r="146">
      <c r="A146" t="n">
        <v>2015</v>
      </c>
      <c r="B146" t="inlineStr">
        <is>
          <t>Q1</t>
        </is>
      </c>
      <c r="C146" t="inlineStr">
        <is>
          <t>North America</t>
        </is>
      </c>
      <c r="D146" t="inlineStr">
        <is>
          <t>Model 3</t>
        </is>
      </c>
      <c r="E146" t="n">
        <v>1449</v>
      </c>
      <c r="F146" t="n">
        <v>89246.21000000001</v>
      </c>
      <c r="G146" t="n">
        <v>5</v>
      </c>
      <c r="H146" t="inlineStr">
        <is>
          <t>Long Range</t>
        </is>
      </c>
      <c r="I146" t="inlineStr">
        <is>
          <t>AWD</t>
        </is>
      </c>
      <c r="J146" t="inlineStr">
        <is>
          <t>White</t>
        </is>
      </c>
      <c r="K146" t="n">
        <v>553</v>
      </c>
      <c r="L146" t="n">
        <v>60</v>
      </c>
      <c r="M146" t="n">
        <v>18.87</v>
      </c>
      <c r="N146" t="n">
        <v>2640.19</v>
      </c>
      <c r="O146" t="n">
        <v>3.64</v>
      </c>
      <c r="P146" t="n">
        <v>8</v>
      </c>
      <c r="Q146" t="n">
        <v>1</v>
      </c>
      <c r="R146" t="n">
        <v>2022.7</v>
      </c>
      <c r="S146" t="b">
        <v>0</v>
      </c>
      <c r="T146" t="n">
        <v>1665171</v>
      </c>
      <c r="U146" t="n">
        <v>9</v>
      </c>
      <c r="V146" t="n">
        <v>0.014</v>
      </c>
      <c r="W146" t="n">
        <v>1.38</v>
      </c>
      <c r="X146" t="n">
        <v>67.90000000000001</v>
      </c>
      <c r="Y146">
        <f>VLOOKUP(D146,$AB$2:$AC$7,2,FALSE)</f>
        <v/>
      </c>
      <c r="Z146">
        <f>IF(A146&lt;Y146,"Yes","No")</f>
        <v/>
      </c>
    </row>
    <row r="147">
      <c r="A147" t="n">
        <v>2016</v>
      </c>
      <c r="B147" t="inlineStr">
        <is>
          <t>Q1</t>
        </is>
      </c>
      <c r="C147" t="inlineStr">
        <is>
          <t>Europe</t>
        </is>
      </c>
      <c r="D147" t="inlineStr">
        <is>
          <t>Semi</t>
        </is>
      </c>
      <c r="E147" t="n">
        <v>842</v>
      </c>
      <c r="F147" t="n">
        <v>42285.12</v>
      </c>
      <c r="G147" t="n">
        <v>22</v>
      </c>
      <c r="H147" t="inlineStr">
        <is>
          <t>Performance</t>
        </is>
      </c>
      <c r="I147" t="inlineStr">
        <is>
          <t>RWD</t>
        </is>
      </c>
      <c r="J147" t="inlineStr">
        <is>
          <t>Silver</t>
        </is>
      </c>
      <c r="K147" t="n">
        <v>466</v>
      </c>
      <c r="L147" t="n">
        <v>65</v>
      </c>
      <c r="M147" t="n">
        <v>13.73</v>
      </c>
      <c r="N147" t="n">
        <v>1072.89</v>
      </c>
      <c r="O147" t="n">
        <v>4.28</v>
      </c>
      <c r="P147" t="n">
        <v>8</v>
      </c>
      <c r="Q147" t="n">
        <v>1</v>
      </c>
      <c r="R147" t="n">
        <v>2023.5</v>
      </c>
      <c r="S147" t="b">
        <v>1</v>
      </c>
      <c r="T147" t="n">
        <v>3411859</v>
      </c>
      <c r="U147" t="n">
        <v>2</v>
      </c>
      <c r="V147" t="n">
        <v>0.0552</v>
      </c>
      <c r="W147" t="n">
        <v>2.3</v>
      </c>
      <c r="X147" t="n">
        <v>84.01000000000001</v>
      </c>
      <c r="Y147">
        <f>VLOOKUP(D147,$AB$2:$AC$7,2,FALSE)</f>
        <v/>
      </c>
      <c r="Z147">
        <f>IF(A147&lt;Y147,"Yes","No")</f>
        <v/>
      </c>
    </row>
    <row r="148">
      <c r="A148" t="n">
        <v>2022</v>
      </c>
      <c r="B148" t="inlineStr">
        <is>
          <t>Q2</t>
        </is>
      </c>
      <c r="C148" t="inlineStr">
        <is>
          <t>North America</t>
        </is>
      </c>
      <c r="D148" t="inlineStr">
        <is>
          <t>Model Y</t>
        </is>
      </c>
      <c r="E148" t="n">
        <v>1466</v>
      </c>
      <c r="F148" t="n">
        <v>115670.23</v>
      </c>
      <c r="G148" t="n">
        <v>10</v>
      </c>
      <c r="H148" t="inlineStr">
        <is>
          <t>Standard</t>
        </is>
      </c>
      <c r="I148" t="inlineStr">
        <is>
          <t>AWD</t>
        </is>
      </c>
      <c r="J148" t="inlineStr">
        <is>
          <t>Black</t>
        </is>
      </c>
      <c r="K148" t="n">
        <v>371</v>
      </c>
      <c r="L148" t="n">
        <v>57</v>
      </c>
      <c r="M148" t="n">
        <v>13.94</v>
      </c>
      <c r="N148" t="n">
        <v>2735.92</v>
      </c>
      <c r="O148" t="n">
        <v>3.8</v>
      </c>
      <c r="P148" t="n">
        <v>5</v>
      </c>
      <c r="Q148" t="n">
        <v>2</v>
      </c>
      <c r="R148" t="n">
        <v>2022.12</v>
      </c>
      <c r="S148" t="b">
        <v>1</v>
      </c>
      <c r="T148" t="n">
        <v>830039</v>
      </c>
      <c r="U148" t="n">
        <v>8</v>
      </c>
      <c r="V148" t="n">
        <v>0.0601</v>
      </c>
      <c r="W148" t="n">
        <v>1.6</v>
      </c>
      <c r="X148" t="n">
        <v>85.7</v>
      </c>
      <c r="Y148">
        <f>VLOOKUP(D148,$AB$2:$AC$7,2,FALSE)</f>
        <v/>
      </c>
      <c r="Z148">
        <f>IF(A148&lt;Y148,"Yes","No")</f>
        <v/>
      </c>
    </row>
    <row r="149">
      <c r="A149" t="n">
        <v>2020</v>
      </c>
      <c r="B149" t="inlineStr">
        <is>
          <t>Q4</t>
        </is>
      </c>
      <c r="C149" t="inlineStr">
        <is>
          <t>North America</t>
        </is>
      </c>
      <c r="D149" t="inlineStr">
        <is>
          <t>Semi</t>
        </is>
      </c>
      <c r="E149" t="n">
        <v>4863</v>
      </c>
      <c r="F149" t="n">
        <v>79417.77</v>
      </c>
      <c r="G149" t="n">
        <v>26</v>
      </c>
      <c r="H149" t="inlineStr">
        <is>
          <t>Standard</t>
        </is>
      </c>
      <c r="I149" t="inlineStr">
        <is>
          <t>RWD</t>
        </is>
      </c>
      <c r="J149" t="inlineStr">
        <is>
          <t>Black</t>
        </is>
      </c>
      <c r="K149" t="n">
        <v>425</v>
      </c>
      <c r="L149" t="n">
        <v>66</v>
      </c>
      <c r="M149" t="n">
        <v>20.06</v>
      </c>
      <c r="N149" t="n">
        <v>9807.48</v>
      </c>
      <c r="O149" t="n">
        <v>4.91</v>
      </c>
      <c r="P149" t="n">
        <v>4</v>
      </c>
      <c r="Q149" t="n">
        <v>0</v>
      </c>
      <c r="R149" t="n">
        <v>2022.9</v>
      </c>
      <c r="S149" t="b">
        <v>0</v>
      </c>
      <c r="T149" t="n">
        <v>3546795</v>
      </c>
      <c r="U149" t="n">
        <v>6</v>
      </c>
      <c r="V149" t="n">
        <v>0.0445</v>
      </c>
      <c r="W149" t="n">
        <v>1.47</v>
      </c>
      <c r="X149" t="n">
        <v>78.27</v>
      </c>
      <c r="Y149">
        <f>VLOOKUP(D149,$AB$2:$AC$7,2,FALSE)</f>
        <v/>
      </c>
      <c r="Z149">
        <f>IF(A149&lt;Y149,"Yes","No")</f>
        <v/>
      </c>
    </row>
    <row r="150">
      <c r="A150" t="n">
        <v>2012</v>
      </c>
      <c r="B150" t="inlineStr">
        <is>
          <t>Q2</t>
        </is>
      </c>
      <c r="C150" t="inlineStr">
        <is>
          <t>Asia</t>
        </is>
      </c>
      <c r="D150" t="inlineStr">
        <is>
          <t>Model Y</t>
        </is>
      </c>
      <c r="E150" t="n">
        <v>1228</v>
      </c>
      <c r="F150" t="n">
        <v>87550.78</v>
      </c>
      <c r="G150" t="n">
        <v>43</v>
      </c>
      <c r="H150" t="inlineStr">
        <is>
          <t>Performance</t>
        </is>
      </c>
      <c r="I150" t="inlineStr">
        <is>
          <t>RWD</t>
        </is>
      </c>
      <c r="J150" t="inlineStr">
        <is>
          <t>Red</t>
        </is>
      </c>
      <c r="K150" t="n">
        <v>552</v>
      </c>
      <c r="L150" t="n">
        <v>86</v>
      </c>
      <c r="M150" t="n">
        <v>23.55</v>
      </c>
      <c r="N150" t="n">
        <v>2309.9</v>
      </c>
      <c r="O150" t="n">
        <v>3.57</v>
      </c>
      <c r="P150" t="n">
        <v>8</v>
      </c>
      <c r="Q150" t="n">
        <v>2</v>
      </c>
      <c r="R150" t="n">
        <v>2022.1</v>
      </c>
      <c r="S150" t="b">
        <v>0</v>
      </c>
      <c r="T150" t="n">
        <v>2642209</v>
      </c>
      <c r="U150" t="n">
        <v>6</v>
      </c>
      <c r="V150" t="n">
        <v>0.0352</v>
      </c>
      <c r="W150" t="n">
        <v>1.48</v>
      </c>
      <c r="X150" t="n">
        <v>80.89</v>
      </c>
      <c r="Y150">
        <f>VLOOKUP(D150,$AB$2:$AC$7,2,FALSE)</f>
        <v/>
      </c>
      <c r="Z150">
        <f>IF(A150&lt;Y150,"Yes","No")</f>
        <v/>
      </c>
    </row>
    <row r="151">
      <c r="A151" t="n">
        <v>2013</v>
      </c>
      <c r="B151" t="inlineStr">
        <is>
          <t>Q2</t>
        </is>
      </c>
      <c r="C151" t="inlineStr">
        <is>
          <t>Europe</t>
        </is>
      </c>
      <c r="D151" t="inlineStr">
        <is>
          <t>Model X</t>
        </is>
      </c>
      <c r="E151" t="n">
        <v>3679</v>
      </c>
      <c r="F151" t="n">
        <v>100792.63</v>
      </c>
      <c r="G151" t="n">
        <v>20</v>
      </c>
      <c r="H151" t="inlineStr">
        <is>
          <t>Long Range</t>
        </is>
      </c>
      <c r="I151" t="inlineStr">
        <is>
          <t>RWD</t>
        </is>
      </c>
      <c r="J151" t="inlineStr">
        <is>
          <t>Silver</t>
        </is>
      </c>
      <c r="K151" t="n">
        <v>680</v>
      </c>
      <c r="L151" t="n">
        <v>35</v>
      </c>
      <c r="M151" t="n">
        <v>15.26</v>
      </c>
      <c r="N151" t="n">
        <v>3394.91</v>
      </c>
      <c r="O151" t="n">
        <v>4.74</v>
      </c>
      <c r="P151" t="n">
        <v>8</v>
      </c>
      <c r="Q151" t="n">
        <v>2</v>
      </c>
      <c r="R151" t="n">
        <v>2020.9</v>
      </c>
      <c r="S151" t="b">
        <v>1</v>
      </c>
      <c r="T151" t="n">
        <v>650435</v>
      </c>
      <c r="U151" t="n">
        <v>6</v>
      </c>
      <c r="V151" t="n">
        <v>0.07389999999999999</v>
      </c>
      <c r="W151" t="n">
        <v>1.31</v>
      </c>
      <c r="X151" t="n">
        <v>83.42</v>
      </c>
      <c r="Y151">
        <f>VLOOKUP(D151,$AB$2:$AC$7,2,FALSE)</f>
        <v/>
      </c>
      <c r="Z151">
        <f>IF(A151&lt;Y151,"Yes","No")</f>
        <v/>
      </c>
    </row>
    <row r="152">
      <c r="A152" t="n">
        <v>2020</v>
      </c>
      <c r="B152" t="inlineStr">
        <is>
          <t>Q1</t>
        </is>
      </c>
      <c r="C152" t="inlineStr">
        <is>
          <t>Europe</t>
        </is>
      </c>
      <c r="D152" t="inlineStr">
        <is>
          <t>Model 3</t>
        </is>
      </c>
      <c r="E152" t="n">
        <v>1694</v>
      </c>
      <c r="F152" t="n">
        <v>106143.02</v>
      </c>
      <c r="G152" t="n">
        <v>15</v>
      </c>
      <c r="H152" t="inlineStr">
        <is>
          <t>Standard</t>
        </is>
      </c>
      <c r="I152" t="inlineStr">
        <is>
          <t>RWD</t>
        </is>
      </c>
      <c r="J152" t="inlineStr">
        <is>
          <t>Red</t>
        </is>
      </c>
      <c r="K152" t="n">
        <v>534</v>
      </c>
      <c r="L152" t="n">
        <v>75</v>
      </c>
      <c r="M152" t="n">
        <v>15.39</v>
      </c>
      <c r="N152" t="n">
        <v>2094.98</v>
      </c>
      <c r="O152" t="n">
        <v>4.2</v>
      </c>
      <c r="P152" t="n">
        <v>8</v>
      </c>
      <c r="Q152" t="n">
        <v>0</v>
      </c>
      <c r="R152" t="n">
        <v>2020.4</v>
      </c>
      <c r="S152" t="b">
        <v>0</v>
      </c>
      <c r="T152" t="n">
        <v>4200240</v>
      </c>
      <c r="U152" t="n">
        <v>11</v>
      </c>
      <c r="V152" t="n">
        <v>0.0501</v>
      </c>
      <c r="W152" t="n">
        <v>2.42</v>
      </c>
      <c r="X152" t="n">
        <v>74.23999999999999</v>
      </c>
      <c r="Y152">
        <f>VLOOKUP(D152,$AB$2:$AC$7,2,FALSE)</f>
        <v/>
      </c>
      <c r="Z152">
        <f>IF(A152&lt;Y152,"Yes","No")</f>
        <v/>
      </c>
    </row>
    <row r="153">
      <c r="A153" t="n">
        <v>2020</v>
      </c>
      <c r="B153" t="inlineStr">
        <is>
          <t>Q3</t>
        </is>
      </c>
      <c r="C153" t="inlineStr">
        <is>
          <t>Asia</t>
        </is>
      </c>
      <c r="D153" t="inlineStr">
        <is>
          <t>Model 3</t>
        </is>
      </c>
      <c r="E153" t="n">
        <v>2168</v>
      </c>
      <c r="F153" t="n">
        <v>98661.7</v>
      </c>
      <c r="G153" t="n">
        <v>44</v>
      </c>
      <c r="H153" t="inlineStr">
        <is>
          <t>Standard</t>
        </is>
      </c>
      <c r="I153" t="inlineStr">
        <is>
          <t>RWD</t>
        </is>
      </c>
      <c r="J153" t="inlineStr">
        <is>
          <t>Red</t>
        </is>
      </c>
      <c r="K153" t="n">
        <v>547</v>
      </c>
      <c r="L153" t="n">
        <v>33</v>
      </c>
      <c r="M153" t="n">
        <v>14.95</v>
      </c>
      <c r="N153" t="n">
        <v>3565.31</v>
      </c>
      <c r="O153" t="n">
        <v>4.95</v>
      </c>
      <c r="P153" t="n">
        <v>5</v>
      </c>
      <c r="Q153" t="n">
        <v>1</v>
      </c>
      <c r="R153" t="n">
        <v>2021.5</v>
      </c>
      <c r="S153" t="b">
        <v>0</v>
      </c>
      <c r="T153" t="n">
        <v>4405715</v>
      </c>
      <c r="U153" t="n">
        <v>2</v>
      </c>
      <c r="V153" t="n">
        <v>0.0878</v>
      </c>
      <c r="W153" t="n">
        <v>2.43</v>
      </c>
      <c r="X153" t="n">
        <v>80.47</v>
      </c>
      <c r="Y153">
        <f>VLOOKUP(D153,$AB$2:$AC$7,2,FALSE)</f>
        <v/>
      </c>
      <c r="Z153">
        <f>IF(A153&lt;Y153,"Yes","No")</f>
        <v/>
      </c>
    </row>
    <row r="154">
      <c r="A154" t="n">
        <v>2019</v>
      </c>
      <c r="B154" t="inlineStr">
        <is>
          <t>Q2</t>
        </is>
      </c>
      <c r="C154" t="inlineStr">
        <is>
          <t>Europe</t>
        </is>
      </c>
      <c r="D154" t="inlineStr">
        <is>
          <t>Cybertruck</t>
        </is>
      </c>
      <c r="E154" t="n">
        <v>119</v>
      </c>
      <c r="F154" t="n">
        <v>54020.45</v>
      </c>
      <c r="G154" t="n">
        <v>38</v>
      </c>
      <c r="H154" t="inlineStr">
        <is>
          <t>Long Range</t>
        </is>
      </c>
      <c r="I154" t="inlineStr">
        <is>
          <t>RWD</t>
        </is>
      </c>
      <c r="J154" t="inlineStr">
        <is>
          <t>Blue</t>
        </is>
      </c>
      <c r="K154" t="n">
        <v>542</v>
      </c>
      <c r="L154" t="n">
        <v>84</v>
      </c>
      <c r="M154" t="n">
        <v>17.18</v>
      </c>
      <c r="N154" t="n">
        <v>119.48</v>
      </c>
      <c r="O154" t="n">
        <v>4.2</v>
      </c>
      <c r="P154" t="n">
        <v>8</v>
      </c>
      <c r="Q154" t="n">
        <v>0</v>
      </c>
      <c r="R154" t="n">
        <v>2020.9</v>
      </c>
      <c r="S154" t="b">
        <v>0</v>
      </c>
      <c r="T154" t="n">
        <v>4809843</v>
      </c>
      <c r="U154" t="n">
        <v>12</v>
      </c>
      <c r="V154" t="n">
        <v>0.0634</v>
      </c>
      <c r="W154" t="n">
        <v>1.07</v>
      </c>
      <c r="X154" t="n">
        <v>80.53</v>
      </c>
      <c r="Y154">
        <f>VLOOKUP(D154,$AB$2:$AC$7,2,FALSE)</f>
        <v/>
      </c>
      <c r="Z154">
        <f>IF(A154&lt;Y154,"Yes","No")</f>
        <v/>
      </c>
    </row>
    <row r="155">
      <c r="A155" t="n">
        <v>2019</v>
      </c>
      <c r="B155" t="inlineStr">
        <is>
          <t>Q1</t>
        </is>
      </c>
      <c r="C155" t="inlineStr">
        <is>
          <t>Asia</t>
        </is>
      </c>
      <c r="D155" t="inlineStr">
        <is>
          <t>Model X</t>
        </is>
      </c>
      <c r="E155" t="n">
        <v>2713</v>
      </c>
      <c r="F155" t="n">
        <v>108226.79</v>
      </c>
      <c r="G155" t="n">
        <v>16</v>
      </c>
      <c r="H155" t="inlineStr">
        <is>
          <t>Performance</t>
        </is>
      </c>
      <c r="I155" t="inlineStr">
        <is>
          <t>RWD</t>
        </is>
      </c>
      <c r="J155" t="inlineStr">
        <is>
          <t>Black</t>
        </is>
      </c>
      <c r="K155" t="n">
        <v>426</v>
      </c>
      <c r="L155" t="n">
        <v>63</v>
      </c>
      <c r="M155" t="n">
        <v>22.19</v>
      </c>
      <c r="N155" t="n">
        <v>6238.2</v>
      </c>
      <c r="O155" t="n">
        <v>4.71</v>
      </c>
      <c r="P155" t="n">
        <v>8</v>
      </c>
      <c r="Q155" t="n">
        <v>2</v>
      </c>
      <c r="R155" t="n">
        <v>2021.12</v>
      </c>
      <c r="S155" t="b">
        <v>1</v>
      </c>
      <c r="T155" t="n">
        <v>4272265</v>
      </c>
      <c r="U155" t="n">
        <v>6</v>
      </c>
      <c r="V155" t="n">
        <v>0.0333</v>
      </c>
      <c r="W155" t="n">
        <v>1.34</v>
      </c>
      <c r="X155" t="n">
        <v>71.65000000000001</v>
      </c>
      <c r="Y155">
        <f>VLOOKUP(D155,$AB$2:$AC$7,2,FALSE)</f>
        <v/>
      </c>
      <c r="Z155">
        <f>IF(A155&lt;Y155,"Yes","No")</f>
        <v/>
      </c>
    </row>
    <row r="156">
      <c r="A156" t="n">
        <v>2012</v>
      </c>
      <c r="B156" t="inlineStr">
        <is>
          <t>Q2</t>
        </is>
      </c>
      <c r="C156" t="inlineStr">
        <is>
          <t>Asia</t>
        </is>
      </c>
      <c r="D156" t="inlineStr">
        <is>
          <t>Semi</t>
        </is>
      </c>
      <c r="E156" t="n">
        <v>1871</v>
      </c>
      <c r="F156" t="n">
        <v>93337.03999999999</v>
      </c>
      <c r="G156" t="n">
        <v>40</v>
      </c>
      <c r="H156" t="inlineStr">
        <is>
          <t>Long Range</t>
        </is>
      </c>
      <c r="I156" t="inlineStr">
        <is>
          <t>RWD</t>
        </is>
      </c>
      <c r="J156" t="inlineStr">
        <is>
          <t>Silver</t>
        </is>
      </c>
      <c r="K156" t="n">
        <v>503</v>
      </c>
      <c r="L156" t="n">
        <v>84</v>
      </c>
      <c r="M156" t="n">
        <v>15.04</v>
      </c>
      <c r="N156" t="n">
        <v>3396.29</v>
      </c>
      <c r="O156" t="n">
        <v>4.34</v>
      </c>
      <c r="P156" t="n">
        <v>6</v>
      </c>
      <c r="Q156" t="n">
        <v>0</v>
      </c>
      <c r="R156" t="n">
        <v>2023.3</v>
      </c>
      <c r="S156" t="b">
        <v>0</v>
      </c>
      <c r="T156" t="n">
        <v>4789497</v>
      </c>
      <c r="U156" t="n">
        <v>4</v>
      </c>
      <c r="V156" t="n">
        <v>0.09520000000000001</v>
      </c>
      <c r="W156" t="n">
        <v>2.3</v>
      </c>
      <c r="X156" t="n">
        <v>79.63</v>
      </c>
      <c r="Y156">
        <f>VLOOKUP(D156,$AB$2:$AC$7,2,FALSE)</f>
        <v/>
      </c>
      <c r="Z156">
        <f>IF(A156&lt;Y156,"Yes","No")</f>
        <v/>
      </c>
    </row>
    <row r="157">
      <c r="A157" t="n">
        <v>2015</v>
      </c>
      <c r="B157" t="inlineStr">
        <is>
          <t>Q3</t>
        </is>
      </c>
      <c r="C157" t="inlineStr">
        <is>
          <t>Europe</t>
        </is>
      </c>
      <c r="D157" t="inlineStr">
        <is>
          <t>Semi</t>
        </is>
      </c>
      <c r="E157" t="n">
        <v>2565</v>
      </c>
      <c r="F157" t="n">
        <v>70740.17</v>
      </c>
      <c r="G157" t="n">
        <v>56</v>
      </c>
      <c r="H157" t="inlineStr">
        <is>
          <t>Long Range</t>
        </is>
      </c>
      <c r="I157" t="inlineStr">
        <is>
          <t>RWD</t>
        </is>
      </c>
      <c r="J157" t="inlineStr">
        <is>
          <t>White</t>
        </is>
      </c>
      <c r="K157" t="n">
        <v>649</v>
      </c>
      <c r="L157" t="n">
        <v>48</v>
      </c>
      <c r="M157" t="n">
        <v>18.57</v>
      </c>
      <c r="N157" t="n">
        <v>1886.72</v>
      </c>
      <c r="O157" t="n">
        <v>3.58</v>
      </c>
      <c r="P157" t="n">
        <v>4</v>
      </c>
      <c r="Q157" t="n">
        <v>3</v>
      </c>
      <c r="R157" t="n">
        <v>2021.9</v>
      </c>
      <c r="S157" t="b">
        <v>1</v>
      </c>
      <c r="T157" t="n">
        <v>3301673</v>
      </c>
      <c r="U157" t="n">
        <v>10</v>
      </c>
      <c r="V157" t="n">
        <v>0.0369</v>
      </c>
      <c r="W157" t="n">
        <v>0.61</v>
      </c>
      <c r="X157" t="n">
        <v>85.63</v>
      </c>
      <c r="Y157">
        <f>VLOOKUP(D157,$AB$2:$AC$7,2,FALSE)</f>
        <v/>
      </c>
      <c r="Z157">
        <f>IF(A157&lt;Y157,"Yes","No")</f>
        <v/>
      </c>
    </row>
    <row r="158">
      <c r="A158" t="n">
        <v>2014</v>
      </c>
      <c r="B158" t="inlineStr">
        <is>
          <t>Q2</t>
        </is>
      </c>
      <c r="C158" t="inlineStr">
        <is>
          <t>Asia</t>
        </is>
      </c>
      <c r="D158" t="inlineStr">
        <is>
          <t>Model Y</t>
        </is>
      </c>
      <c r="E158" t="n">
        <v>4714</v>
      </c>
      <c r="F158" t="n">
        <v>110891.84</v>
      </c>
      <c r="G158" t="n">
        <v>29</v>
      </c>
      <c r="H158" t="inlineStr">
        <is>
          <t>Standard</t>
        </is>
      </c>
      <c r="I158" t="inlineStr">
        <is>
          <t>RWD</t>
        </is>
      </c>
      <c r="J158" t="inlineStr">
        <is>
          <t>Green</t>
        </is>
      </c>
      <c r="K158" t="n">
        <v>442</v>
      </c>
      <c r="L158" t="n">
        <v>79</v>
      </c>
      <c r="M158" t="n">
        <v>13.97</v>
      </c>
      <c r="N158" t="n">
        <v>5493.03</v>
      </c>
      <c r="O158" t="n">
        <v>4.98</v>
      </c>
      <c r="P158" t="n">
        <v>6</v>
      </c>
      <c r="Q158" t="n">
        <v>0</v>
      </c>
      <c r="R158" t="n">
        <v>2020.8</v>
      </c>
      <c r="S158" t="b">
        <v>0</v>
      </c>
      <c r="T158" t="n">
        <v>1856426</v>
      </c>
      <c r="U158" t="n">
        <v>4</v>
      </c>
      <c r="V158" t="n">
        <v>0.0619</v>
      </c>
      <c r="W158" t="n">
        <v>0.82</v>
      </c>
      <c r="X158" t="n">
        <v>83.56</v>
      </c>
      <c r="Y158">
        <f>VLOOKUP(D158,$AB$2:$AC$7,2,FALSE)</f>
        <v/>
      </c>
      <c r="Z158">
        <f>IF(A158&lt;Y158,"Yes","No")</f>
        <v/>
      </c>
    </row>
    <row r="159">
      <c r="A159" t="n">
        <v>2024</v>
      </c>
      <c r="B159" t="inlineStr">
        <is>
          <t>Q1</t>
        </is>
      </c>
      <c r="C159" t="inlineStr">
        <is>
          <t>Europe</t>
        </is>
      </c>
      <c r="D159" t="inlineStr">
        <is>
          <t>Cybertruck</t>
        </is>
      </c>
      <c r="E159" t="n">
        <v>3602</v>
      </c>
      <c r="F159" t="n">
        <v>88846.44</v>
      </c>
      <c r="G159" t="n">
        <v>25</v>
      </c>
      <c r="H159" t="inlineStr">
        <is>
          <t>Long Range</t>
        </is>
      </c>
      <c r="I159" t="inlineStr">
        <is>
          <t>RWD</t>
        </is>
      </c>
      <c r="J159" t="inlineStr">
        <is>
          <t>Blue</t>
        </is>
      </c>
      <c r="K159" t="n">
        <v>352</v>
      </c>
      <c r="L159" t="n">
        <v>32</v>
      </c>
      <c r="M159" t="n">
        <v>19.41</v>
      </c>
      <c r="N159" t="n">
        <v>7064.67</v>
      </c>
      <c r="O159" t="n">
        <v>4.93</v>
      </c>
      <c r="P159" t="n">
        <v>6</v>
      </c>
      <c r="Q159" t="n">
        <v>1</v>
      </c>
      <c r="R159" t="n">
        <v>2020.11</v>
      </c>
      <c r="S159" t="b">
        <v>1</v>
      </c>
      <c r="T159" t="n">
        <v>2187279</v>
      </c>
      <c r="U159" t="n">
        <v>5</v>
      </c>
      <c r="V159" t="n">
        <v>0.07240000000000001</v>
      </c>
      <c r="W159" t="n">
        <v>1.19</v>
      </c>
      <c r="X159" t="n">
        <v>63.87</v>
      </c>
      <c r="Y159">
        <f>VLOOKUP(D159,$AB$2:$AC$7,2,FALSE)</f>
        <v/>
      </c>
      <c r="Z159">
        <f>IF(A159&lt;Y159,"Yes","No")</f>
        <v/>
      </c>
    </row>
    <row r="160">
      <c r="A160" t="n">
        <v>2018</v>
      </c>
      <c r="B160" t="inlineStr">
        <is>
          <t>Q3</t>
        </is>
      </c>
      <c r="C160" t="inlineStr">
        <is>
          <t>Europe</t>
        </is>
      </c>
      <c r="D160" t="inlineStr">
        <is>
          <t>Model S</t>
        </is>
      </c>
      <c r="E160" t="n">
        <v>424</v>
      </c>
      <c r="F160" t="n">
        <v>60347.19</v>
      </c>
      <c r="G160" t="n">
        <v>18</v>
      </c>
      <c r="H160" t="inlineStr">
        <is>
          <t>Long Range</t>
        </is>
      </c>
      <c r="I160" t="inlineStr">
        <is>
          <t>RWD</t>
        </is>
      </c>
      <c r="J160" t="inlineStr">
        <is>
          <t>Blue</t>
        </is>
      </c>
      <c r="K160" t="n">
        <v>418</v>
      </c>
      <c r="L160" t="n">
        <v>51</v>
      </c>
      <c r="M160" t="n">
        <v>24.95</v>
      </c>
      <c r="N160" t="n">
        <v>627.67</v>
      </c>
      <c r="O160" t="n">
        <v>4.63</v>
      </c>
      <c r="P160" t="n">
        <v>5</v>
      </c>
      <c r="Q160" t="n">
        <v>3</v>
      </c>
      <c r="R160" t="n">
        <v>2020.4</v>
      </c>
      <c r="S160" t="b">
        <v>1</v>
      </c>
      <c r="T160" t="n">
        <v>1200633</v>
      </c>
      <c r="U160" t="n">
        <v>5</v>
      </c>
      <c r="V160" t="n">
        <v>0.0761</v>
      </c>
      <c r="W160" t="n">
        <v>1.68</v>
      </c>
      <c r="X160" t="n">
        <v>65.06999999999999</v>
      </c>
      <c r="Y160">
        <f>VLOOKUP(D160,$AB$2:$AC$7,2,FALSE)</f>
        <v/>
      </c>
      <c r="Z160">
        <f>IF(A160&lt;Y160,"Yes","No")</f>
        <v/>
      </c>
    </row>
    <row r="161">
      <c r="A161" t="n">
        <v>2017</v>
      </c>
      <c r="B161" t="inlineStr">
        <is>
          <t>Q1</t>
        </is>
      </c>
      <c r="C161" t="inlineStr">
        <is>
          <t>Australia</t>
        </is>
      </c>
      <c r="D161" t="inlineStr">
        <is>
          <t>Semi</t>
        </is>
      </c>
      <c r="E161" t="n">
        <v>2145</v>
      </c>
      <c r="F161" t="n">
        <v>100556.22</v>
      </c>
      <c r="G161" t="n">
        <v>39</v>
      </c>
      <c r="H161" t="inlineStr">
        <is>
          <t>Standard</t>
        </is>
      </c>
      <c r="I161" t="inlineStr">
        <is>
          <t>AWD</t>
        </is>
      </c>
      <c r="J161" t="inlineStr">
        <is>
          <t>Green</t>
        </is>
      </c>
      <c r="K161" t="n">
        <v>405</v>
      </c>
      <c r="L161" t="n">
        <v>71</v>
      </c>
      <c r="M161" t="n">
        <v>23.03</v>
      </c>
      <c r="N161" t="n">
        <v>1279.43</v>
      </c>
      <c r="O161" t="n">
        <v>3.67</v>
      </c>
      <c r="P161" t="n">
        <v>8</v>
      </c>
      <c r="Q161" t="n">
        <v>3</v>
      </c>
      <c r="R161" t="n">
        <v>2020.9</v>
      </c>
      <c r="S161" t="b">
        <v>0</v>
      </c>
      <c r="T161" t="n">
        <v>4079524</v>
      </c>
      <c r="U161" t="n">
        <v>4</v>
      </c>
      <c r="V161" t="n">
        <v>0.0285</v>
      </c>
      <c r="W161" t="n">
        <v>1.87</v>
      </c>
      <c r="X161" t="n">
        <v>60.28</v>
      </c>
      <c r="Y161">
        <f>VLOOKUP(D161,$AB$2:$AC$7,2,FALSE)</f>
        <v/>
      </c>
      <c r="Z161">
        <f>IF(A161&lt;Y161,"Yes","No")</f>
        <v/>
      </c>
    </row>
    <row r="162">
      <c r="A162" t="n">
        <v>2018</v>
      </c>
      <c r="B162" t="inlineStr">
        <is>
          <t>Q1</t>
        </is>
      </c>
      <c r="C162" t="inlineStr">
        <is>
          <t>South America</t>
        </is>
      </c>
      <c r="D162" t="inlineStr">
        <is>
          <t>Model X</t>
        </is>
      </c>
      <c r="E162" t="n">
        <v>1173</v>
      </c>
      <c r="F162" t="n">
        <v>70600.19</v>
      </c>
      <c r="G162" t="n">
        <v>57</v>
      </c>
      <c r="H162" t="inlineStr">
        <is>
          <t>Standard</t>
        </is>
      </c>
      <c r="I162" t="inlineStr">
        <is>
          <t>AWD</t>
        </is>
      </c>
      <c r="J162" t="inlineStr">
        <is>
          <t>White</t>
        </is>
      </c>
      <c r="K162" t="n">
        <v>408</v>
      </c>
      <c r="L162" t="n">
        <v>80</v>
      </c>
      <c r="M162" t="n">
        <v>14.28</v>
      </c>
      <c r="N162" t="n">
        <v>1052.53</v>
      </c>
      <c r="O162" t="n">
        <v>3.8</v>
      </c>
      <c r="P162" t="n">
        <v>6</v>
      </c>
      <c r="Q162" t="n">
        <v>1</v>
      </c>
      <c r="R162" t="n">
        <v>2022.12</v>
      </c>
      <c r="S162" t="b">
        <v>0</v>
      </c>
      <c r="T162" t="n">
        <v>2577585</v>
      </c>
      <c r="U162" t="n">
        <v>4</v>
      </c>
      <c r="V162" t="n">
        <v>0.0135</v>
      </c>
      <c r="W162" t="n">
        <v>1.49</v>
      </c>
      <c r="X162" t="n">
        <v>66.23</v>
      </c>
      <c r="Y162">
        <f>VLOOKUP(D162,$AB$2:$AC$7,2,FALSE)</f>
        <v/>
      </c>
      <c r="Z162">
        <f>IF(A162&lt;Y162,"Yes","No")</f>
        <v/>
      </c>
    </row>
    <row r="163">
      <c r="A163" t="n">
        <v>2019</v>
      </c>
      <c r="B163" t="inlineStr">
        <is>
          <t>Q3</t>
        </is>
      </c>
      <c r="C163" t="inlineStr">
        <is>
          <t>Europe</t>
        </is>
      </c>
      <c r="D163" t="inlineStr">
        <is>
          <t>Model S</t>
        </is>
      </c>
      <c r="E163" t="n">
        <v>154</v>
      </c>
      <c r="F163" t="n">
        <v>92088.82000000001</v>
      </c>
      <c r="G163" t="n">
        <v>58</v>
      </c>
      <c r="H163" t="inlineStr">
        <is>
          <t>Standard</t>
        </is>
      </c>
      <c r="I163" t="inlineStr">
        <is>
          <t>RWD</t>
        </is>
      </c>
      <c r="J163" t="inlineStr">
        <is>
          <t>Black</t>
        </is>
      </c>
      <c r="K163" t="n">
        <v>396</v>
      </c>
      <c r="L163" t="n">
        <v>79</v>
      </c>
      <c r="M163" t="n">
        <v>19.14</v>
      </c>
      <c r="N163" t="n">
        <v>299.86</v>
      </c>
      <c r="O163" t="n">
        <v>3.65</v>
      </c>
      <c r="P163" t="n">
        <v>6</v>
      </c>
      <c r="Q163" t="n">
        <v>1</v>
      </c>
      <c r="R163" t="n">
        <v>2023.5</v>
      </c>
      <c r="S163" t="b">
        <v>0</v>
      </c>
      <c r="T163" t="n">
        <v>3994640</v>
      </c>
      <c r="U163" t="n">
        <v>2</v>
      </c>
      <c r="V163" t="n">
        <v>0.019</v>
      </c>
      <c r="W163" t="n">
        <v>0.85</v>
      </c>
      <c r="X163" t="n">
        <v>61.18</v>
      </c>
      <c r="Y163">
        <f>VLOOKUP(D163,$AB$2:$AC$7,2,FALSE)</f>
        <v/>
      </c>
      <c r="Z163">
        <f>IF(A163&lt;Y163,"Yes","No")</f>
        <v/>
      </c>
    </row>
    <row r="164">
      <c r="A164" t="n">
        <v>2016</v>
      </c>
      <c r="B164" t="inlineStr">
        <is>
          <t>Q3</t>
        </is>
      </c>
      <c r="C164" t="inlineStr">
        <is>
          <t>Asia</t>
        </is>
      </c>
      <c r="D164" t="inlineStr">
        <is>
          <t>Model Y</t>
        </is>
      </c>
      <c r="E164" t="n">
        <v>999</v>
      </c>
      <c r="F164" t="n">
        <v>43074.87</v>
      </c>
      <c r="G164" t="n">
        <v>48</v>
      </c>
      <c r="H164" t="inlineStr">
        <is>
          <t>Standard</t>
        </is>
      </c>
      <c r="I164" t="inlineStr">
        <is>
          <t>AWD</t>
        </is>
      </c>
      <c r="J164" t="inlineStr">
        <is>
          <t>Black</t>
        </is>
      </c>
      <c r="K164" t="n">
        <v>689</v>
      </c>
      <c r="L164" t="n">
        <v>71</v>
      </c>
      <c r="M164" t="n">
        <v>15.05</v>
      </c>
      <c r="N164" t="n">
        <v>1213.84</v>
      </c>
      <c r="O164" t="n">
        <v>4.16</v>
      </c>
      <c r="P164" t="n">
        <v>6</v>
      </c>
      <c r="Q164" t="n">
        <v>0</v>
      </c>
      <c r="R164" t="n">
        <v>2022.6</v>
      </c>
      <c r="S164" t="b">
        <v>1</v>
      </c>
      <c r="T164" t="n">
        <v>1054892</v>
      </c>
      <c r="U164" t="n">
        <v>8</v>
      </c>
      <c r="V164" t="n">
        <v>0.046</v>
      </c>
      <c r="W164" t="n">
        <v>1.41</v>
      </c>
      <c r="X164" t="n">
        <v>85.06999999999999</v>
      </c>
      <c r="Y164">
        <f>VLOOKUP(D164,$AB$2:$AC$7,2,FALSE)</f>
        <v/>
      </c>
      <c r="Z164">
        <f>IF(A164&lt;Y164,"Yes","No")</f>
        <v/>
      </c>
    </row>
    <row r="165">
      <c r="A165" t="n">
        <v>2023</v>
      </c>
      <c r="B165" t="inlineStr">
        <is>
          <t>Q4</t>
        </is>
      </c>
      <c r="C165" t="inlineStr">
        <is>
          <t>Australia</t>
        </is>
      </c>
      <c r="D165" t="inlineStr">
        <is>
          <t>Semi</t>
        </is>
      </c>
      <c r="E165" t="n">
        <v>1416</v>
      </c>
      <c r="F165" t="n">
        <v>44609.81</v>
      </c>
      <c r="G165" t="n">
        <v>44</v>
      </c>
      <c r="H165" t="inlineStr">
        <is>
          <t>Performance</t>
        </is>
      </c>
      <c r="I165" t="inlineStr">
        <is>
          <t>AWD</t>
        </is>
      </c>
      <c r="J165" t="inlineStr">
        <is>
          <t>Black</t>
        </is>
      </c>
      <c r="K165" t="n">
        <v>403</v>
      </c>
      <c r="L165" t="n">
        <v>56</v>
      </c>
      <c r="M165" t="n">
        <v>23.93</v>
      </c>
      <c r="N165" t="n">
        <v>2074.94</v>
      </c>
      <c r="O165" t="n">
        <v>4.35</v>
      </c>
      <c r="P165" t="n">
        <v>8</v>
      </c>
      <c r="Q165" t="n">
        <v>1</v>
      </c>
      <c r="R165" t="n">
        <v>2024.7</v>
      </c>
      <c r="S165" t="b">
        <v>0</v>
      </c>
      <c r="T165" t="n">
        <v>341728</v>
      </c>
      <c r="U165" t="n">
        <v>12</v>
      </c>
      <c r="V165" t="n">
        <v>0.0892</v>
      </c>
      <c r="W165" t="n">
        <v>1.95</v>
      </c>
      <c r="X165" t="n">
        <v>86.75</v>
      </c>
      <c r="Y165">
        <f>VLOOKUP(D165,$AB$2:$AC$7,2,FALSE)</f>
        <v/>
      </c>
      <c r="Z165">
        <f>IF(A165&lt;Y165,"Yes","No")</f>
        <v/>
      </c>
    </row>
    <row r="166">
      <c r="A166" t="n">
        <v>2019</v>
      </c>
      <c r="B166" t="inlineStr">
        <is>
          <t>Q4</t>
        </is>
      </c>
      <c r="C166" t="inlineStr">
        <is>
          <t>North America</t>
        </is>
      </c>
      <c r="D166" t="inlineStr">
        <is>
          <t>Model Y</t>
        </is>
      </c>
      <c r="E166" t="n">
        <v>3660</v>
      </c>
      <c r="F166" t="n">
        <v>38907.65</v>
      </c>
      <c r="G166" t="n">
        <v>16</v>
      </c>
      <c r="H166" t="inlineStr">
        <is>
          <t>Performance</t>
        </is>
      </c>
      <c r="I166" t="inlineStr">
        <is>
          <t>RWD</t>
        </is>
      </c>
      <c r="J166" t="inlineStr">
        <is>
          <t>Red</t>
        </is>
      </c>
      <c r="K166" t="n">
        <v>697</v>
      </c>
      <c r="L166" t="n">
        <v>63</v>
      </c>
      <c r="M166" t="n">
        <v>22.21</v>
      </c>
      <c r="N166" t="n">
        <v>6051.07</v>
      </c>
      <c r="O166" t="n">
        <v>4.35</v>
      </c>
      <c r="P166" t="n">
        <v>6</v>
      </c>
      <c r="Q166" t="n">
        <v>0</v>
      </c>
      <c r="R166" t="n">
        <v>2023.11</v>
      </c>
      <c r="S166" t="b">
        <v>1</v>
      </c>
      <c r="T166" t="n">
        <v>4142719</v>
      </c>
      <c r="U166" t="n">
        <v>7</v>
      </c>
      <c r="V166" t="n">
        <v>0.0697</v>
      </c>
      <c r="W166" t="n">
        <v>1.78</v>
      </c>
      <c r="X166" t="n">
        <v>64.45999999999999</v>
      </c>
      <c r="Y166">
        <f>VLOOKUP(D166,$AB$2:$AC$7,2,FALSE)</f>
        <v/>
      </c>
      <c r="Z166">
        <f>IF(A166&lt;Y166,"Yes","No")</f>
        <v/>
      </c>
    </row>
    <row r="167">
      <c r="A167" t="n">
        <v>2020</v>
      </c>
      <c r="B167" t="inlineStr">
        <is>
          <t>Q1</t>
        </is>
      </c>
      <c r="C167" t="inlineStr">
        <is>
          <t>North America</t>
        </is>
      </c>
      <c r="D167" t="inlineStr">
        <is>
          <t>Semi</t>
        </is>
      </c>
      <c r="E167" t="n">
        <v>1335</v>
      </c>
      <c r="F167" t="n">
        <v>77973.24000000001</v>
      </c>
      <c r="G167" t="n">
        <v>30</v>
      </c>
      <c r="H167" t="inlineStr">
        <is>
          <t>Long Range</t>
        </is>
      </c>
      <c r="I167" t="inlineStr">
        <is>
          <t>AWD</t>
        </is>
      </c>
      <c r="J167" t="inlineStr">
        <is>
          <t>Red</t>
        </is>
      </c>
      <c r="K167" t="n">
        <v>601</v>
      </c>
      <c r="L167" t="n">
        <v>50</v>
      </c>
      <c r="M167" t="n">
        <v>15.89</v>
      </c>
      <c r="N167" t="n">
        <v>3257.79</v>
      </c>
      <c r="O167" t="n">
        <v>3.58</v>
      </c>
      <c r="P167" t="n">
        <v>5</v>
      </c>
      <c r="Q167" t="n">
        <v>3</v>
      </c>
      <c r="R167" t="n">
        <v>2023.4</v>
      </c>
      <c r="S167" t="b">
        <v>1</v>
      </c>
      <c r="T167" t="n">
        <v>3951164</v>
      </c>
      <c r="U167" t="n">
        <v>9</v>
      </c>
      <c r="V167" t="n">
        <v>0.08210000000000001</v>
      </c>
      <c r="W167" t="n">
        <v>1.4</v>
      </c>
      <c r="X167" t="n">
        <v>85.7</v>
      </c>
      <c r="Y167">
        <f>VLOOKUP(D167,$AB$2:$AC$7,2,FALSE)</f>
        <v/>
      </c>
      <c r="Z167">
        <f>IF(A167&lt;Y167,"Yes","No")</f>
        <v/>
      </c>
    </row>
    <row r="168">
      <c r="A168" t="n">
        <v>2019</v>
      </c>
      <c r="B168" t="inlineStr">
        <is>
          <t>Q3</t>
        </is>
      </c>
      <c r="C168" t="inlineStr">
        <is>
          <t>North America</t>
        </is>
      </c>
      <c r="D168" t="inlineStr">
        <is>
          <t>Model Y</t>
        </is>
      </c>
      <c r="E168" t="n">
        <v>195</v>
      </c>
      <c r="F168" t="n">
        <v>43724.68</v>
      </c>
      <c r="G168" t="n">
        <v>26</v>
      </c>
      <c r="H168" t="inlineStr">
        <is>
          <t>Standard</t>
        </is>
      </c>
      <c r="I168" t="inlineStr">
        <is>
          <t>AWD</t>
        </is>
      </c>
      <c r="J168" t="inlineStr">
        <is>
          <t>Red</t>
        </is>
      </c>
      <c r="K168" t="n">
        <v>659</v>
      </c>
      <c r="L168" t="n">
        <v>69</v>
      </c>
      <c r="M168" t="n">
        <v>20.65</v>
      </c>
      <c r="N168" t="n">
        <v>444.64</v>
      </c>
      <c r="O168" t="n">
        <v>4.34</v>
      </c>
      <c r="P168" t="n">
        <v>8</v>
      </c>
      <c r="Q168" t="n">
        <v>2</v>
      </c>
      <c r="R168" t="n">
        <v>2022.1</v>
      </c>
      <c r="S168" t="b">
        <v>1</v>
      </c>
      <c r="T168" t="n">
        <v>3912286</v>
      </c>
      <c r="U168" t="n">
        <v>7</v>
      </c>
      <c r="V168" t="n">
        <v>0.0604</v>
      </c>
      <c r="W168" t="n">
        <v>1.74</v>
      </c>
      <c r="X168" t="n">
        <v>74.19</v>
      </c>
      <c r="Y168">
        <f>VLOOKUP(D168,$AB$2:$AC$7,2,FALSE)</f>
        <v/>
      </c>
      <c r="Z168">
        <f>IF(A168&lt;Y168,"Yes","No")</f>
        <v/>
      </c>
    </row>
    <row r="169">
      <c r="A169" t="n">
        <v>2022</v>
      </c>
      <c r="B169" t="inlineStr">
        <is>
          <t>Q3</t>
        </is>
      </c>
      <c r="C169" t="inlineStr">
        <is>
          <t>Australia</t>
        </is>
      </c>
      <c r="D169" t="inlineStr">
        <is>
          <t>Model S</t>
        </is>
      </c>
      <c r="E169" t="n">
        <v>848</v>
      </c>
      <c r="F169" t="n">
        <v>99542.2</v>
      </c>
      <c r="G169" t="n">
        <v>14</v>
      </c>
      <c r="H169" t="inlineStr">
        <is>
          <t>Standard</t>
        </is>
      </c>
      <c r="I169" t="inlineStr">
        <is>
          <t>RWD</t>
        </is>
      </c>
      <c r="J169" t="inlineStr">
        <is>
          <t>White</t>
        </is>
      </c>
      <c r="K169" t="n">
        <v>674</v>
      </c>
      <c r="L169" t="n">
        <v>81</v>
      </c>
      <c r="M169" t="n">
        <v>16.5</v>
      </c>
      <c r="N169" t="n">
        <v>1309.29</v>
      </c>
      <c r="O169" t="n">
        <v>4.55</v>
      </c>
      <c r="P169" t="n">
        <v>4</v>
      </c>
      <c r="Q169" t="n">
        <v>1</v>
      </c>
      <c r="R169" t="n">
        <v>2023.3</v>
      </c>
      <c r="S169" t="b">
        <v>0</v>
      </c>
      <c r="T169" t="n">
        <v>997258</v>
      </c>
      <c r="U169" t="n">
        <v>6</v>
      </c>
      <c r="V169" t="n">
        <v>0.065</v>
      </c>
      <c r="W169" t="n">
        <v>0.88</v>
      </c>
      <c r="X169" t="n">
        <v>87.91</v>
      </c>
      <c r="Y169">
        <f>VLOOKUP(D169,$AB$2:$AC$7,2,FALSE)</f>
        <v/>
      </c>
      <c r="Z169">
        <f>IF(A169&lt;Y169,"Yes","No")</f>
        <v/>
      </c>
    </row>
    <row r="170">
      <c r="A170" t="n">
        <v>2018</v>
      </c>
      <c r="B170" t="inlineStr">
        <is>
          <t>Q2</t>
        </is>
      </c>
      <c r="C170" t="inlineStr">
        <is>
          <t>Australia</t>
        </is>
      </c>
      <c r="D170" t="inlineStr">
        <is>
          <t>Model 3</t>
        </is>
      </c>
      <c r="E170" t="n">
        <v>2818</v>
      </c>
      <c r="F170" t="n">
        <v>44160.09</v>
      </c>
      <c r="G170" t="n">
        <v>26</v>
      </c>
      <c r="H170" t="inlineStr">
        <is>
          <t>Standard</t>
        </is>
      </c>
      <c r="I170" t="inlineStr">
        <is>
          <t>AWD</t>
        </is>
      </c>
      <c r="J170" t="inlineStr">
        <is>
          <t>Blue</t>
        </is>
      </c>
      <c r="K170" t="n">
        <v>584</v>
      </c>
      <c r="L170" t="n">
        <v>72</v>
      </c>
      <c r="M170" t="n">
        <v>20.07</v>
      </c>
      <c r="N170" t="n">
        <v>4250.66</v>
      </c>
      <c r="O170" t="n">
        <v>4.95</v>
      </c>
      <c r="P170" t="n">
        <v>4</v>
      </c>
      <c r="Q170" t="n">
        <v>0</v>
      </c>
      <c r="R170" t="n">
        <v>2024.7</v>
      </c>
      <c r="S170" t="b">
        <v>0</v>
      </c>
      <c r="T170" t="n">
        <v>4364205</v>
      </c>
      <c r="U170" t="n">
        <v>4</v>
      </c>
      <c r="V170" t="n">
        <v>0.0723</v>
      </c>
      <c r="W170" t="n">
        <v>0.85</v>
      </c>
      <c r="X170" t="n">
        <v>84.45999999999999</v>
      </c>
      <c r="Y170">
        <f>VLOOKUP(D170,$AB$2:$AC$7,2,FALSE)</f>
        <v/>
      </c>
      <c r="Z170">
        <f>IF(A170&lt;Y170,"Yes","No")</f>
        <v/>
      </c>
    </row>
    <row r="171">
      <c r="A171" t="n">
        <v>2013</v>
      </c>
      <c r="B171" t="inlineStr">
        <is>
          <t>Q4</t>
        </is>
      </c>
      <c r="C171" t="inlineStr">
        <is>
          <t>South America</t>
        </is>
      </c>
      <c r="D171" t="inlineStr">
        <is>
          <t>Cybertruck</t>
        </is>
      </c>
      <c r="E171" t="n">
        <v>2686</v>
      </c>
      <c r="F171" t="n">
        <v>77849.36</v>
      </c>
      <c r="G171" t="n">
        <v>24</v>
      </c>
      <c r="H171" t="inlineStr">
        <is>
          <t>Long Range</t>
        </is>
      </c>
      <c r="I171" t="inlineStr">
        <is>
          <t>AWD</t>
        </is>
      </c>
      <c r="J171" t="inlineStr">
        <is>
          <t>White</t>
        </is>
      </c>
      <c r="K171" t="n">
        <v>553</v>
      </c>
      <c r="L171" t="n">
        <v>51</v>
      </c>
      <c r="M171" t="n">
        <v>24.65</v>
      </c>
      <c r="N171" t="n">
        <v>3775.69</v>
      </c>
      <c r="O171" t="n">
        <v>3.7</v>
      </c>
      <c r="P171" t="n">
        <v>8</v>
      </c>
      <c r="Q171" t="n">
        <v>2</v>
      </c>
      <c r="R171" t="n">
        <v>2024.6</v>
      </c>
      <c r="S171" t="b">
        <v>1</v>
      </c>
      <c r="T171" t="n">
        <v>1785179</v>
      </c>
      <c r="U171" t="n">
        <v>5</v>
      </c>
      <c r="V171" t="n">
        <v>0.06619999999999999</v>
      </c>
      <c r="W171" t="n">
        <v>1.08</v>
      </c>
      <c r="X171" t="n">
        <v>70.36</v>
      </c>
      <c r="Y171">
        <f>VLOOKUP(D171,$AB$2:$AC$7,2,FALSE)</f>
        <v/>
      </c>
      <c r="Z171">
        <f>IF(A171&lt;Y171,"Yes","No")</f>
        <v/>
      </c>
    </row>
    <row r="172">
      <c r="A172" t="n">
        <v>2022</v>
      </c>
      <c r="B172" t="inlineStr">
        <is>
          <t>Q2</t>
        </is>
      </c>
      <c r="C172" t="inlineStr">
        <is>
          <t>Europe</t>
        </is>
      </c>
      <c r="D172" t="inlineStr">
        <is>
          <t>Cybertruck</t>
        </is>
      </c>
      <c r="E172" t="n">
        <v>4494</v>
      </c>
      <c r="F172" t="n">
        <v>94016.52</v>
      </c>
      <c r="G172" t="n">
        <v>20</v>
      </c>
      <c r="H172" t="inlineStr">
        <is>
          <t>Performance</t>
        </is>
      </c>
      <c r="I172" t="inlineStr">
        <is>
          <t>AWD</t>
        </is>
      </c>
      <c r="J172" t="inlineStr">
        <is>
          <t>White</t>
        </is>
      </c>
      <c r="K172" t="n">
        <v>637</v>
      </c>
      <c r="L172" t="n">
        <v>60</v>
      </c>
      <c r="M172" t="n">
        <v>19.99</v>
      </c>
      <c r="N172" t="n">
        <v>10719.75</v>
      </c>
      <c r="O172" t="n">
        <v>4.57</v>
      </c>
      <c r="P172" t="n">
        <v>6</v>
      </c>
      <c r="Q172" t="n">
        <v>3</v>
      </c>
      <c r="R172" t="n">
        <v>2020.9</v>
      </c>
      <c r="S172" t="b">
        <v>1</v>
      </c>
      <c r="T172" t="n">
        <v>311998</v>
      </c>
      <c r="U172" t="n">
        <v>8</v>
      </c>
      <c r="V172" t="n">
        <v>0.0231</v>
      </c>
      <c r="W172" t="n">
        <v>1.84</v>
      </c>
      <c r="X172" t="n">
        <v>66</v>
      </c>
      <c r="Y172">
        <f>VLOOKUP(D172,$AB$2:$AC$7,2,FALSE)</f>
        <v/>
      </c>
      <c r="Z172">
        <f>IF(A172&lt;Y172,"Yes","No")</f>
        <v/>
      </c>
    </row>
    <row r="173">
      <c r="A173" t="n">
        <v>2024</v>
      </c>
      <c r="B173" t="inlineStr">
        <is>
          <t>Q2</t>
        </is>
      </c>
      <c r="C173" t="inlineStr">
        <is>
          <t>Asia</t>
        </is>
      </c>
      <c r="D173" t="inlineStr">
        <is>
          <t>Semi</t>
        </is>
      </c>
      <c r="E173" t="n">
        <v>2102</v>
      </c>
      <c r="F173" t="n">
        <v>47446.41</v>
      </c>
      <c r="G173" t="n">
        <v>3</v>
      </c>
      <c r="H173" t="inlineStr">
        <is>
          <t>Performance</t>
        </is>
      </c>
      <c r="I173" t="inlineStr">
        <is>
          <t>RWD</t>
        </is>
      </c>
      <c r="J173" t="inlineStr">
        <is>
          <t>Black</t>
        </is>
      </c>
      <c r="K173" t="n">
        <v>627</v>
      </c>
      <c r="L173" t="n">
        <v>32</v>
      </c>
      <c r="M173" t="n">
        <v>17.3</v>
      </c>
      <c r="N173" t="n">
        <v>2953.71</v>
      </c>
      <c r="O173" t="n">
        <v>4.42</v>
      </c>
      <c r="P173" t="n">
        <v>5</v>
      </c>
      <c r="Q173" t="n">
        <v>3</v>
      </c>
      <c r="R173" t="n">
        <v>2021.9</v>
      </c>
      <c r="S173" t="b">
        <v>0</v>
      </c>
      <c r="T173" t="n">
        <v>494095</v>
      </c>
      <c r="U173" t="n">
        <v>8</v>
      </c>
      <c r="V173" t="n">
        <v>0.0449</v>
      </c>
      <c r="W173" t="n">
        <v>2.41</v>
      </c>
      <c r="X173" t="n">
        <v>89.27</v>
      </c>
      <c r="Y173">
        <f>VLOOKUP(D173,$AB$2:$AC$7,2,FALSE)</f>
        <v/>
      </c>
      <c r="Z173">
        <f>IF(A173&lt;Y173,"Yes","No")</f>
        <v/>
      </c>
    </row>
    <row r="174">
      <c r="A174" t="n">
        <v>2017</v>
      </c>
      <c r="B174" t="inlineStr">
        <is>
          <t>Q1</t>
        </is>
      </c>
      <c r="C174" t="inlineStr">
        <is>
          <t>North America</t>
        </is>
      </c>
      <c r="D174" t="inlineStr">
        <is>
          <t>Semi</t>
        </is>
      </c>
      <c r="E174" t="n">
        <v>2108</v>
      </c>
      <c r="F174" t="n">
        <v>52262.41</v>
      </c>
      <c r="G174" t="n">
        <v>55</v>
      </c>
      <c r="H174" t="inlineStr">
        <is>
          <t>Long Range</t>
        </is>
      </c>
      <c r="I174" t="inlineStr">
        <is>
          <t>AWD</t>
        </is>
      </c>
      <c r="J174" t="inlineStr">
        <is>
          <t>Green</t>
        </is>
      </c>
      <c r="K174" t="n">
        <v>681</v>
      </c>
      <c r="L174" t="n">
        <v>53</v>
      </c>
      <c r="M174" t="n">
        <v>22.06</v>
      </c>
      <c r="N174" t="n">
        <v>3358.53</v>
      </c>
      <c r="O174" t="n">
        <v>4.41</v>
      </c>
      <c r="P174" t="n">
        <v>5</v>
      </c>
      <c r="Q174" t="n">
        <v>2</v>
      </c>
      <c r="R174" t="n">
        <v>2023.3</v>
      </c>
      <c r="S174" t="b">
        <v>1</v>
      </c>
      <c r="T174" t="n">
        <v>1668473</v>
      </c>
      <c r="U174" t="n">
        <v>4</v>
      </c>
      <c r="V174" t="n">
        <v>0.0762</v>
      </c>
      <c r="W174" t="n">
        <v>0.74</v>
      </c>
      <c r="X174" t="n">
        <v>61.22</v>
      </c>
      <c r="Y174">
        <f>VLOOKUP(D174,$AB$2:$AC$7,2,FALSE)</f>
        <v/>
      </c>
      <c r="Z174">
        <f>IF(A174&lt;Y174,"Yes","No")</f>
        <v/>
      </c>
    </row>
    <row r="175">
      <c r="A175" t="n">
        <v>2016</v>
      </c>
      <c r="B175" t="inlineStr">
        <is>
          <t>Q3</t>
        </is>
      </c>
      <c r="C175" t="inlineStr">
        <is>
          <t>Europe</t>
        </is>
      </c>
      <c r="D175" t="inlineStr">
        <is>
          <t>Model 3</t>
        </is>
      </c>
      <c r="E175" t="n">
        <v>4834</v>
      </c>
      <c r="F175" t="n">
        <v>106911.21</v>
      </c>
      <c r="G175" t="n">
        <v>0</v>
      </c>
      <c r="H175" t="inlineStr">
        <is>
          <t>Long Range</t>
        </is>
      </c>
      <c r="I175" t="inlineStr">
        <is>
          <t>RWD</t>
        </is>
      </c>
      <c r="J175" t="inlineStr">
        <is>
          <t>Green</t>
        </is>
      </c>
      <c r="K175" t="n">
        <v>429</v>
      </c>
      <c r="L175" t="n">
        <v>32</v>
      </c>
      <c r="M175" t="n">
        <v>14.84</v>
      </c>
      <c r="N175" t="n">
        <v>5536.19</v>
      </c>
      <c r="O175" t="n">
        <v>3.58</v>
      </c>
      <c r="P175" t="n">
        <v>6</v>
      </c>
      <c r="Q175" t="n">
        <v>3</v>
      </c>
      <c r="R175" t="n">
        <v>2024.9</v>
      </c>
      <c r="S175" t="b">
        <v>0</v>
      </c>
      <c r="T175" t="n">
        <v>711368</v>
      </c>
      <c r="U175" t="n">
        <v>7</v>
      </c>
      <c r="V175" t="n">
        <v>0.0573</v>
      </c>
      <c r="W175" t="n">
        <v>2.41</v>
      </c>
      <c r="X175" t="n">
        <v>75.62</v>
      </c>
      <c r="Y175">
        <f>VLOOKUP(D175,$AB$2:$AC$7,2,FALSE)</f>
        <v/>
      </c>
      <c r="Z175">
        <f>IF(A175&lt;Y175,"Yes","No")</f>
        <v/>
      </c>
    </row>
    <row r="176">
      <c r="A176" t="n">
        <v>2024</v>
      </c>
      <c r="B176" t="inlineStr">
        <is>
          <t>Q2</t>
        </is>
      </c>
      <c r="C176" t="inlineStr">
        <is>
          <t>Australia</t>
        </is>
      </c>
      <c r="D176" t="inlineStr">
        <is>
          <t>Cybertruck</t>
        </is>
      </c>
      <c r="E176" t="n">
        <v>4449</v>
      </c>
      <c r="F176" t="n">
        <v>69290.45</v>
      </c>
      <c r="G176" t="n">
        <v>22</v>
      </c>
      <c r="H176" t="inlineStr">
        <is>
          <t>Standard</t>
        </is>
      </c>
      <c r="I176" t="inlineStr">
        <is>
          <t>AWD</t>
        </is>
      </c>
      <c r="J176" t="inlineStr">
        <is>
          <t>Green</t>
        </is>
      </c>
      <c r="K176" t="n">
        <v>519</v>
      </c>
      <c r="L176" t="n">
        <v>51</v>
      </c>
      <c r="M176" t="n">
        <v>17.33</v>
      </c>
      <c r="N176" t="n">
        <v>4168.23</v>
      </c>
      <c r="O176" t="n">
        <v>4.63</v>
      </c>
      <c r="P176" t="n">
        <v>8</v>
      </c>
      <c r="Q176" t="n">
        <v>0</v>
      </c>
      <c r="R176" t="n">
        <v>2020.11</v>
      </c>
      <c r="S176" t="b">
        <v>0</v>
      </c>
      <c r="T176" t="n">
        <v>3838527</v>
      </c>
      <c r="U176" t="n">
        <v>5</v>
      </c>
      <c r="V176" t="n">
        <v>0.0914</v>
      </c>
      <c r="W176" t="n">
        <v>1.73</v>
      </c>
      <c r="X176" t="n">
        <v>78.63</v>
      </c>
      <c r="Y176">
        <f>VLOOKUP(D176,$AB$2:$AC$7,2,FALSE)</f>
        <v/>
      </c>
      <c r="Z176">
        <f>IF(A176&lt;Y176,"Yes","No")</f>
        <v/>
      </c>
    </row>
    <row r="177">
      <c r="A177" t="n">
        <v>2012</v>
      </c>
      <c r="B177" t="inlineStr">
        <is>
          <t>Q3</t>
        </is>
      </c>
      <c r="C177" t="inlineStr">
        <is>
          <t>Australia</t>
        </is>
      </c>
      <c r="D177" t="inlineStr">
        <is>
          <t>Model S</t>
        </is>
      </c>
      <c r="E177" t="n">
        <v>3211</v>
      </c>
      <c r="F177" t="n">
        <v>56810.2</v>
      </c>
      <c r="G177" t="n">
        <v>46</v>
      </c>
      <c r="H177" t="inlineStr">
        <is>
          <t>Long Range</t>
        </is>
      </c>
      <c r="I177" t="inlineStr">
        <is>
          <t>AWD</t>
        </is>
      </c>
      <c r="J177" t="inlineStr">
        <is>
          <t>Silver</t>
        </is>
      </c>
      <c r="K177" t="n">
        <v>541</v>
      </c>
      <c r="L177" t="n">
        <v>62</v>
      </c>
      <c r="M177" t="n">
        <v>22.63</v>
      </c>
      <c r="N177" t="n">
        <v>4466.87</v>
      </c>
      <c r="O177" t="n">
        <v>3.57</v>
      </c>
      <c r="P177" t="n">
        <v>5</v>
      </c>
      <c r="Q177" t="n">
        <v>2</v>
      </c>
      <c r="R177" t="n">
        <v>2024.2</v>
      </c>
      <c r="S177" t="b">
        <v>1</v>
      </c>
      <c r="T177" t="n">
        <v>1504209</v>
      </c>
      <c r="U177" t="n">
        <v>10</v>
      </c>
      <c r="V177" t="n">
        <v>0.058</v>
      </c>
      <c r="W177" t="n">
        <v>1.75</v>
      </c>
      <c r="X177" t="n">
        <v>66.31999999999999</v>
      </c>
      <c r="Y177">
        <f>VLOOKUP(D177,$AB$2:$AC$7,2,FALSE)</f>
        <v/>
      </c>
      <c r="Z177">
        <f>IF(A177&lt;Y177,"Yes","No")</f>
        <v/>
      </c>
    </row>
    <row r="178">
      <c r="A178" t="n">
        <v>2022</v>
      </c>
      <c r="B178" t="inlineStr">
        <is>
          <t>Q2</t>
        </is>
      </c>
      <c r="C178" t="inlineStr">
        <is>
          <t>Australia</t>
        </is>
      </c>
      <c r="D178" t="inlineStr">
        <is>
          <t>Model S</t>
        </is>
      </c>
      <c r="E178" t="n">
        <v>1734</v>
      </c>
      <c r="F178" t="n">
        <v>80709.11</v>
      </c>
      <c r="G178" t="n">
        <v>44</v>
      </c>
      <c r="H178" t="inlineStr">
        <is>
          <t>Performance</t>
        </is>
      </c>
      <c r="I178" t="inlineStr">
        <is>
          <t>RWD</t>
        </is>
      </c>
      <c r="J178" t="inlineStr">
        <is>
          <t>Green</t>
        </is>
      </c>
      <c r="K178" t="n">
        <v>386</v>
      </c>
      <c r="L178" t="n">
        <v>77</v>
      </c>
      <c r="M178" t="n">
        <v>21.23</v>
      </c>
      <c r="N178" t="n">
        <v>949.38</v>
      </c>
      <c r="O178" t="n">
        <v>4.58</v>
      </c>
      <c r="P178" t="n">
        <v>4</v>
      </c>
      <c r="Q178" t="n">
        <v>0</v>
      </c>
      <c r="R178" t="n">
        <v>2020.1</v>
      </c>
      <c r="S178" t="b">
        <v>1</v>
      </c>
      <c r="T178" t="n">
        <v>2213157</v>
      </c>
      <c r="U178" t="n">
        <v>10</v>
      </c>
      <c r="V178" t="n">
        <v>0.0163</v>
      </c>
      <c r="W178" t="n">
        <v>2.14</v>
      </c>
      <c r="X178" t="n">
        <v>87.33</v>
      </c>
      <c r="Y178">
        <f>VLOOKUP(D178,$AB$2:$AC$7,2,FALSE)</f>
        <v/>
      </c>
      <c r="Z178">
        <f>IF(A178&lt;Y178,"Yes","No")</f>
        <v/>
      </c>
    </row>
    <row r="179">
      <c r="A179" t="n">
        <v>2018</v>
      </c>
      <c r="B179" t="inlineStr">
        <is>
          <t>Q4</t>
        </is>
      </c>
      <c r="C179" t="inlineStr">
        <is>
          <t>Australia</t>
        </is>
      </c>
      <c r="D179" t="inlineStr">
        <is>
          <t>Semi</t>
        </is>
      </c>
      <c r="E179" t="n">
        <v>3363</v>
      </c>
      <c r="F179" t="n">
        <v>71807.13</v>
      </c>
      <c r="G179" t="n">
        <v>1</v>
      </c>
      <c r="H179" t="inlineStr">
        <is>
          <t>Long Range</t>
        </is>
      </c>
      <c r="I179" t="inlineStr">
        <is>
          <t>AWD</t>
        </is>
      </c>
      <c r="J179" t="inlineStr">
        <is>
          <t>Silver</t>
        </is>
      </c>
      <c r="K179" t="n">
        <v>353</v>
      </c>
      <c r="L179" t="n">
        <v>71</v>
      </c>
      <c r="M179" t="n">
        <v>21.64</v>
      </c>
      <c r="N179" t="n">
        <v>2106.84</v>
      </c>
      <c r="O179" t="n">
        <v>4.62</v>
      </c>
      <c r="P179" t="n">
        <v>4</v>
      </c>
      <c r="Q179" t="n">
        <v>0</v>
      </c>
      <c r="R179" t="n">
        <v>2022.9</v>
      </c>
      <c r="S179" t="b">
        <v>1</v>
      </c>
      <c r="T179" t="n">
        <v>2531325</v>
      </c>
      <c r="U179" t="n">
        <v>12</v>
      </c>
      <c r="V179" t="n">
        <v>0.0371</v>
      </c>
      <c r="W179" t="n">
        <v>0.67</v>
      </c>
      <c r="X179" t="n">
        <v>82.95999999999999</v>
      </c>
      <c r="Y179">
        <f>VLOOKUP(D179,$AB$2:$AC$7,2,FALSE)</f>
        <v/>
      </c>
      <c r="Z179">
        <f>IF(A179&lt;Y179,"Yes","No")</f>
        <v/>
      </c>
    </row>
    <row r="180">
      <c r="A180" t="n">
        <v>2019</v>
      </c>
      <c r="B180" t="inlineStr">
        <is>
          <t>Q4</t>
        </is>
      </c>
      <c r="C180" t="inlineStr">
        <is>
          <t>Australia</t>
        </is>
      </c>
      <c r="D180" t="inlineStr">
        <is>
          <t>Semi</t>
        </is>
      </c>
      <c r="E180" t="n">
        <v>302</v>
      </c>
      <c r="F180" t="n">
        <v>75288.95</v>
      </c>
      <c r="G180" t="n">
        <v>34</v>
      </c>
      <c r="H180" t="inlineStr">
        <is>
          <t>Standard</t>
        </is>
      </c>
      <c r="I180" t="inlineStr">
        <is>
          <t>AWD</t>
        </is>
      </c>
      <c r="J180" t="inlineStr">
        <is>
          <t>Green</t>
        </is>
      </c>
      <c r="K180" t="n">
        <v>550</v>
      </c>
      <c r="L180" t="n">
        <v>80</v>
      </c>
      <c r="M180" t="n">
        <v>22.57</v>
      </c>
      <c r="N180" t="n">
        <v>480.62</v>
      </c>
      <c r="O180" t="n">
        <v>4.94</v>
      </c>
      <c r="P180" t="n">
        <v>5</v>
      </c>
      <c r="Q180" t="n">
        <v>2</v>
      </c>
      <c r="R180" t="n">
        <v>2022.1</v>
      </c>
      <c r="S180" t="b">
        <v>1</v>
      </c>
      <c r="T180" t="n">
        <v>1133771</v>
      </c>
      <c r="U180" t="n">
        <v>2</v>
      </c>
      <c r="V180" t="n">
        <v>0.0105</v>
      </c>
      <c r="W180" t="n">
        <v>1.69</v>
      </c>
      <c r="X180" t="n">
        <v>76.11</v>
      </c>
      <c r="Y180">
        <f>VLOOKUP(D180,$AB$2:$AC$7,2,FALSE)</f>
        <v/>
      </c>
      <c r="Z180">
        <f>IF(A180&lt;Y180,"Yes","No")</f>
        <v/>
      </c>
    </row>
    <row r="181">
      <c r="A181" t="n">
        <v>2013</v>
      </c>
      <c r="B181" t="inlineStr">
        <is>
          <t>Q3</t>
        </is>
      </c>
      <c r="C181" t="inlineStr">
        <is>
          <t>Europe</t>
        </is>
      </c>
      <c r="D181" t="inlineStr">
        <is>
          <t>Semi</t>
        </is>
      </c>
      <c r="E181" t="n">
        <v>2866</v>
      </c>
      <c r="F181" t="n">
        <v>52997.64</v>
      </c>
      <c r="G181" t="n">
        <v>57</v>
      </c>
      <c r="H181" t="inlineStr">
        <is>
          <t>Performance</t>
        </is>
      </c>
      <c r="I181" t="inlineStr">
        <is>
          <t>AWD</t>
        </is>
      </c>
      <c r="J181" t="inlineStr">
        <is>
          <t>Black</t>
        </is>
      </c>
      <c r="K181" t="n">
        <v>444</v>
      </c>
      <c r="L181" t="n">
        <v>44</v>
      </c>
      <c r="M181" t="n">
        <v>20.4</v>
      </c>
      <c r="N181" t="n">
        <v>2881.72</v>
      </c>
      <c r="O181" t="n">
        <v>3.67</v>
      </c>
      <c r="P181" t="n">
        <v>4</v>
      </c>
      <c r="Q181" t="n">
        <v>3</v>
      </c>
      <c r="R181" t="n">
        <v>2024.2</v>
      </c>
      <c r="S181" t="b">
        <v>0</v>
      </c>
      <c r="T181" t="n">
        <v>665079</v>
      </c>
      <c r="U181" t="n">
        <v>6</v>
      </c>
      <c r="V181" t="n">
        <v>0.0188</v>
      </c>
      <c r="W181" t="n">
        <v>1.95</v>
      </c>
      <c r="X181" t="n">
        <v>74.62</v>
      </c>
      <c r="Y181">
        <f>VLOOKUP(D181,$AB$2:$AC$7,2,FALSE)</f>
        <v/>
      </c>
      <c r="Z181">
        <f>IF(A181&lt;Y181,"Yes","No")</f>
        <v/>
      </c>
    </row>
    <row r="182">
      <c r="A182" t="n">
        <v>2017</v>
      </c>
      <c r="B182" t="inlineStr">
        <is>
          <t>Q3</t>
        </is>
      </c>
      <c r="C182" t="inlineStr">
        <is>
          <t>Europe</t>
        </is>
      </c>
      <c r="D182" t="inlineStr">
        <is>
          <t>Semi</t>
        </is>
      </c>
      <c r="E182" t="n">
        <v>1971</v>
      </c>
      <c r="F182" t="n">
        <v>43503.83</v>
      </c>
      <c r="G182" t="n">
        <v>39</v>
      </c>
      <c r="H182" t="inlineStr">
        <is>
          <t>Standard</t>
        </is>
      </c>
      <c r="I182" t="inlineStr">
        <is>
          <t>AWD</t>
        </is>
      </c>
      <c r="J182" t="inlineStr">
        <is>
          <t>White</t>
        </is>
      </c>
      <c r="K182" t="n">
        <v>598</v>
      </c>
      <c r="L182" t="n">
        <v>58</v>
      </c>
      <c r="M182" t="n">
        <v>16.94</v>
      </c>
      <c r="N182" t="n">
        <v>3584.94</v>
      </c>
      <c r="O182" t="n">
        <v>4.54</v>
      </c>
      <c r="P182" t="n">
        <v>5</v>
      </c>
      <c r="Q182" t="n">
        <v>2</v>
      </c>
      <c r="R182" t="n">
        <v>2022.7</v>
      </c>
      <c r="S182" t="b">
        <v>1</v>
      </c>
      <c r="T182" t="n">
        <v>140532</v>
      </c>
      <c r="U182" t="n">
        <v>7</v>
      </c>
      <c r="V182" t="n">
        <v>0.0322</v>
      </c>
      <c r="W182" t="n">
        <v>0.9399999999999999</v>
      </c>
      <c r="X182" t="n">
        <v>82.19</v>
      </c>
      <c r="Y182">
        <f>VLOOKUP(D182,$AB$2:$AC$7,2,FALSE)</f>
        <v/>
      </c>
      <c r="Z182">
        <f>IF(A182&lt;Y182,"Yes","No")</f>
        <v/>
      </c>
    </row>
    <row r="183">
      <c r="A183" t="n">
        <v>2018</v>
      </c>
      <c r="B183" t="inlineStr">
        <is>
          <t>Q3</t>
        </is>
      </c>
      <c r="C183" t="inlineStr">
        <is>
          <t>Asia</t>
        </is>
      </c>
      <c r="D183" t="inlineStr">
        <is>
          <t>Model 3</t>
        </is>
      </c>
      <c r="E183" t="n">
        <v>2766</v>
      </c>
      <c r="F183" t="n">
        <v>109620.3</v>
      </c>
      <c r="G183" t="n">
        <v>29</v>
      </c>
      <c r="H183" t="inlineStr">
        <is>
          <t>Long Range</t>
        </is>
      </c>
      <c r="I183" t="inlineStr">
        <is>
          <t>RWD</t>
        </is>
      </c>
      <c r="J183" t="inlineStr">
        <is>
          <t>White</t>
        </is>
      </c>
      <c r="K183" t="n">
        <v>599</v>
      </c>
      <c r="L183" t="n">
        <v>65</v>
      </c>
      <c r="M183" t="n">
        <v>14.31</v>
      </c>
      <c r="N183" t="n">
        <v>4954.19</v>
      </c>
      <c r="O183" t="n">
        <v>3.62</v>
      </c>
      <c r="P183" t="n">
        <v>6</v>
      </c>
      <c r="Q183" t="n">
        <v>1</v>
      </c>
      <c r="R183" t="n">
        <v>2024.4</v>
      </c>
      <c r="S183" t="b">
        <v>0</v>
      </c>
      <c r="T183" t="n">
        <v>741412</v>
      </c>
      <c r="U183" t="n">
        <v>3</v>
      </c>
      <c r="V183" t="n">
        <v>0.09030000000000001</v>
      </c>
      <c r="W183" t="n">
        <v>2.2</v>
      </c>
      <c r="X183" t="n">
        <v>78.95</v>
      </c>
      <c r="Y183">
        <f>VLOOKUP(D183,$AB$2:$AC$7,2,FALSE)</f>
        <v/>
      </c>
      <c r="Z183">
        <f>IF(A183&lt;Y183,"Yes","No")</f>
        <v/>
      </c>
    </row>
    <row r="184">
      <c r="A184" t="n">
        <v>2021</v>
      </c>
      <c r="B184" t="inlineStr">
        <is>
          <t>Q4</t>
        </is>
      </c>
      <c r="C184" t="inlineStr">
        <is>
          <t>South America</t>
        </is>
      </c>
      <c r="D184" t="inlineStr">
        <is>
          <t>Model 3</t>
        </is>
      </c>
      <c r="E184" t="n">
        <v>350</v>
      </c>
      <c r="F184" t="n">
        <v>81885.49000000001</v>
      </c>
      <c r="G184" t="n">
        <v>34</v>
      </c>
      <c r="H184" t="inlineStr">
        <is>
          <t>Performance</t>
        </is>
      </c>
      <c r="I184" t="inlineStr">
        <is>
          <t>RWD</t>
        </is>
      </c>
      <c r="J184" t="inlineStr">
        <is>
          <t>Green</t>
        </is>
      </c>
      <c r="K184" t="n">
        <v>426</v>
      </c>
      <c r="L184" t="n">
        <v>53</v>
      </c>
      <c r="M184" t="n">
        <v>17.71</v>
      </c>
      <c r="N184" t="n">
        <v>799.01</v>
      </c>
      <c r="O184" t="n">
        <v>4.38</v>
      </c>
      <c r="P184" t="n">
        <v>6</v>
      </c>
      <c r="Q184" t="n">
        <v>1</v>
      </c>
      <c r="R184" t="n">
        <v>2023.9</v>
      </c>
      <c r="S184" t="b">
        <v>1</v>
      </c>
      <c r="T184" t="n">
        <v>3428475</v>
      </c>
      <c r="U184" t="n">
        <v>7</v>
      </c>
      <c r="V184" t="n">
        <v>0.0552</v>
      </c>
      <c r="W184" t="n">
        <v>1.83</v>
      </c>
      <c r="X184" t="n">
        <v>85.44</v>
      </c>
      <c r="Y184">
        <f>VLOOKUP(D184,$AB$2:$AC$7,2,FALSE)</f>
        <v/>
      </c>
      <c r="Z184">
        <f>IF(A184&lt;Y184,"Yes","No")</f>
        <v/>
      </c>
    </row>
    <row r="185">
      <c r="A185" t="n">
        <v>2024</v>
      </c>
      <c r="B185" t="inlineStr">
        <is>
          <t>Q2</t>
        </is>
      </c>
      <c r="C185" t="inlineStr">
        <is>
          <t>South America</t>
        </is>
      </c>
      <c r="D185" t="inlineStr">
        <is>
          <t>Model 3</t>
        </is>
      </c>
      <c r="E185" t="n">
        <v>3705</v>
      </c>
      <c r="F185" t="n">
        <v>48533.91</v>
      </c>
      <c r="G185" t="n">
        <v>36</v>
      </c>
      <c r="H185" t="inlineStr">
        <is>
          <t>Performance</t>
        </is>
      </c>
      <c r="I185" t="inlineStr">
        <is>
          <t>AWD</t>
        </is>
      </c>
      <c r="J185" t="inlineStr">
        <is>
          <t>Green</t>
        </is>
      </c>
      <c r="K185" t="n">
        <v>597</v>
      </c>
      <c r="L185" t="n">
        <v>90</v>
      </c>
      <c r="M185" t="n">
        <v>17.31</v>
      </c>
      <c r="N185" t="n">
        <v>3473.95</v>
      </c>
      <c r="O185" t="n">
        <v>4.23</v>
      </c>
      <c r="P185" t="n">
        <v>4</v>
      </c>
      <c r="Q185" t="n">
        <v>2</v>
      </c>
      <c r="R185" t="n">
        <v>2022.4</v>
      </c>
      <c r="S185" t="b">
        <v>1</v>
      </c>
      <c r="T185" t="n">
        <v>1834546</v>
      </c>
      <c r="U185" t="n">
        <v>10</v>
      </c>
      <c r="V185" t="n">
        <v>0.0917</v>
      </c>
      <c r="W185" t="n">
        <v>1.22</v>
      </c>
      <c r="X185" t="n">
        <v>74.09</v>
      </c>
      <c r="Y185">
        <f>VLOOKUP(D185,$AB$2:$AC$7,2,FALSE)</f>
        <v/>
      </c>
      <c r="Z185">
        <f>IF(A185&lt;Y185,"Yes","No")</f>
        <v/>
      </c>
    </row>
    <row r="186">
      <c r="A186" t="n">
        <v>2019</v>
      </c>
      <c r="B186" t="inlineStr">
        <is>
          <t>Q1</t>
        </is>
      </c>
      <c r="C186" t="inlineStr">
        <is>
          <t>North America</t>
        </is>
      </c>
      <c r="D186" t="inlineStr">
        <is>
          <t>Semi</t>
        </is>
      </c>
      <c r="E186" t="n">
        <v>2704</v>
      </c>
      <c r="F186" t="n">
        <v>43774.13</v>
      </c>
      <c r="G186" t="n">
        <v>33</v>
      </c>
      <c r="H186" t="inlineStr">
        <is>
          <t>Performance</t>
        </is>
      </c>
      <c r="I186" t="inlineStr">
        <is>
          <t>RWD</t>
        </is>
      </c>
      <c r="J186" t="inlineStr">
        <is>
          <t>Green</t>
        </is>
      </c>
      <c r="K186" t="n">
        <v>484</v>
      </c>
      <c r="L186" t="n">
        <v>67</v>
      </c>
      <c r="M186" t="n">
        <v>19.53</v>
      </c>
      <c r="N186" t="n">
        <v>2292.18</v>
      </c>
      <c r="O186" t="n">
        <v>4.48</v>
      </c>
      <c r="P186" t="n">
        <v>6</v>
      </c>
      <c r="Q186" t="n">
        <v>0</v>
      </c>
      <c r="R186" t="n">
        <v>2024.5</v>
      </c>
      <c r="S186" t="b">
        <v>0</v>
      </c>
      <c r="T186" t="n">
        <v>1969814</v>
      </c>
      <c r="U186" t="n">
        <v>10</v>
      </c>
      <c r="V186" t="n">
        <v>0.0465</v>
      </c>
      <c r="W186" t="n">
        <v>2.13</v>
      </c>
      <c r="X186" t="n">
        <v>70.34999999999999</v>
      </c>
      <c r="Y186">
        <f>VLOOKUP(D186,$AB$2:$AC$7,2,FALSE)</f>
        <v/>
      </c>
      <c r="Z186">
        <f>IF(A186&lt;Y186,"Yes","No")</f>
        <v/>
      </c>
    </row>
    <row r="187">
      <c r="A187" t="n">
        <v>2024</v>
      </c>
      <c r="B187" t="inlineStr">
        <is>
          <t>Q4</t>
        </is>
      </c>
      <c r="C187" t="inlineStr">
        <is>
          <t>South America</t>
        </is>
      </c>
      <c r="D187" t="inlineStr">
        <is>
          <t>Model S</t>
        </is>
      </c>
      <c r="E187" t="n">
        <v>4161</v>
      </c>
      <c r="F187" t="n">
        <v>109972.91</v>
      </c>
      <c r="G187" t="n">
        <v>28</v>
      </c>
      <c r="H187" t="inlineStr">
        <is>
          <t>Standard</t>
        </is>
      </c>
      <c r="I187" t="inlineStr">
        <is>
          <t>AWD</t>
        </is>
      </c>
      <c r="J187" t="inlineStr">
        <is>
          <t>Red</t>
        </is>
      </c>
      <c r="K187" t="n">
        <v>613</v>
      </c>
      <c r="L187" t="n">
        <v>71</v>
      </c>
      <c r="M187" t="n">
        <v>16.37</v>
      </c>
      <c r="N187" t="n">
        <v>3330.8</v>
      </c>
      <c r="O187" t="n">
        <v>3.74</v>
      </c>
      <c r="P187" t="n">
        <v>4</v>
      </c>
      <c r="Q187" t="n">
        <v>1</v>
      </c>
      <c r="R187" t="n">
        <v>2023.6</v>
      </c>
      <c r="S187" t="b">
        <v>1</v>
      </c>
      <c r="T187" t="n">
        <v>4139254</v>
      </c>
      <c r="U187" t="n">
        <v>12</v>
      </c>
      <c r="V187" t="n">
        <v>0.0531</v>
      </c>
      <c r="W187" t="n">
        <v>0.92</v>
      </c>
      <c r="X187" t="n">
        <v>64.84</v>
      </c>
      <c r="Y187">
        <f>VLOOKUP(D187,$AB$2:$AC$7,2,FALSE)</f>
        <v/>
      </c>
      <c r="Z187">
        <f>IF(A187&lt;Y187,"Yes","No")</f>
        <v/>
      </c>
    </row>
    <row r="188">
      <c r="A188" t="n">
        <v>2018</v>
      </c>
      <c r="B188" t="inlineStr">
        <is>
          <t>Q1</t>
        </is>
      </c>
      <c r="C188" t="inlineStr">
        <is>
          <t>Europe</t>
        </is>
      </c>
      <c r="D188" t="inlineStr">
        <is>
          <t>Model S</t>
        </is>
      </c>
      <c r="E188" t="n">
        <v>1097</v>
      </c>
      <c r="F188" t="n">
        <v>83746.35000000001</v>
      </c>
      <c r="G188" t="n">
        <v>10</v>
      </c>
      <c r="H188" t="inlineStr">
        <is>
          <t>Standard</t>
        </is>
      </c>
      <c r="I188" t="inlineStr">
        <is>
          <t>AWD</t>
        </is>
      </c>
      <c r="J188" t="inlineStr">
        <is>
          <t>Silver</t>
        </is>
      </c>
      <c r="K188" t="n">
        <v>425</v>
      </c>
      <c r="L188" t="n">
        <v>33</v>
      </c>
      <c r="M188" t="n">
        <v>15</v>
      </c>
      <c r="N188" t="n">
        <v>2572.35</v>
      </c>
      <c r="O188" t="n">
        <v>4.27</v>
      </c>
      <c r="P188" t="n">
        <v>8</v>
      </c>
      <c r="Q188" t="n">
        <v>0</v>
      </c>
      <c r="R188" t="n">
        <v>2022.2</v>
      </c>
      <c r="S188" t="b">
        <v>1</v>
      </c>
      <c r="T188" t="n">
        <v>3868190</v>
      </c>
      <c r="U188" t="n">
        <v>11</v>
      </c>
      <c r="V188" t="n">
        <v>0.0993</v>
      </c>
      <c r="W188" t="n">
        <v>2.23</v>
      </c>
      <c r="X188" t="n">
        <v>65.12</v>
      </c>
      <c r="Y188">
        <f>VLOOKUP(D188,$AB$2:$AC$7,2,FALSE)</f>
        <v/>
      </c>
      <c r="Z188">
        <f>IF(A188&lt;Y188,"Yes","No")</f>
        <v/>
      </c>
    </row>
    <row r="189">
      <c r="A189" t="n">
        <v>2018</v>
      </c>
      <c r="B189" t="inlineStr">
        <is>
          <t>Q2</t>
        </is>
      </c>
      <c r="C189" t="inlineStr">
        <is>
          <t>South America</t>
        </is>
      </c>
      <c r="D189" t="inlineStr">
        <is>
          <t>Model 3</t>
        </is>
      </c>
      <c r="E189" t="n">
        <v>4234</v>
      </c>
      <c r="F189" t="n">
        <v>57484.26</v>
      </c>
      <c r="G189" t="n">
        <v>46</v>
      </c>
      <c r="H189" t="inlineStr">
        <is>
          <t>Performance</t>
        </is>
      </c>
      <c r="I189" t="inlineStr">
        <is>
          <t>RWD</t>
        </is>
      </c>
      <c r="J189" t="inlineStr">
        <is>
          <t>Blue</t>
        </is>
      </c>
      <c r="K189" t="n">
        <v>655</v>
      </c>
      <c r="L189" t="n">
        <v>67</v>
      </c>
      <c r="M189" t="n">
        <v>13.83</v>
      </c>
      <c r="N189" t="n">
        <v>5319.69</v>
      </c>
      <c r="O189" t="n">
        <v>3.7</v>
      </c>
      <c r="P189" t="n">
        <v>4</v>
      </c>
      <c r="Q189" t="n">
        <v>1</v>
      </c>
      <c r="R189" t="n">
        <v>2024.9</v>
      </c>
      <c r="S189" t="b">
        <v>0</v>
      </c>
      <c r="T189" t="n">
        <v>1354610</v>
      </c>
      <c r="U189" t="n">
        <v>11</v>
      </c>
      <c r="V189" t="n">
        <v>0.0187</v>
      </c>
      <c r="W189" t="n">
        <v>1.45</v>
      </c>
      <c r="X189" t="n">
        <v>78.44</v>
      </c>
      <c r="Y189">
        <f>VLOOKUP(D189,$AB$2:$AC$7,2,FALSE)</f>
        <v/>
      </c>
      <c r="Z189">
        <f>IF(A189&lt;Y189,"Yes","No")</f>
        <v/>
      </c>
    </row>
    <row r="190">
      <c r="A190" t="n">
        <v>2012</v>
      </c>
      <c r="B190" t="inlineStr">
        <is>
          <t>Q1</t>
        </is>
      </c>
      <c r="C190" t="inlineStr">
        <is>
          <t>North America</t>
        </is>
      </c>
      <c r="D190" t="inlineStr">
        <is>
          <t>Model Y</t>
        </is>
      </c>
      <c r="E190" t="n">
        <v>1117</v>
      </c>
      <c r="F190" t="n">
        <v>111668.7</v>
      </c>
      <c r="G190" t="n">
        <v>34</v>
      </c>
      <c r="H190" t="inlineStr">
        <is>
          <t>Standard</t>
        </is>
      </c>
      <c r="I190" t="inlineStr">
        <is>
          <t>RWD</t>
        </is>
      </c>
      <c r="J190" t="inlineStr">
        <is>
          <t>Silver</t>
        </is>
      </c>
      <c r="K190" t="n">
        <v>565</v>
      </c>
      <c r="L190" t="n">
        <v>53</v>
      </c>
      <c r="M190" t="n">
        <v>23.5</v>
      </c>
      <c r="N190" t="n">
        <v>2117.03</v>
      </c>
      <c r="O190" t="n">
        <v>4.14</v>
      </c>
      <c r="P190" t="n">
        <v>8</v>
      </c>
      <c r="Q190" t="n">
        <v>3</v>
      </c>
      <c r="R190" t="n">
        <v>2022.1</v>
      </c>
      <c r="S190" t="b">
        <v>1</v>
      </c>
      <c r="T190" t="n">
        <v>3669263</v>
      </c>
      <c r="U190" t="n">
        <v>4</v>
      </c>
      <c r="V190" t="n">
        <v>0.0329</v>
      </c>
      <c r="W190" t="n">
        <v>2.03</v>
      </c>
      <c r="X190" t="n">
        <v>87.3</v>
      </c>
      <c r="Y190">
        <f>VLOOKUP(D190,$AB$2:$AC$7,2,FALSE)</f>
        <v/>
      </c>
      <c r="Z190">
        <f>IF(A190&lt;Y190,"Yes","No")</f>
        <v/>
      </c>
    </row>
    <row r="191">
      <c r="A191" t="n">
        <v>2013</v>
      </c>
      <c r="B191" t="inlineStr">
        <is>
          <t>Q3</t>
        </is>
      </c>
      <c r="C191" t="inlineStr">
        <is>
          <t>South America</t>
        </is>
      </c>
      <c r="D191" t="inlineStr">
        <is>
          <t>Cybertruck</t>
        </is>
      </c>
      <c r="E191" t="n">
        <v>3397</v>
      </c>
      <c r="F191" t="n">
        <v>56913.42</v>
      </c>
      <c r="G191" t="n">
        <v>0</v>
      </c>
      <c r="H191" t="inlineStr">
        <is>
          <t>Performance</t>
        </is>
      </c>
      <c r="I191" t="inlineStr">
        <is>
          <t>AWD</t>
        </is>
      </c>
      <c r="J191" t="inlineStr">
        <is>
          <t>Silver</t>
        </is>
      </c>
      <c r="K191" t="n">
        <v>617</v>
      </c>
      <c r="L191" t="n">
        <v>37</v>
      </c>
      <c r="M191" t="n">
        <v>19.24</v>
      </c>
      <c r="N191" t="n">
        <v>4246.45</v>
      </c>
      <c r="O191" t="n">
        <v>3.81</v>
      </c>
      <c r="P191" t="n">
        <v>6</v>
      </c>
      <c r="Q191" t="n">
        <v>3</v>
      </c>
      <c r="R191" t="n">
        <v>2022.2</v>
      </c>
      <c r="S191" t="b">
        <v>1</v>
      </c>
      <c r="T191" t="n">
        <v>3674147</v>
      </c>
      <c r="U191" t="n">
        <v>12</v>
      </c>
      <c r="V191" t="n">
        <v>0.06270000000000001</v>
      </c>
      <c r="W191" t="n">
        <v>1.02</v>
      </c>
      <c r="X191" t="n">
        <v>76.08</v>
      </c>
      <c r="Y191">
        <f>VLOOKUP(D191,$AB$2:$AC$7,2,FALSE)</f>
        <v/>
      </c>
      <c r="Z191">
        <f>IF(A191&lt;Y191,"Yes","No")</f>
        <v/>
      </c>
    </row>
    <row r="192">
      <c r="A192" t="n">
        <v>2021</v>
      </c>
      <c r="B192" t="inlineStr">
        <is>
          <t>Q3</t>
        </is>
      </c>
      <c r="C192" t="inlineStr">
        <is>
          <t>South America</t>
        </is>
      </c>
      <c r="D192" t="inlineStr">
        <is>
          <t>Model X</t>
        </is>
      </c>
      <c r="E192" t="n">
        <v>3305</v>
      </c>
      <c r="F192" t="n">
        <v>99172.61</v>
      </c>
      <c r="G192" t="n">
        <v>26</v>
      </c>
      <c r="H192" t="inlineStr">
        <is>
          <t>Performance</t>
        </is>
      </c>
      <c r="I192" t="inlineStr">
        <is>
          <t>RWD</t>
        </is>
      </c>
      <c r="J192" t="inlineStr">
        <is>
          <t>Black</t>
        </is>
      </c>
      <c r="K192" t="n">
        <v>539</v>
      </c>
      <c r="L192" t="n">
        <v>65</v>
      </c>
      <c r="M192" t="n">
        <v>19.66</v>
      </c>
      <c r="N192" t="n">
        <v>3329.97</v>
      </c>
      <c r="O192" t="n">
        <v>3.96</v>
      </c>
      <c r="P192" t="n">
        <v>6</v>
      </c>
      <c r="Q192" t="n">
        <v>3</v>
      </c>
      <c r="R192" t="n">
        <v>2021.11</v>
      </c>
      <c r="S192" t="b">
        <v>1</v>
      </c>
      <c r="T192" t="n">
        <v>2027461</v>
      </c>
      <c r="U192" t="n">
        <v>9</v>
      </c>
      <c r="V192" t="n">
        <v>0.0805</v>
      </c>
      <c r="W192" t="n">
        <v>2.4</v>
      </c>
      <c r="X192" t="n">
        <v>63.01</v>
      </c>
      <c r="Y192">
        <f>VLOOKUP(D192,$AB$2:$AC$7,2,FALSE)</f>
        <v/>
      </c>
      <c r="Z192">
        <f>IF(A192&lt;Y192,"Yes","No")</f>
        <v/>
      </c>
    </row>
    <row r="193">
      <c r="A193" t="n">
        <v>2020</v>
      </c>
      <c r="B193" t="inlineStr">
        <is>
          <t>Q4</t>
        </is>
      </c>
      <c r="C193" t="inlineStr">
        <is>
          <t>Asia</t>
        </is>
      </c>
      <c r="D193" t="inlineStr">
        <is>
          <t>Cybertruck</t>
        </is>
      </c>
      <c r="E193" t="n">
        <v>476</v>
      </c>
      <c r="F193" t="n">
        <v>48662.73</v>
      </c>
      <c r="G193" t="n">
        <v>40</v>
      </c>
      <c r="H193" t="inlineStr">
        <is>
          <t>Standard</t>
        </is>
      </c>
      <c r="I193" t="inlineStr">
        <is>
          <t>AWD</t>
        </is>
      </c>
      <c r="J193" t="inlineStr">
        <is>
          <t>Black</t>
        </is>
      </c>
      <c r="K193" t="n">
        <v>591</v>
      </c>
      <c r="L193" t="n">
        <v>89</v>
      </c>
      <c r="M193" t="n">
        <v>20.2</v>
      </c>
      <c r="N193" t="n">
        <v>321.91</v>
      </c>
      <c r="O193" t="n">
        <v>3.89</v>
      </c>
      <c r="P193" t="n">
        <v>6</v>
      </c>
      <c r="Q193" t="n">
        <v>0</v>
      </c>
      <c r="R193" t="n">
        <v>2024.1</v>
      </c>
      <c r="S193" t="b">
        <v>0</v>
      </c>
      <c r="T193" t="n">
        <v>3460852</v>
      </c>
      <c r="U193" t="n">
        <v>11</v>
      </c>
      <c r="V193" t="n">
        <v>0.06909999999999999</v>
      </c>
      <c r="W193" t="n">
        <v>1.07</v>
      </c>
      <c r="X193" t="n">
        <v>88.91</v>
      </c>
      <c r="Y193">
        <f>VLOOKUP(D193,$AB$2:$AC$7,2,FALSE)</f>
        <v/>
      </c>
      <c r="Z193">
        <f>IF(A193&lt;Y193,"Yes","No")</f>
        <v/>
      </c>
    </row>
    <row r="194">
      <c r="A194" t="n">
        <v>2012</v>
      </c>
      <c r="B194" t="inlineStr">
        <is>
          <t>Q2</t>
        </is>
      </c>
      <c r="C194" t="inlineStr">
        <is>
          <t>Australia</t>
        </is>
      </c>
      <c r="D194" t="inlineStr">
        <is>
          <t>Model Y</t>
        </is>
      </c>
      <c r="E194" t="n">
        <v>137</v>
      </c>
      <c r="F194" t="n">
        <v>52145.12</v>
      </c>
      <c r="G194" t="n">
        <v>42</v>
      </c>
      <c r="H194" t="inlineStr">
        <is>
          <t>Performance</t>
        </is>
      </c>
      <c r="I194" t="inlineStr">
        <is>
          <t>RWD</t>
        </is>
      </c>
      <c r="J194" t="inlineStr">
        <is>
          <t>Black</t>
        </is>
      </c>
      <c r="K194" t="n">
        <v>367</v>
      </c>
      <c r="L194" t="n">
        <v>80</v>
      </c>
      <c r="M194" t="n">
        <v>20.19</v>
      </c>
      <c r="N194" t="n">
        <v>209.83</v>
      </c>
      <c r="O194" t="n">
        <v>3.85</v>
      </c>
      <c r="P194" t="n">
        <v>5</v>
      </c>
      <c r="Q194" t="n">
        <v>0</v>
      </c>
      <c r="R194" t="n">
        <v>2022.4</v>
      </c>
      <c r="S194" t="b">
        <v>1</v>
      </c>
      <c r="T194" t="n">
        <v>1420742</v>
      </c>
      <c r="U194" t="n">
        <v>3</v>
      </c>
      <c r="V194" t="n">
        <v>0.0997</v>
      </c>
      <c r="W194" t="n">
        <v>2.06</v>
      </c>
      <c r="X194" t="n">
        <v>70.59</v>
      </c>
      <c r="Y194">
        <f>VLOOKUP(D194,$AB$2:$AC$7,2,FALSE)</f>
        <v/>
      </c>
      <c r="Z194">
        <f>IF(A194&lt;Y194,"Yes","No")</f>
        <v/>
      </c>
    </row>
    <row r="195">
      <c r="A195" t="n">
        <v>2018</v>
      </c>
      <c r="B195" t="inlineStr">
        <is>
          <t>Q4</t>
        </is>
      </c>
      <c r="C195" t="inlineStr">
        <is>
          <t>South America</t>
        </is>
      </c>
      <c r="D195" t="inlineStr">
        <is>
          <t>Model 3</t>
        </is>
      </c>
      <c r="E195" t="n">
        <v>4291</v>
      </c>
      <c r="F195" t="n">
        <v>36306.15</v>
      </c>
      <c r="G195" t="n">
        <v>45</v>
      </c>
      <c r="H195" t="inlineStr">
        <is>
          <t>Standard</t>
        </is>
      </c>
      <c r="I195" t="inlineStr">
        <is>
          <t>AWD</t>
        </is>
      </c>
      <c r="J195" t="inlineStr">
        <is>
          <t>Silver</t>
        </is>
      </c>
      <c r="K195" t="n">
        <v>495</v>
      </c>
      <c r="L195" t="n">
        <v>76</v>
      </c>
      <c r="M195" t="n">
        <v>22.96</v>
      </c>
      <c r="N195" t="n">
        <v>9998.110000000001</v>
      </c>
      <c r="O195" t="n">
        <v>4.02</v>
      </c>
      <c r="P195" t="n">
        <v>6</v>
      </c>
      <c r="Q195" t="n">
        <v>1</v>
      </c>
      <c r="R195" t="n">
        <v>2024.4</v>
      </c>
      <c r="S195" t="b">
        <v>0</v>
      </c>
      <c r="T195" t="n">
        <v>3488632</v>
      </c>
      <c r="U195" t="n">
        <v>11</v>
      </c>
      <c r="V195" t="n">
        <v>0.0104</v>
      </c>
      <c r="W195" t="n">
        <v>0.85</v>
      </c>
      <c r="X195" t="n">
        <v>75.19</v>
      </c>
      <c r="Y195">
        <f>VLOOKUP(D195,$AB$2:$AC$7,2,FALSE)</f>
        <v/>
      </c>
      <c r="Z195">
        <f>IF(A195&lt;Y195,"Yes","No")</f>
        <v/>
      </c>
    </row>
    <row r="196">
      <c r="A196" t="n">
        <v>2020</v>
      </c>
      <c r="B196" t="inlineStr">
        <is>
          <t>Q1</t>
        </is>
      </c>
      <c r="C196" t="inlineStr">
        <is>
          <t>South America</t>
        </is>
      </c>
      <c r="D196" t="inlineStr">
        <is>
          <t>Model X</t>
        </is>
      </c>
      <c r="E196" t="n">
        <v>2835</v>
      </c>
      <c r="F196" t="n">
        <v>115496.31</v>
      </c>
      <c r="G196" t="n">
        <v>51</v>
      </c>
      <c r="H196" t="inlineStr">
        <is>
          <t>Performance</t>
        </is>
      </c>
      <c r="I196" t="inlineStr">
        <is>
          <t>RWD</t>
        </is>
      </c>
      <c r="J196" t="inlineStr">
        <is>
          <t>Silver</t>
        </is>
      </c>
      <c r="K196" t="n">
        <v>644</v>
      </c>
      <c r="L196" t="n">
        <v>46</v>
      </c>
      <c r="M196" t="n">
        <v>21.33</v>
      </c>
      <c r="N196" t="n">
        <v>6895.03</v>
      </c>
      <c r="O196" t="n">
        <v>4.34</v>
      </c>
      <c r="P196" t="n">
        <v>5</v>
      </c>
      <c r="Q196" t="n">
        <v>2</v>
      </c>
      <c r="R196" t="n">
        <v>2023.11</v>
      </c>
      <c r="S196" t="b">
        <v>0</v>
      </c>
      <c r="T196" t="n">
        <v>329434</v>
      </c>
      <c r="U196" t="n">
        <v>9</v>
      </c>
      <c r="V196" t="n">
        <v>0.0205</v>
      </c>
      <c r="W196" t="n">
        <v>0.64</v>
      </c>
      <c r="X196" t="n">
        <v>79.01000000000001</v>
      </c>
      <c r="Y196">
        <f>VLOOKUP(D196,$AB$2:$AC$7,2,FALSE)</f>
        <v/>
      </c>
      <c r="Z196">
        <f>IF(A196&lt;Y196,"Yes","No")</f>
        <v/>
      </c>
    </row>
    <row r="197">
      <c r="A197" t="n">
        <v>2015</v>
      </c>
      <c r="B197" t="inlineStr">
        <is>
          <t>Q2</t>
        </is>
      </c>
      <c r="C197" t="inlineStr">
        <is>
          <t>Asia</t>
        </is>
      </c>
      <c r="D197" t="inlineStr">
        <is>
          <t>Model Y</t>
        </is>
      </c>
      <c r="E197" t="n">
        <v>2942</v>
      </c>
      <c r="F197" t="n">
        <v>78902.86</v>
      </c>
      <c r="G197" t="n">
        <v>0</v>
      </c>
      <c r="H197" t="inlineStr">
        <is>
          <t>Performance</t>
        </is>
      </c>
      <c r="I197" t="inlineStr">
        <is>
          <t>RWD</t>
        </is>
      </c>
      <c r="J197" t="inlineStr">
        <is>
          <t>Black</t>
        </is>
      </c>
      <c r="K197" t="n">
        <v>497</v>
      </c>
      <c r="L197" t="n">
        <v>35</v>
      </c>
      <c r="M197" t="n">
        <v>17.79</v>
      </c>
      <c r="N197" t="n">
        <v>5876.87</v>
      </c>
      <c r="O197" t="n">
        <v>4.01</v>
      </c>
      <c r="P197" t="n">
        <v>5</v>
      </c>
      <c r="Q197" t="n">
        <v>3</v>
      </c>
      <c r="R197" t="n">
        <v>2022.6</v>
      </c>
      <c r="S197" t="b">
        <v>1</v>
      </c>
      <c r="T197" t="n">
        <v>4912650</v>
      </c>
      <c r="U197" t="n">
        <v>6</v>
      </c>
      <c r="V197" t="n">
        <v>0.0265</v>
      </c>
      <c r="W197" t="n">
        <v>1.99</v>
      </c>
      <c r="X197" t="n">
        <v>87.91</v>
      </c>
      <c r="Y197">
        <f>VLOOKUP(D197,$AB$2:$AC$7,2,FALSE)</f>
        <v/>
      </c>
      <c r="Z197">
        <f>IF(A197&lt;Y197,"Yes","No")</f>
        <v/>
      </c>
    </row>
    <row r="198">
      <c r="A198" t="n">
        <v>2015</v>
      </c>
      <c r="B198" t="inlineStr">
        <is>
          <t>Q4</t>
        </is>
      </c>
      <c r="C198" t="inlineStr">
        <is>
          <t>Europe</t>
        </is>
      </c>
      <c r="D198" t="inlineStr">
        <is>
          <t>Model 3</t>
        </is>
      </c>
      <c r="E198" t="n">
        <v>2032</v>
      </c>
      <c r="F198" t="n">
        <v>109183.11</v>
      </c>
      <c r="G198" t="n">
        <v>13</v>
      </c>
      <c r="H198" t="inlineStr">
        <is>
          <t>Standard</t>
        </is>
      </c>
      <c r="I198" t="inlineStr">
        <is>
          <t>AWD</t>
        </is>
      </c>
      <c r="J198" t="inlineStr">
        <is>
          <t>Black</t>
        </is>
      </c>
      <c r="K198" t="n">
        <v>666</v>
      </c>
      <c r="L198" t="n">
        <v>52</v>
      </c>
      <c r="M198" t="n">
        <v>14.87</v>
      </c>
      <c r="N198" t="n">
        <v>1449.59</v>
      </c>
      <c r="O198" t="n">
        <v>4.88</v>
      </c>
      <c r="P198" t="n">
        <v>8</v>
      </c>
      <c r="Q198" t="n">
        <v>0</v>
      </c>
      <c r="R198" t="n">
        <v>2024.1</v>
      </c>
      <c r="S198" t="b">
        <v>0</v>
      </c>
      <c r="T198" t="n">
        <v>3213822</v>
      </c>
      <c r="U198" t="n">
        <v>11</v>
      </c>
      <c r="V198" t="n">
        <v>0.0384</v>
      </c>
      <c r="W198" t="n">
        <v>2.3</v>
      </c>
      <c r="X198" t="n">
        <v>86.43000000000001</v>
      </c>
      <c r="Y198">
        <f>VLOOKUP(D198,$AB$2:$AC$7,2,FALSE)</f>
        <v/>
      </c>
      <c r="Z198">
        <f>IF(A198&lt;Y198,"Yes","No")</f>
        <v/>
      </c>
    </row>
    <row r="199">
      <c r="A199" t="n">
        <v>2021</v>
      </c>
      <c r="B199" t="inlineStr">
        <is>
          <t>Q3</t>
        </is>
      </c>
      <c r="C199" t="inlineStr">
        <is>
          <t>Australia</t>
        </is>
      </c>
      <c r="D199" t="inlineStr">
        <is>
          <t>Model 3</t>
        </is>
      </c>
      <c r="E199" t="n">
        <v>4237</v>
      </c>
      <c r="F199" t="n">
        <v>58822.66</v>
      </c>
      <c r="G199" t="n">
        <v>14</v>
      </c>
      <c r="H199" t="inlineStr">
        <is>
          <t>Performance</t>
        </is>
      </c>
      <c r="I199" t="inlineStr">
        <is>
          <t>AWD</t>
        </is>
      </c>
      <c r="J199" t="inlineStr">
        <is>
          <t>Red</t>
        </is>
      </c>
      <c r="K199" t="n">
        <v>619</v>
      </c>
      <c r="L199" t="n">
        <v>81</v>
      </c>
      <c r="M199" t="n">
        <v>18.08</v>
      </c>
      <c r="N199" t="n">
        <v>10081.13</v>
      </c>
      <c r="O199" t="n">
        <v>3.55</v>
      </c>
      <c r="P199" t="n">
        <v>6</v>
      </c>
      <c r="Q199" t="n">
        <v>3</v>
      </c>
      <c r="R199" t="n">
        <v>2021.8</v>
      </c>
      <c r="S199" t="b">
        <v>1</v>
      </c>
      <c r="T199" t="n">
        <v>4447019</v>
      </c>
      <c r="U199" t="n">
        <v>9</v>
      </c>
      <c r="V199" t="n">
        <v>0.0384</v>
      </c>
      <c r="W199" t="n">
        <v>0.52</v>
      </c>
      <c r="X199" t="n">
        <v>80.22</v>
      </c>
      <c r="Y199">
        <f>VLOOKUP(D199,$AB$2:$AC$7,2,FALSE)</f>
        <v/>
      </c>
      <c r="Z199">
        <f>IF(A199&lt;Y199,"Yes","No")</f>
        <v/>
      </c>
    </row>
    <row r="200">
      <c r="A200" t="n">
        <v>2018</v>
      </c>
      <c r="B200" t="inlineStr">
        <is>
          <t>Q1</t>
        </is>
      </c>
      <c r="C200" t="inlineStr">
        <is>
          <t>Asia</t>
        </is>
      </c>
      <c r="D200" t="inlineStr">
        <is>
          <t>Model X</t>
        </is>
      </c>
      <c r="E200" t="n">
        <v>2177</v>
      </c>
      <c r="F200" t="n">
        <v>50907.96</v>
      </c>
      <c r="G200" t="n">
        <v>16</v>
      </c>
      <c r="H200" t="inlineStr">
        <is>
          <t>Standard</t>
        </is>
      </c>
      <c r="I200" t="inlineStr">
        <is>
          <t>RWD</t>
        </is>
      </c>
      <c r="J200" t="inlineStr">
        <is>
          <t>Blue</t>
        </is>
      </c>
      <c r="K200" t="n">
        <v>663</v>
      </c>
      <c r="L200" t="n">
        <v>51</v>
      </c>
      <c r="M200" t="n">
        <v>17.39</v>
      </c>
      <c r="N200" t="n">
        <v>3260.14</v>
      </c>
      <c r="O200" t="n">
        <v>3.82</v>
      </c>
      <c r="P200" t="n">
        <v>6</v>
      </c>
      <c r="Q200" t="n">
        <v>2</v>
      </c>
      <c r="R200" t="n">
        <v>2023.5</v>
      </c>
      <c r="S200" t="b">
        <v>0</v>
      </c>
      <c r="T200" t="n">
        <v>1609020</v>
      </c>
      <c r="U200" t="n">
        <v>11</v>
      </c>
      <c r="V200" t="n">
        <v>0.0218</v>
      </c>
      <c r="W200" t="n">
        <v>1.65</v>
      </c>
      <c r="X200" t="n">
        <v>66.86</v>
      </c>
      <c r="Y200">
        <f>VLOOKUP(D200,$AB$2:$AC$7,2,FALSE)</f>
        <v/>
      </c>
      <c r="Z200">
        <f>IF(A200&lt;Y200,"Yes","No")</f>
        <v/>
      </c>
    </row>
    <row r="201">
      <c r="A201" t="n">
        <v>2013</v>
      </c>
      <c r="B201" t="inlineStr">
        <is>
          <t>Q3</t>
        </is>
      </c>
      <c r="C201" t="inlineStr">
        <is>
          <t>Europe</t>
        </is>
      </c>
      <c r="D201" t="inlineStr">
        <is>
          <t>Cybertruck</t>
        </is>
      </c>
      <c r="E201" t="n">
        <v>3590</v>
      </c>
      <c r="F201" t="n">
        <v>107786.24</v>
      </c>
      <c r="G201" t="n">
        <v>12</v>
      </c>
      <c r="H201" t="inlineStr">
        <is>
          <t>Standard</t>
        </is>
      </c>
      <c r="I201" t="inlineStr">
        <is>
          <t>AWD</t>
        </is>
      </c>
      <c r="J201" t="inlineStr">
        <is>
          <t>Blue</t>
        </is>
      </c>
      <c r="K201" t="n">
        <v>354</v>
      </c>
      <c r="L201" t="n">
        <v>41</v>
      </c>
      <c r="M201" t="n">
        <v>18.06</v>
      </c>
      <c r="N201" t="n">
        <v>2760.51</v>
      </c>
      <c r="O201" t="n">
        <v>4.84</v>
      </c>
      <c r="P201" t="n">
        <v>6</v>
      </c>
      <c r="Q201" t="n">
        <v>3</v>
      </c>
      <c r="R201" t="n">
        <v>2022.5</v>
      </c>
      <c r="S201" t="b">
        <v>1</v>
      </c>
      <c r="T201" t="n">
        <v>3442037</v>
      </c>
      <c r="U201" t="n">
        <v>3</v>
      </c>
      <c r="V201" t="n">
        <v>0.0721</v>
      </c>
      <c r="W201" t="n">
        <v>0.62</v>
      </c>
      <c r="X201" t="n">
        <v>84.41</v>
      </c>
      <c r="Y201">
        <f>VLOOKUP(D201,$AB$2:$AC$7,2,FALSE)</f>
        <v/>
      </c>
      <c r="Z201">
        <f>IF(A201&lt;Y201,"Yes","No")</f>
        <v/>
      </c>
    </row>
    <row r="202">
      <c r="A202" t="n">
        <v>2019</v>
      </c>
      <c r="B202" t="inlineStr">
        <is>
          <t>Q1</t>
        </is>
      </c>
      <c r="C202" t="inlineStr">
        <is>
          <t>Australia</t>
        </is>
      </c>
      <c r="D202" t="inlineStr">
        <is>
          <t>Semi</t>
        </is>
      </c>
      <c r="E202" t="n">
        <v>2791</v>
      </c>
      <c r="F202" t="n">
        <v>57080.38</v>
      </c>
      <c r="G202" t="n">
        <v>23</v>
      </c>
      <c r="H202" t="inlineStr">
        <is>
          <t>Performance</t>
        </is>
      </c>
      <c r="I202" t="inlineStr">
        <is>
          <t>RWD</t>
        </is>
      </c>
      <c r="J202" t="inlineStr">
        <is>
          <t>White</t>
        </is>
      </c>
      <c r="K202" t="n">
        <v>360</v>
      </c>
      <c r="L202" t="n">
        <v>56</v>
      </c>
      <c r="M202" t="n">
        <v>14.45</v>
      </c>
      <c r="N202" t="n">
        <v>6237.15</v>
      </c>
      <c r="O202" t="n">
        <v>4.94</v>
      </c>
      <c r="P202" t="n">
        <v>5</v>
      </c>
      <c r="Q202" t="n">
        <v>1</v>
      </c>
      <c r="R202" t="n">
        <v>2022.6</v>
      </c>
      <c r="S202" t="b">
        <v>0</v>
      </c>
      <c r="T202" t="n">
        <v>4381919</v>
      </c>
      <c r="U202" t="n">
        <v>9</v>
      </c>
      <c r="V202" t="n">
        <v>0.07969999999999999</v>
      </c>
      <c r="W202" t="n">
        <v>1.39</v>
      </c>
      <c r="X202" t="n">
        <v>62.35</v>
      </c>
      <c r="Y202">
        <f>VLOOKUP(D202,$AB$2:$AC$7,2,FALSE)</f>
        <v/>
      </c>
      <c r="Z202">
        <f>IF(A202&lt;Y202,"Yes","No")</f>
        <v/>
      </c>
    </row>
    <row r="203">
      <c r="A203" t="n">
        <v>2021</v>
      </c>
      <c r="B203" t="inlineStr">
        <is>
          <t>Q3</t>
        </is>
      </c>
      <c r="C203" t="inlineStr">
        <is>
          <t>Australia</t>
        </is>
      </c>
      <c r="D203" t="inlineStr">
        <is>
          <t>Semi</t>
        </is>
      </c>
      <c r="E203" t="n">
        <v>1236</v>
      </c>
      <c r="F203" t="n">
        <v>108801.9</v>
      </c>
      <c r="G203" t="n">
        <v>40</v>
      </c>
      <c r="H203" t="inlineStr">
        <is>
          <t>Long Range</t>
        </is>
      </c>
      <c r="I203" t="inlineStr">
        <is>
          <t>RWD</t>
        </is>
      </c>
      <c r="J203" t="inlineStr">
        <is>
          <t>Green</t>
        </is>
      </c>
      <c r="K203" t="n">
        <v>663</v>
      </c>
      <c r="L203" t="n">
        <v>66</v>
      </c>
      <c r="M203" t="n">
        <v>17.86</v>
      </c>
      <c r="N203" t="n">
        <v>2860.28</v>
      </c>
      <c r="O203" t="n">
        <v>3.62</v>
      </c>
      <c r="P203" t="n">
        <v>6</v>
      </c>
      <c r="Q203" t="n">
        <v>1</v>
      </c>
      <c r="R203" t="n">
        <v>2022.6</v>
      </c>
      <c r="S203" t="b">
        <v>0</v>
      </c>
      <c r="T203" t="n">
        <v>2343721</v>
      </c>
      <c r="U203" t="n">
        <v>11</v>
      </c>
      <c r="V203" t="n">
        <v>0.068</v>
      </c>
      <c r="W203" t="n">
        <v>1.04</v>
      </c>
      <c r="X203" t="n">
        <v>73.34999999999999</v>
      </c>
      <c r="Y203">
        <f>VLOOKUP(D203,$AB$2:$AC$7,2,FALSE)</f>
        <v/>
      </c>
      <c r="Z203">
        <f>IF(A203&lt;Y203,"Yes","No")</f>
        <v/>
      </c>
    </row>
    <row r="204">
      <c r="A204" t="n">
        <v>2017</v>
      </c>
      <c r="B204" t="inlineStr">
        <is>
          <t>Q4</t>
        </is>
      </c>
      <c r="C204" t="inlineStr">
        <is>
          <t>Australia</t>
        </is>
      </c>
      <c r="D204" t="inlineStr">
        <is>
          <t>Model 3</t>
        </is>
      </c>
      <c r="E204" t="n">
        <v>1556</v>
      </c>
      <c r="F204" t="n">
        <v>107608.01</v>
      </c>
      <c r="G204" t="n">
        <v>8</v>
      </c>
      <c r="H204" t="inlineStr">
        <is>
          <t>Performance</t>
        </is>
      </c>
      <c r="I204" t="inlineStr">
        <is>
          <t>AWD</t>
        </is>
      </c>
      <c r="J204" t="inlineStr">
        <is>
          <t>Green</t>
        </is>
      </c>
      <c r="K204" t="n">
        <v>478</v>
      </c>
      <c r="L204" t="n">
        <v>90</v>
      </c>
      <c r="M204" t="n">
        <v>21.93</v>
      </c>
      <c r="N204" t="n">
        <v>3111.19</v>
      </c>
      <c r="O204" t="n">
        <v>3.82</v>
      </c>
      <c r="P204" t="n">
        <v>8</v>
      </c>
      <c r="Q204" t="n">
        <v>0</v>
      </c>
      <c r="R204" t="n">
        <v>2020.2</v>
      </c>
      <c r="S204" t="b">
        <v>0</v>
      </c>
      <c r="T204" t="n">
        <v>4700595</v>
      </c>
      <c r="U204" t="n">
        <v>2</v>
      </c>
      <c r="V204" t="n">
        <v>0.0124</v>
      </c>
      <c r="W204" t="n">
        <v>1.29</v>
      </c>
      <c r="X204" t="n">
        <v>82.95</v>
      </c>
      <c r="Y204">
        <f>VLOOKUP(D204,$AB$2:$AC$7,2,FALSE)</f>
        <v/>
      </c>
      <c r="Z204">
        <f>IF(A204&lt;Y204,"Yes","No")</f>
        <v/>
      </c>
    </row>
    <row r="205">
      <c r="A205" t="n">
        <v>2013</v>
      </c>
      <c r="B205" t="inlineStr">
        <is>
          <t>Q1</t>
        </is>
      </c>
      <c r="C205" t="inlineStr">
        <is>
          <t>Asia</t>
        </is>
      </c>
      <c r="D205" t="inlineStr">
        <is>
          <t>Cybertruck</t>
        </is>
      </c>
      <c r="E205" t="n">
        <v>1322</v>
      </c>
      <c r="F205" t="n">
        <v>42166.46</v>
      </c>
      <c r="G205" t="n">
        <v>59</v>
      </c>
      <c r="H205" t="inlineStr">
        <is>
          <t>Long Range</t>
        </is>
      </c>
      <c r="I205" t="inlineStr">
        <is>
          <t>RWD</t>
        </is>
      </c>
      <c r="J205" t="inlineStr">
        <is>
          <t>Black</t>
        </is>
      </c>
      <c r="K205" t="n">
        <v>476</v>
      </c>
      <c r="L205" t="n">
        <v>77</v>
      </c>
      <c r="M205" t="n">
        <v>16.41</v>
      </c>
      <c r="N205" t="n">
        <v>2317.41</v>
      </c>
      <c r="O205" t="n">
        <v>3.7</v>
      </c>
      <c r="P205" t="n">
        <v>5</v>
      </c>
      <c r="Q205" t="n">
        <v>0</v>
      </c>
      <c r="R205" t="n">
        <v>2020.11</v>
      </c>
      <c r="S205" t="b">
        <v>0</v>
      </c>
      <c r="T205" t="n">
        <v>2827986</v>
      </c>
      <c r="U205" t="n">
        <v>9</v>
      </c>
      <c r="V205" t="n">
        <v>0.052</v>
      </c>
      <c r="W205" t="n">
        <v>2.24</v>
      </c>
      <c r="X205" t="n">
        <v>88.05</v>
      </c>
      <c r="Y205">
        <f>VLOOKUP(D205,$AB$2:$AC$7,2,FALSE)</f>
        <v/>
      </c>
      <c r="Z205">
        <f>IF(A205&lt;Y205,"Yes","No")</f>
        <v/>
      </c>
    </row>
    <row r="206">
      <c r="A206" t="n">
        <v>2020</v>
      </c>
      <c r="B206" t="inlineStr">
        <is>
          <t>Q4</t>
        </is>
      </c>
      <c r="C206" t="inlineStr">
        <is>
          <t>Europe</t>
        </is>
      </c>
      <c r="D206" t="inlineStr">
        <is>
          <t>Semi</t>
        </is>
      </c>
      <c r="E206" t="n">
        <v>4467</v>
      </c>
      <c r="F206" t="n">
        <v>50048.11</v>
      </c>
      <c r="G206" t="n">
        <v>38</v>
      </c>
      <c r="H206" t="inlineStr">
        <is>
          <t>Long Range</t>
        </is>
      </c>
      <c r="I206" t="inlineStr">
        <is>
          <t>RWD</t>
        </is>
      </c>
      <c r="J206" t="inlineStr">
        <is>
          <t>Silver</t>
        </is>
      </c>
      <c r="K206" t="n">
        <v>677</v>
      </c>
      <c r="L206" t="n">
        <v>70</v>
      </c>
      <c r="M206" t="n">
        <v>19.41</v>
      </c>
      <c r="N206" t="n">
        <v>10353.82</v>
      </c>
      <c r="O206" t="n">
        <v>4.22</v>
      </c>
      <c r="P206" t="n">
        <v>5</v>
      </c>
      <c r="Q206" t="n">
        <v>0</v>
      </c>
      <c r="R206" t="n">
        <v>2023.5</v>
      </c>
      <c r="S206" t="b">
        <v>0</v>
      </c>
      <c r="T206" t="n">
        <v>3557816</v>
      </c>
      <c r="U206" t="n">
        <v>6</v>
      </c>
      <c r="V206" t="n">
        <v>0.024</v>
      </c>
      <c r="W206" t="n">
        <v>0.52</v>
      </c>
      <c r="X206" t="n">
        <v>75.7</v>
      </c>
      <c r="Y206">
        <f>VLOOKUP(D206,$AB$2:$AC$7,2,FALSE)</f>
        <v/>
      </c>
      <c r="Z206">
        <f>IF(A206&lt;Y206,"Yes","No")</f>
        <v/>
      </c>
    </row>
    <row r="207">
      <c r="A207" t="n">
        <v>2024</v>
      </c>
      <c r="B207" t="inlineStr">
        <is>
          <t>Q2</t>
        </is>
      </c>
      <c r="C207" t="inlineStr">
        <is>
          <t>Asia</t>
        </is>
      </c>
      <c r="D207" t="inlineStr">
        <is>
          <t>Model X</t>
        </is>
      </c>
      <c r="E207" t="n">
        <v>3893</v>
      </c>
      <c r="F207" t="n">
        <v>80483.41</v>
      </c>
      <c r="G207" t="n">
        <v>44</v>
      </c>
      <c r="H207" t="inlineStr">
        <is>
          <t>Long Range</t>
        </is>
      </c>
      <c r="I207" t="inlineStr">
        <is>
          <t>RWD</t>
        </is>
      </c>
      <c r="J207" t="inlineStr">
        <is>
          <t>White</t>
        </is>
      </c>
      <c r="K207" t="n">
        <v>354</v>
      </c>
      <c r="L207" t="n">
        <v>79</v>
      </c>
      <c r="M207" t="n">
        <v>18.17</v>
      </c>
      <c r="N207" t="n">
        <v>4227.2</v>
      </c>
      <c r="O207" t="n">
        <v>3.85</v>
      </c>
      <c r="P207" t="n">
        <v>4</v>
      </c>
      <c r="Q207" t="n">
        <v>2</v>
      </c>
      <c r="R207" t="n">
        <v>2021.7</v>
      </c>
      <c r="S207" t="b">
        <v>0</v>
      </c>
      <c r="T207" t="n">
        <v>3411420</v>
      </c>
      <c r="U207" t="n">
        <v>5</v>
      </c>
      <c r="V207" t="n">
        <v>0.0247</v>
      </c>
      <c r="W207" t="n">
        <v>1.97</v>
      </c>
      <c r="X207" t="n">
        <v>71.69</v>
      </c>
      <c r="Y207">
        <f>VLOOKUP(D207,$AB$2:$AC$7,2,FALSE)</f>
        <v/>
      </c>
      <c r="Z207">
        <f>IF(A207&lt;Y207,"Yes","No")</f>
        <v/>
      </c>
    </row>
    <row r="208">
      <c r="A208" t="n">
        <v>2018</v>
      </c>
      <c r="B208" t="inlineStr">
        <is>
          <t>Q2</t>
        </is>
      </c>
      <c r="C208" t="inlineStr">
        <is>
          <t>Asia</t>
        </is>
      </c>
      <c r="D208" t="inlineStr">
        <is>
          <t>Model S</t>
        </is>
      </c>
      <c r="E208" t="n">
        <v>3508</v>
      </c>
      <c r="F208" t="n">
        <v>88152.46000000001</v>
      </c>
      <c r="G208" t="n">
        <v>33</v>
      </c>
      <c r="H208" t="inlineStr">
        <is>
          <t>Performance</t>
        </is>
      </c>
      <c r="I208" t="inlineStr">
        <is>
          <t>RWD</t>
        </is>
      </c>
      <c r="J208" t="inlineStr">
        <is>
          <t>White</t>
        </is>
      </c>
      <c r="K208" t="n">
        <v>682</v>
      </c>
      <c r="L208" t="n">
        <v>77</v>
      </c>
      <c r="M208" t="n">
        <v>19.38</v>
      </c>
      <c r="N208" t="n">
        <v>3640.06</v>
      </c>
      <c r="O208" t="n">
        <v>3.78</v>
      </c>
      <c r="P208" t="n">
        <v>4</v>
      </c>
      <c r="Q208" t="n">
        <v>1</v>
      </c>
      <c r="R208" t="n">
        <v>2021.5</v>
      </c>
      <c r="S208" t="b">
        <v>1</v>
      </c>
      <c r="T208" t="n">
        <v>3919694</v>
      </c>
      <c r="U208" t="n">
        <v>11</v>
      </c>
      <c r="V208" t="n">
        <v>0.0507</v>
      </c>
      <c r="W208" t="n">
        <v>1.9</v>
      </c>
      <c r="X208" t="n">
        <v>74.76000000000001</v>
      </c>
      <c r="Y208">
        <f>VLOOKUP(D208,$AB$2:$AC$7,2,FALSE)</f>
        <v/>
      </c>
      <c r="Z208">
        <f>IF(A208&lt;Y208,"Yes","No")</f>
        <v/>
      </c>
    </row>
    <row r="209">
      <c r="A209" t="n">
        <v>2017</v>
      </c>
      <c r="B209" t="inlineStr">
        <is>
          <t>Q1</t>
        </is>
      </c>
      <c r="C209" t="inlineStr">
        <is>
          <t>Europe</t>
        </is>
      </c>
      <c r="D209" t="inlineStr">
        <is>
          <t>Model S</t>
        </is>
      </c>
      <c r="E209" t="n">
        <v>4432</v>
      </c>
      <c r="F209" t="n">
        <v>36881.13</v>
      </c>
      <c r="G209" t="n">
        <v>6</v>
      </c>
      <c r="H209" t="inlineStr">
        <is>
          <t>Long Range</t>
        </is>
      </c>
      <c r="I209" t="inlineStr">
        <is>
          <t>RWD</t>
        </is>
      </c>
      <c r="J209" t="inlineStr">
        <is>
          <t>Black</t>
        </is>
      </c>
      <c r="K209" t="n">
        <v>574</v>
      </c>
      <c r="L209" t="n">
        <v>76</v>
      </c>
      <c r="M209" t="n">
        <v>13.1</v>
      </c>
      <c r="N209" t="n">
        <v>3015.51</v>
      </c>
      <c r="O209" t="n">
        <v>3.52</v>
      </c>
      <c r="P209" t="n">
        <v>5</v>
      </c>
      <c r="Q209" t="n">
        <v>2</v>
      </c>
      <c r="R209" t="n">
        <v>2023.5</v>
      </c>
      <c r="S209" t="b">
        <v>0</v>
      </c>
      <c r="T209" t="n">
        <v>3215504</v>
      </c>
      <c r="U209" t="n">
        <v>9</v>
      </c>
      <c r="V209" t="n">
        <v>0.0727</v>
      </c>
      <c r="W209" t="n">
        <v>0.5600000000000001</v>
      </c>
      <c r="X209" t="n">
        <v>62.41</v>
      </c>
      <c r="Y209">
        <f>VLOOKUP(D209,$AB$2:$AC$7,2,FALSE)</f>
        <v/>
      </c>
      <c r="Z209">
        <f>IF(A209&lt;Y209,"Yes","No")</f>
        <v/>
      </c>
    </row>
    <row r="210">
      <c r="A210" t="n">
        <v>2024</v>
      </c>
      <c r="B210" t="inlineStr">
        <is>
          <t>Q2</t>
        </is>
      </c>
      <c r="C210" t="inlineStr">
        <is>
          <t>North America</t>
        </is>
      </c>
      <c r="D210" t="inlineStr">
        <is>
          <t>Model X</t>
        </is>
      </c>
      <c r="E210" t="n">
        <v>3264</v>
      </c>
      <c r="F210" t="n">
        <v>41067.7</v>
      </c>
      <c r="G210" t="n">
        <v>30</v>
      </c>
      <c r="H210" t="inlineStr">
        <is>
          <t>Standard</t>
        </is>
      </c>
      <c r="I210" t="inlineStr">
        <is>
          <t>AWD</t>
        </is>
      </c>
      <c r="J210" t="inlineStr">
        <is>
          <t>White</t>
        </is>
      </c>
      <c r="K210" t="n">
        <v>545</v>
      </c>
      <c r="L210" t="n">
        <v>83</v>
      </c>
      <c r="M210" t="n">
        <v>13.15</v>
      </c>
      <c r="N210" t="n">
        <v>7994.18</v>
      </c>
      <c r="O210" t="n">
        <v>4.57</v>
      </c>
      <c r="P210" t="n">
        <v>8</v>
      </c>
      <c r="Q210" t="n">
        <v>3</v>
      </c>
      <c r="R210" t="n">
        <v>2021.12</v>
      </c>
      <c r="S210" t="b">
        <v>1</v>
      </c>
      <c r="T210" t="n">
        <v>1770841</v>
      </c>
      <c r="U210" t="n">
        <v>9</v>
      </c>
      <c r="V210" t="n">
        <v>0.0762</v>
      </c>
      <c r="W210" t="n">
        <v>0.6899999999999999</v>
      </c>
      <c r="X210" t="n">
        <v>79.98</v>
      </c>
      <c r="Y210">
        <f>VLOOKUP(D210,$AB$2:$AC$7,2,FALSE)</f>
        <v/>
      </c>
      <c r="Z210">
        <f>IF(A210&lt;Y210,"Yes","No")</f>
        <v/>
      </c>
    </row>
    <row r="211">
      <c r="A211" t="n">
        <v>2015</v>
      </c>
      <c r="B211" t="inlineStr">
        <is>
          <t>Q4</t>
        </is>
      </c>
      <c r="C211" t="inlineStr">
        <is>
          <t>Australia</t>
        </is>
      </c>
      <c r="D211" t="inlineStr">
        <is>
          <t>Semi</t>
        </is>
      </c>
      <c r="E211" t="n">
        <v>2606</v>
      </c>
      <c r="F211" t="n">
        <v>114578.3</v>
      </c>
      <c r="G211" t="n">
        <v>10</v>
      </c>
      <c r="H211" t="inlineStr">
        <is>
          <t>Performance</t>
        </is>
      </c>
      <c r="I211" t="inlineStr">
        <is>
          <t>AWD</t>
        </is>
      </c>
      <c r="J211" t="inlineStr">
        <is>
          <t>Green</t>
        </is>
      </c>
      <c r="K211" t="n">
        <v>631</v>
      </c>
      <c r="L211" t="n">
        <v>63</v>
      </c>
      <c r="M211" t="n">
        <v>14.47</v>
      </c>
      <c r="N211" t="n">
        <v>3811.17</v>
      </c>
      <c r="O211" t="n">
        <v>3.95</v>
      </c>
      <c r="P211" t="n">
        <v>6</v>
      </c>
      <c r="Q211" t="n">
        <v>0</v>
      </c>
      <c r="R211" t="n">
        <v>2021.2</v>
      </c>
      <c r="S211" t="b">
        <v>1</v>
      </c>
      <c r="T211" t="n">
        <v>3742011</v>
      </c>
      <c r="U211" t="n">
        <v>7</v>
      </c>
      <c r="V211" t="n">
        <v>0.0114</v>
      </c>
      <c r="W211" t="n">
        <v>2.09</v>
      </c>
      <c r="X211" t="n">
        <v>77.54000000000001</v>
      </c>
      <c r="Y211">
        <f>VLOOKUP(D211,$AB$2:$AC$7,2,FALSE)</f>
        <v/>
      </c>
      <c r="Z211">
        <f>IF(A211&lt;Y211,"Yes","No")</f>
        <v/>
      </c>
    </row>
    <row r="212">
      <c r="A212" t="n">
        <v>2018</v>
      </c>
      <c r="B212" t="inlineStr">
        <is>
          <t>Q2</t>
        </is>
      </c>
      <c r="C212" t="inlineStr">
        <is>
          <t>North America</t>
        </is>
      </c>
      <c r="D212" t="inlineStr">
        <is>
          <t>Model S</t>
        </is>
      </c>
      <c r="E212" t="n">
        <v>4810</v>
      </c>
      <c r="F212" t="n">
        <v>101595.4</v>
      </c>
      <c r="G212" t="n">
        <v>30</v>
      </c>
      <c r="H212" t="inlineStr">
        <is>
          <t>Performance</t>
        </is>
      </c>
      <c r="I212" t="inlineStr">
        <is>
          <t>AWD</t>
        </is>
      </c>
      <c r="J212" t="inlineStr">
        <is>
          <t>White</t>
        </is>
      </c>
      <c r="K212" t="n">
        <v>395</v>
      </c>
      <c r="L212" t="n">
        <v>45</v>
      </c>
      <c r="M212" t="n">
        <v>14.89</v>
      </c>
      <c r="N212" t="n">
        <v>3284.28</v>
      </c>
      <c r="O212" t="n">
        <v>4.43</v>
      </c>
      <c r="P212" t="n">
        <v>4</v>
      </c>
      <c r="Q212" t="n">
        <v>0</v>
      </c>
      <c r="R212" t="n">
        <v>2022.11</v>
      </c>
      <c r="S212" t="b">
        <v>1</v>
      </c>
      <c r="T212" t="n">
        <v>4599257</v>
      </c>
      <c r="U212" t="n">
        <v>3</v>
      </c>
      <c r="V212" t="n">
        <v>0.0213</v>
      </c>
      <c r="W212" t="n">
        <v>0.97</v>
      </c>
      <c r="X212" t="n">
        <v>89.45</v>
      </c>
      <c r="Y212">
        <f>VLOOKUP(D212,$AB$2:$AC$7,2,FALSE)</f>
        <v/>
      </c>
      <c r="Z212">
        <f>IF(A212&lt;Y212,"Yes","No")</f>
        <v/>
      </c>
    </row>
    <row r="213">
      <c r="A213" t="n">
        <v>2024</v>
      </c>
      <c r="B213" t="inlineStr">
        <is>
          <t>Q3</t>
        </is>
      </c>
      <c r="C213" t="inlineStr">
        <is>
          <t>Australia</t>
        </is>
      </c>
      <c r="D213" t="inlineStr">
        <is>
          <t>Semi</t>
        </is>
      </c>
      <c r="E213" t="n">
        <v>1630</v>
      </c>
      <c r="F213" t="n">
        <v>36814.99</v>
      </c>
      <c r="G213" t="n">
        <v>24</v>
      </c>
      <c r="H213" t="inlineStr">
        <is>
          <t>Long Range</t>
        </is>
      </c>
      <c r="I213" t="inlineStr">
        <is>
          <t>AWD</t>
        </is>
      </c>
      <c r="J213" t="inlineStr">
        <is>
          <t>White</t>
        </is>
      </c>
      <c r="K213" t="n">
        <v>370</v>
      </c>
      <c r="L213" t="n">
        <v>61</v>
      </c>
      <c r="M213" t="n">
        <v>21.48</v>
      </c>
      <c r="N213" t="n">
        <v>2637.42</v>
      </c>
      <c r="O213" t="n">
        <v>4.31</v>
      </c>
      <c r="P213" t="n">
        <v>8</v>
      </c>
      <c r="Q213" t="n">
        <v>1</v>
      </c>
      <c r="R213" t="n">
        <v>2024.3</v>
      </c>
      <c r="S213" t="b">
        <v>0</v>
      </c>
      <c r="T213" t="n">
        <v>2815231</v>
      </c>
      <c r="U213" t="n">
        <v>9</v>
      </c>
      <c r="V213" t="n">
        <v>0.0348</v>
      </c>
      <c r="W213" t="n">
        <v>2.16</v>
      </c>
      <c r="X213" t="n">
        <v>87.43000000000001</v>
      </c>
      <c r="Y213">
        <f>VLOOKUP(D213,$AB$2:$AC$7,2,FALSE)</f>
        <v/>
      </c>
      <c r="Z213">
        <f>IF(A213&lt;Y213,"Yes","No")</f>
        <v/>
      </c>
    </row>
    <row r="214">
      <c r="A214" t="n">
        <v>2020</v>
      </c>
      <c r="B214" t="inlineStr">
        <is>
          <t>Q2</t>
        </is>
      </c>
      <c r="C214" t="inlineStr">
        <is>
          <t>North America</t>
        </is>
      </c>
      <c r="D214" t="inlineStr">
        <is>
          <t>Cybertruck</t>
        </is>
      </c>
      <c r="E214" t="n">
        <v>1319</v>
      </c>
      <c r="F214" t="n">
        <v>73197.66</v>
      </c>
      <c r="G214" t="n">
        <v>52</v>
      </c>
      <c r="H214" t="inlineStr">
        <is>
          <t>Long Range</t>
        </is>
      </c>
      <c r="I214" t="inlineStr">
        <is>
          <t>RWD</t>
        </is>
      </c>
      <c r="J214" t="inlineStr">
        <is>
          <t>Blue</t>
        </is>
      </c>
      <c r="K214" t="n">
        <v>350</v>
      </c>
      <c r="L214" t="n">
        <v>79</v>
      </c>
      <c r="M214" t="n">
        <v>20.66</v>
      </c>
      <c r="N214" t="n">
        <v>1659.42</v>
      </c>
      <c r="O214" t="n">
        <v>3.78</v>
      </c>
      <c r="P214" t="n">
        <v>4</v>
      </c>
      <c r="Q214" t="n">
        <v>2</v>
      </c>
      <c r="R214" t="n">
        <v>2024.4</v>
      </c>
      <c r="S214" t="b">
        <v>0</v>
      </c>
      <c r="T214" t="n">
        <v>631349</v>
      </c>
      <c r="U214" t="n">
        <v>12</v>
      </c>
      <c r="V214" t="n">
        <v>0.097</v>
      </c>
      <c r="W214" t="n">
        <v>2.14</v>
      </c>
      <c r="X214" t="n">
        <v>65.7</v>
      </c>
      <c r="Y214">
        <f>VLOOKUP(D214,$AB$2:$AC$7,2,FALSE)</f>
        <v/>
      </c>
      <c r="Z214">
        <f>IF(A214&lt;Y214,"Yes","No")</f>
        <v/>
      </c>
    </row>
    <row r="215">
      <c r="A215" t="n">
        <v>2022</v>
      </c>
      <c r="B215" t="inlineStr">
        <is>
          <t>Q4</t>
        </is>
      </c>
      <c r="C215" t="inlineStr">
        <is>
          <t>South America</t>
        </is>
      </c>
      <c r="D215" t="inlineStr">
        <is>
          <t>Model 3</t>
        </is>
      </c>
      <c r="E215" t="n">
        <v>2369</v>
      </c>
      <c r="F215" t="n">
        <v>62421</v>
      </c>
      <c r="G215" t="n">
        <v>41</v>
      </c>
      <c r="H215" t="inlineStr">
        <is>
          <t>Long Range</t>
        </is>
      </c>
      <c r="I215" t="inlineStr">
        <is>
          <t>AWD</t>
        </is>
      </c>
      <c r="J215" t="inlineStr">
        <is>
          <t>Red</t>
        </is>
      </c>
      <c r="K215" t="n">
        <v>617</v>
      </c>
      <c r="L215" t="n">
        <v>72</v>
      </c>
      <c r="M215" t="n">
        <v>13.8</v>
      </c>
      <c r="N215" t="n">
        <v>5141.65</v>
      </c>
      <c r="O215" t="n">
        <v>3.69</v>
      </c>
      <c r="P215" t="n">
        <v>4</v>
      </c>
      <c r="Q215" t="n">
        <v>1</v>
      </c>
      <c r="R215" t="n">
        <v>2020.8</v>
      </c>
      <c r="S215" t="b">
        <v>1</v>
      </c>
      <c r="T215" t="n">
        <v>928405</v>
      </c>
      <c r="U215" t="n">
        <v>2</v>
      </c>
      <c r="V215" t="n">
        <v>0.0614</v>
      </c>
      <c r="W215" t="n">
        <v>2.17</v>
      </c>
      <c r="X215" t="n">
        <v>79.73999999999999</v>
      </c>
      <c r="Y215">
        <f>VLOOKUP(D215,$AB$2:$AC$7,2,FALSE)</f>
        <v/>
      </c>
      <c r="Z215">
        <f>IF(A215&lt;Y215,"Yes","No")</f>
        <v/>
      </c>
    </row>
    <row r="216">
      <c r="A216" t="n">
        <v>2020</v>
      </c>
      <c r="B216" t="inlineStr">
        <is>
          <t>Q3</t>
        </is>
      </c>
      <c r="C216" t="inlineStr">
        <is>
          <t>North America</t>
        </is>
      </c>
      <c r="D216" t="inlineStr">
        <is>
          <t>Model X</t>
        </is>
      </c>
      <c r="E216" t="n">
        <v>1858</v>
      </c>
      <c r="F216" t="n">
        <v>86506.06</v>
      </c>
      <c r="G216" t="n">
        <v>4</v>
      </c>
      <c r="H216" t="inlineStr">
        <is>
          <t>Standard</t>
        </is>
      </c>
      <c r="I216" t="inlineStr">
        <is>
          <t>AWD</t>
        </is>
      </c>
      <c r="J216" t="inlineStr">
        <is>
          <t>Green</t>
        </is>
      </c>
      <c r="K216" t="n">
        <v>601</v>
      </c>
      <c r="L216" t="n">
        <v>89</v>
      </c>
      <c r="M216" t="n">
        <v>23.68</v>
      </c>
      <c r="N216" t="n">
        <v>1226.12</v>
      </c>
      <c r="O216" t="n">
        <v>4.7</v>
      </c>
      <c r="P216" t="n">
        <v>4</v>
      </c>
      <c r="Q216" t="n">
        <v>2</v>
      </c>
      <c r="R216" t="n">
        <v>2024.12</v>
      </c>
      <c r="S216" t="b">
        <v>0</v>
      </c>
      <c r="T216" t="n">
        <v>3195972</v>
      </c>
      <c r="U216" t="n">
        <v>2</v>
      </c>
      <c r="V216" t="n">
        <v>0.08409999999999999</v>
      </c>
      <c r="W216" t="n">
        <v>1.03</v>
      </c>
      <c r="X216" t="n">
        <v>61.22</v>
      </c>
      <c r="Y216">
        <f>VLOOKUP(D216,$AB$2:$AC$7,2,FALSE)</f>
        <v/>
      </c>
      <c r="Z216">
        <f>IF(A216&lt;Y216,"Yes","No")</f>
        <v/>
      </c>
    </row>
    <row r="217">
      <c r="A217" t="n">
        <v>2013</v>
      </c>
      <c r="B217" t="inlineStr">
        <is>
          <t>Q3</t>
        </is>
      </c>
      <c r="C217" t="inlineStr">
        <is>
          <t>North America</t>
        </is>
      </c>
      <c r="D217" t="inlineStr">
        <is>
          <t>Model 3</t>
        </is>
      </c>
      <c r="E217" t="n">
        <v>4305</v>
      </c>
      <c r="F217" t="n">
        <v>43255.14</v>
      </c>
      <c r="G217" t="n">
        <v>46</v>
      </c>
      <c r="H217" t="inlineStr">
        <is>
          <t>Standard</t>
        </is>
      </c>
      <c r="I217" t="inlineStr">
        <is>
          <t>RWD</t>
        </is>
      </c>
      <c r="J217" t="inlineStr">
        <is>
          <t>Black</t>
        </is>
      </c>
      <c r="K217" t="n">
        <v>448</v>
      </c>
      <c r="L217" t="n">
        <v>63</v>
      </c>
      <c r="M217" t="n">
        <v>20.88</v>
      </c>
      <c r="N217" t="n">
        <v>7060.44</v>
      </c>
      <c r="O217" t="n">
        <v>4.92</v>
      </c>
      <c r="P217" t="n">
        <v>8</v>
      </c>
      <c r="Q217" t="n">
        <v>0</v>
      </c>
      <c r="R217" t="n">
        <v>2024.6</v>
      </c>
      <c r="S217" t="b">
        <v>0</v>
      </c>
      <c r="T217" t="n">
        <v>3682564</v>
      </c>
      <c r="U217" t="n">
        <v>3</v>
      </c>
      <c r="V217" t="n">
        <v>0.025</v>
      </c>
      <c r="W217" t="n">
        <v>0.86</v>
      </c>
      <c r="X217" t="n">
        <v>72.05</v>
      </c>
      <c r="Y217">
        <f>VLOOKUP(D217,$AB$2:$AC$7,2,FALSE)</f>
        <v/>
      </c>
      <c r="Z217">
        <f>IF(A217&lt;Y217,"Yes","No")</f>
        <v/>
      </c>
    </row>
    <row r="218">
      <c r="A218" t="n">
        <v>2017</v>
      </c>
      <c r="B218" t="inlineStr">
        <is>
          <t>Q2</t>
        </is>
      </c>
      <c r="C218" t="inlineStr">
        <is>
          <t>South America</t>
        </is>
      </c>
      <c r="D218" t="inlineStr">
        <is>
          <t>Cybertruck</t>
        </is>
      </c>
      <c r="E218" t="n">
        <v>3679</v>
      </c>
      <c r="F218" t="n">
        <v>114349.2</v>
      </c>
      <c r="G218" t="n">
        <v>57</v>
      </c>
      <c r="H218" t="inlineStr">
        <is>
          <t>Long Range</t>
        </is>
      </c>
      <c r="I218" t="inlineStr">
        <is>
          <t>RWD</t>
        </is>
      </c>
      <c r="J218" t="inlineStr">
        <is>
          <t>White</t>
        </is>
      </c>
      <c r="K218" t="n">
        <v>561</v>
      </c>
      <c r="L218" t="n">
        <v>78</v>
      </c>
      <c r="M218" t="n">
        <v>20.6</v>
      </c>
      <c r="N218" t="n">
        <v>7918.35</v>
      </c>
      <c r="O218" t="n">
        <v>3.99</v>
      </c>
      <c r="P218" t="n">
        <v>5</v>
      </c>
      <c r="Q218" t="n">
        <v>1</v>
      </c>
      <c r="R218" t="n">
        <v>2023.9</v>
      </c>
      <c r="S218" t="b">
        <v>0</v>
      </c>
      <c r="T218" t="n">
        <v>3119970</v>
      </c>
      <c r="U218" t="n">
        <v>9</v>
      </c>
      <c r="V218" t="n">
        <v>0.0503</v>
      </c>
      <c r="W218" t="n">
        <v>1.29</v>
      </c>
      <c r="X218" t="n">
        <v>81.79000000000001</v>
      </c>
      <c r="Y218">
        <f>VLOOKUP(D218,$AB$2:$AC$7,2,FALSE)</f>
        <v/>
      </c>
      <c r="Z218">
        <f>IF(A218&lt;Y218,"Yes","No")</f>
        <v/>
      </c>
    </row>
    <row r="219">
      <c r="A219" t="n">
        <v>2016</v>
      </c>
      <c r="B219" t="inlineStr">
        <is>
          <t>Q1</t>
        </is>
      </c>
      <c r="C219" t="inlineStr">
        <is>
          <t>South America</t>
        </is>
      </c>
      <c r="D219" t="inlineStr">
        <is>
          <t>Model 3</t>
        </is>
      </c>
      <c r="E219" t="n">
        <v>2522</v>
      </c>
      <c r="F219" t="n">
        <v>35558.35</v>
      </c>
      <c r="G219" t="n">
        <v>14</v>
      </c>
      <c r="H219" t="inlineStr">
        <is>
          <t>Standard</t>
        </is>
      </c>
      <c r="I219" t="inlineStr">
        <is>
          <t>RWD</t>
        </is>
      </c>
      <c r="J219" t="inlineStr">
        <is>
          <t>Red</t>
        </is>
      </c>
      <c r="K219" t="n">
        <v>491</v>
      </c>
      <c r="L219" t="n">
        <v>88</v>
      </c>
      <c r="M219" t="n">
        <v>19.64</v>
      </c>
      <c r="N219" t="n">
        <v>4067.09</v>
      </c>
      <c r="O219" t="n">
        <v>4.89</v>
      </c>
      <c r="P219" t="n">
        <v>5</v>
      </c>
      <c r="Q219" t="n">
        <v>0</v>
      </c>
      <c r="R219" t="n">
        <v>2020.8</v>
      </c>
      <c r="S219" t="b">
        <v>0</v>
      </c>
      <c r="T219" t="n">
        <v>1409521</v>
      </c>
      <c r="U219" t="n">
        <v>4</v>
      </c>
      <c r="V219" t="n">
        <v>0.0338</v>
      </c>
      <c r="W219" t="n">
        <v>2.28</v>
      </c>
      <c r="X219" t="n">
        <v>67.5</v>
      </c>
      <c r="Y219">
        <f>VLOOKUP(D219,$AB$2:$AC$7,2,FALSE)</f>
        <v/>
      </c>
      <c r="Z219">
        <f>IF(A219&lt;Y219,"Yes","No")</f>
        <v/>
      </c>
    </row>
    <row r="220">
      <c r="A220" t="n">
        <v>2016</v>
      </c>
      <c r="B220" t="inlineStr">
        <is>
          <t>Q3</t>
        </is>
      </c>
      <c r="C220" t="inlineStr">
        <is>
          <t>North America</t>
        </is>
      </c>
      <c r="D220" t="inlineStr">
        <is>
          <t>Cybertruck</t>
        </is>
      </c>
      <c r="E220" t="n">
        <v>3325</v>
      </c>
      <c r="F220" t="n">
        <v>83370.52</v>
      </c>
      <c r="G220" t="n">
        <v>13</v>
      </c>
      <c r="H220" t="inlineStr">
        <is>
          <t>Performance</t>
        </is>
      </c>
      <c r="I220" t="inlineStr">
        <is>
          <t>AWD</t>
        </is>
      </c>
      <c r="J220" t="inlineStr">
        <is>
          <t>Green</t>
        </is>
      </c>
      <c r="K220" t="n">
        <v>516</v>
      </c>
      <c r="L220" t="n">
        <v>80</v>
      </c>
      <c r="M220" t="n">
        <v>18.79</v>
      </c>
      <c r="N220" t="n">
        <v>4909.54</v>
      </c>
      <c r="O220" t="n">
        <v>4.85</v>
      </c>
      <c r="P220" t="n">
        <v>4</v>
      </c>
      <c r="Q220" t="n">
        <v>2</v>
      </c>
      <c r="R220" t="n">
        <v>2020.12</v>
      </c>
      <c r="S220" t="b">
        <v>0</v>
      </c>
      <c r="T220" t="n">
        <v>758316</v>
      </c>
      <c r="U220" t="n">
        <v>2</v>
      </c>
      <c r="V220" t="n">
        <v>0.093</v>
      </c>
      <c r="W220" t="n">
        <v>1.17</v>
      </c>
      <c r="X220" t="n">
        <v>86.39</v>
      </c>
      <c r="Y220">
        <f>VLOOKUP(D220,$AB$2:$AC$7,2,FALSE)</f>
        <v/>
      </c>
      <c r="Z220">
        <f>IF(A220&lt;Y220,"Yes","No")</f>
        <v/>
      </c>
    </row>
    <row r="221">
      <c r="A221" t="n">
        <v>2018</v>
      </c>
      <c r="B221" t="inlineStr">
        <is>
          <t>Q4</t>
        </is>
      </c>
      <c r="C221" t="inlineStr">
        <is>
          <t>North America</t>
        </is>
      </c>
      <c r="D221" t="inlineStr">
        <is>
          <t>Model 3</t>
        </is>
      </c>
      <c r="E221" t="n">
        <v>4984</v>
      </c>
      <c r="F221" t="n">
        <v>113935.52</v>
      </c>
      <c r="G221" t="n">
        <v>40</v>
      </c>
      <c r="H221" t="inlineStr">
        <is>
          <t>Performance</t>
        </is>
      </c>
      <c r="I221" t="inlineStr">
        <is>
          <t>RWD</t>
        </is>
      </c>
      <c r="J221" t="inlineStr">
        <is>
          <t>Red</t>
        </is>
      </c>
      <c r="K221" t="n">
        <v>506</v>
      </c>
      <c r="L221" t="n">
        <v>63</v>
      </c>
      <c r="M221" t="n">
        <v>13.49</v>
      </c>
      <c r="N221" t="n">
        <v>7874.02</v>
      </c>
      <c r="O221" t="n">
        <v>3.72</v>
      </c>
      <c r="P221" t="n">
        <v>5</v>
      </c>
      <c r="Q221" t="n">
        <v>1</v>
      </c>
      <c r="R221" t="n">
        <v>2020.11</v>
      </c>
      <c r="S221" t="b">
        <v>0</v>
      </c>
      <c r="T221" t="n">
        <v>3838099</v>
      </c>
      <c r="U221" t="n">
        <v>11</v>
      </c>
      <c r="V221" t="n">
        <v>0.0618</v>
      </c>
      <c r="W221" t="n">
        <v>0.68</v>
      </c>
      <c r="X221" t="n">
        <v>72.95999999999999</v>
      </c>
      <c r="Y221">
        <f>VLOOKUP(D221,$AB$2:$AC$7,2,FALSE)</f>
        <v/>
      </c>
      <c r="Z221">
        <f>IF(A221&lt;Y221,"Yes","No")</f>
        <v/>
      </c>
    </row>
    <row r="222">
      <c r="A222" t="n">
        <v>2024</v>
      </c>
      <c r="B222" t="inlineStr">
        <is>
          <t>Q4</t>
        </is>
      </c>
      <c r="C222" t="inlineStr">
        <is>
          <t>Europe</t>
        </is>
      </c>
      <c r="D222" t="inlineStr">
        <is>
          <t>Model 3</t>
        </is>
      </c>
      <c r="E222" t="n">
        <v>2803</v>
      </c>
      <c r="F222" t="n">
        <v>42016.33</v>
      </c>
      <c r="G222" t="n">
        <v>36</v>
      </c>
      <c r="H222" t="inlineStr">
        <is>
          <t>Performance</t>
        </is>
      </c>
      <c r="I222" t="inlineStr">
        <is>
          <t>AWD</t>
        </is>
      </c>
      <c r="J222" t="inlineStr">
        <is>
          <t>Silver</t>
        </is>
      </c>
      <c r="K222" t="n">
        <v>554</v>
      </c>
      <c r="L222" t="n">
        <v>46</v>
      </c>
      <c r="M222" t="n">
        <v>14.02</v>
      </c>
      <c r="N222" t="n">
        <v>4214.72</v>
      </c>
      <c r="O222" t="n">
        <v>4.66</v>
      </c>
      <c r="P222" t="n">
        <v>5</v>
      </c>
      <c r="Q222" t="n">
        <v>1</v>
      </c>
      <c r="R222" t="n">
        <v>2023.9</v>
      </c>
      <c r="S222" t="b">
        <v>1</v>
      </c>
      <c r="T222" t="n">
        <v>4192475</v>
      </c>
      <c r="U222" t="n">
        <v>8</v>
      </c>
      <c r="V222" t="n">
        <v>0.0687</v>
      </c>
      <c r="W222" t="n">
        <v>0.89</v>
      </c>
      <c r="X222" t="n">
        <v>78.48</v>
      </c>
      <c r="Y222">
        <f>VLOOKUP(D222,$AB$2:$AC$7,2,FALSE)</f>
        <v/>
      </c>
      <c r="Z222">
        <f>IF(A222&lt;Y222,"Yes","No")</f>
        <v/>
      </c>
    </row>
    <row r="223">
      <c r="A223" t="n">
        <v>2023</v>
      </c>
      <c r="B223" t="inlineStr">
        <is>
          <t>Q2</t>
        </is>
      </c>
      <c r="C223" t="inlineStr">
        <is>
          <t>Europe</t>
        </is>
      </c>
      <c r="D223" t="inlineStr">
        <is>
          <t>Model S</t>
        </is>
      </c>
      <c r="E223" t="n">
        <v>2231</v>
      </c>
      <c r="F223" t="n">
        <v>101025.61</v>
      </c>
      <c r="G223" t="n">
        <v>20</v>
      </c>
      <c r="H223" t="inlineStr">
        <is>
          <t>Performance</t>
        </is>
      </c>
      <c r="I223" t="inlineStr">
        <is>
          <t>AWD</t>
        </is>
      </c>
      <c r="J223" t="inlineStr">
        <is>
          <t>Red</t>
        </is>
      </c>
      <c r="K223" t="n">
        <v>693</v>
      </c>
      <c r="L223" t="n">
        <v>56</v>
      </c>
      <c r="M223" t="n">
        <v>18.08</v>
      </c>
      <c r="N223" t="n">
        <v>2669.65</v>
      </c>
      <c r="O223" t="n">
        <v>3.98</v>
      </c>
      <c r="P223" t="n">
        <v>4</v>
      </c>
      <c r="Q223" t="n">
        <v>2</v>
      </c>
      <c r="R223" t="n">
        <v>2021.6</v>
      </c>
      <c r="S223" t="b">
        <v>0</v>
      </c>
      <c r="T223" t="n">
        <v>1323214</v>
      </c>
      <c r="U223" t="n">
        <v>9</v>
      </c>
      <c r="V223" t="n">
        <v>0.014</v>
      </c>
      <c r="W223" t="n">
        <v>2.14</v>
      </c>
      <c r="X223" t="n">
        <v>65.98999999999999</v>
      </c>
      <c r="Y223">
        <f>VLOOKUP(D223,$AB$2:$AC$7,2,FALSE)</f>
        <v/>
      </c>
      <c r="Z223">
        <f>IF(A223&lt;Y223,"Yes","No")</f>
        <v/>
      </c>
    </row>
    <row r="224">
      <c r="A224" t="n">
        <v>2017</v>
      </c>
      <c r="B224" t="inlineStr">
        <is>
          <t>Q2</t>
        </is>
      </c>
      <c r="C224" t="inlineStr">
        <is>
          <t>North America</t>
        </is>
      </c>
      <c r="D224" t="inlineStr">
        <is>
          <t>Model S</t>
        </is>
      </c>
      <c r="E224" t="n">
        <v>496</v>
      </c>
      <c r="F224" t="n">
        <v>55659.11</v>
      </c>
      <c r="G224" t="n">
        <v>39</v>
      </c>
      <c r="H224" t="inlineStr">
        <is>
          <t>Standard</t>
        </is>
      </c>
      <c r="I224" t="inlineStr">
        <is>
          <t>RWD</t>
        </is>
      </c>
      <c r="J224" t="inlineStr">
        <is>
          <t>Red</t>
        </is>
      </c>
      <c r="K224" t="n">
        <v>525</v>
      </c>
      <c r="L224" t="n">
        <v>74</v>
      </c>
      <c r="M224" t="n">
        <v>22.65</v>
      </c>
      <c r="N224" t="n">
        <v>550.6799999999999</v>
      </c>
      <c r="O224" t="n">
        <v>4.21</v>
      </c>
      <c r="P224" t="n">
        <v>6</v>
      </c>
      <c r="Q224" t="n">
        <v>1</v>
      </c>
      <c r="R224" t="n">
        <v>2024.4</v>
      </c>
      <c r="S224" t="b">
        <v>1</v>
      </c>
      <c r="T224" t="n">
        <v>4683738</v>
      </c>
      <c r="U224" t="n">
        <v>10</v>
      </c>
      <c r="V224" t="n">
        <v>0.0775</v>
      </c>
      <c r="W224" t="n">
        <v>1.6</v>
      </c>
      <c r="X224" t="n">
        <v>78.69</v>
      </c>
      <c r="Y224">
        <f>VLOOKUP(D224,$AB$2:$AC$7,2,FALSE)</f>
        <v/>
      </c>
      <c r="Z224">
        <f>IF(A224&lt;Y224,"Yes","No")</f>
        <v/>
      </c>
    </row>
    <row r="225">
      <c r="A225" t="n">
        <v>2014</v>
      </c>
      <c r="B225" t="inlineStr">
        <is>
          <t>Q1</t>
        </is>
      </c>
      <c r="C225" t="inlineStr">
        <is>
          <t>Australia</t>
        </is>
      </c>
      <c r="D225" t="inlineStr">
        <is>
          <t>Cybertruck</t>
        </is>
      </c>
      <c r="E225" t="n">
        <v>4365</v>
      </c>
      <c r="F225" t="n">
        <v>38695.97</v>
      </c>
      <c r="G225" t="n">
        <v>10</v>
      </c>
      <c r="H225" t="inlineStr">
        <is>
          <t>Standard</t>
        </is>
      </c>
      <c r="I225" t="inlineStr">
        <is>
          <t>RWD</t>
        </is>
      </c>
      <c r="J225" t="inlineStr">
        <is>
          <t>Black</t>
        </is>
      </c>
      <c r="K225" t="n">
        <v>666</v>
      </c>
      <c r="L225" t="n">
        <v>47</v>
      </c>
      <c r="M225" t="n">
        <v>13.64</v>
      </c>
      <c r="N225" t="n">
        <v>7898.54</v>
      </c>
      <c r="O225" t="n">
        <v>3.51</v>
      </c>
      <c r="P225" t="n">
        <v>8</v>
      </c>
      <c r="Q225" t="n">
        <v>2</v>
      </c>
      <c r="R225" t="n">
        <v>2022.2</v>
      </c>
      <c r="S225" t="b">
        <v>1</v>
      </c>
      <c r="T225" t="n">
        <v>2553630</v>
      </c>
      <c r="U225" t="n">
        <v>12</v>
      </c>
      <c r="V225" t="n">
        <v>0.0448</v>
      </c>
      <c r="W225" t="n">
        <v>2.46</v>
      </c>
      <c r="X225" t="n">
        <v>75.26000000000001</v>
      </c>
      <c r="Y225">
        <f>VLOOKUP(D225,$AB$2:$AC$7,2,FALSE)</f>
        <v/>
      </c>
      <c r="Z225">
        <f>IF(A225&lt;Y225,"Yes","No")</f>
        <v/>
      </c>
    </row>
    <row r="226">
      <c r="A226" t="n">
        <v>2023</v>
      </c>
      <c r="B226" t="inlineStr">
        <is>
          <t>Q1</t>
        </is>
      </c>
      <c r="C226" t="inlineStr">
        <is>
          <t>Asia</t>
        </is>
      </c>
      <c r="D226" t="inlineStr">
        <is>
          <t>Model Y</t>
        </is>
      </c>
      <c r="E226" t="n">
        <v>4941</v>
      </c>
      <c r="F226" t="n">
        <v>80182.64999999999</v>
      </c>
      <c r="G226" t="n">
        <v>11</v>
      </c>
      <c r="H226" t="inlineStr">
        <is>
          <t>Standard</t>
        </is>
      </c>
      <c r="I226" t="inlineStr">
        <is>
          <t>RWD</t>
        </is>
      </c>
      <c r="J226" t="inlineStr">
        <is>
          <t>Silver</t>
        </is>
      </c>
      <c r="K226" t="n">
        <v>361</v>
      </c>
      <c r="L226" t="n">
        <v>32</v>
      </c>
      <c r="M226" t="n">
        <v>15.97</v>
      </c>
      <c r="N226" t="n">
        <v>7702.18</v>
      </c>
      <c r="O226" t="n">
        <v>4</v>
      </c>
      <c r="P226" t="n">
        <v>8</v>
      </c>
      <c r="Q226" t="n">
        <v>1</v>
      </c>
      <c r="R226" t="n">
        <v>2020.6</v>
      </c>
      <c r="S226" t="b">
        <v>0</v>
      </c>
      <c r="T226" t="n">
        <v>3081127</v>
      </c>
      <c r="U226" t="n">
        <v>12</v>
      </c>
      <c r="V226" t="n">
        <v>0.0372</v>
      </c>
      <c r="W226" t="n">
        <v>2.49</v>
      </c>
      <c r="X226" t="n">
        <v>89.36</v>
      </c>
      <c r="Y226">
        <f>VLOOKUP(D226,$AB$2:$AC$7,2,FALSE)</f>
        <v/>
      </c>
      <c r="Z226">
        <f>IF(A226&lt;Y226,"Yes","No")</f>
        <v/>
      </c>
    </row>
    <row r="227">
      <c r="A227" t="n">
        <v>2016</v>
      </c>
      <c r="B227" t="inlineStr">
        <is>
          <t>Q1</t>
        </is>
      </c>
      <c r="C227" t="inlineStr">
        <is>
          <t>Asia</t>
        </is>
      </c>
      <c r="D227" t="inlineStr">
        <is>
          <t>Model Y</t>
        </is>
      </c>
      <c r="E227" t="n">
        <v>291</v>
      </c>
      <c r="F227" t="n">
        <v>115251.62</v>
      </c>
      <c r="G227" t="n">
        <v>60</v>
      </c>
      <c r="H227" t="inlineStr">
        <is>
          <t>Long Range</t>
        </is>
      </c>
      <c r="I227" t="inlineStr">
        <is>
          <t>AWD</t>
        </is>
      </c>
      <c r="J227" t="inlineStr">
        <is>
          <t>Black</t>
        </is>
      </c>
      <c r="K227" t="n">
        <v>524</v>
      </c>
      <c r="L227" t="n">
        <v>87</v>
      </c>
      <c r="M227" t="n">
        <v>17.71</v>
      </c>
      <c r="N227" t="n">
        <v>225.39</v>
      </c>
      <c r="O227" t="n">
        <v>4.59</v>
      </c>
      <c r="P227" t="n">
        <v>5</v>
      </c>
      <c r="Q227" t="n">
        <v>3</v>
      </c>
      <c r="R227" t="n">
        <v>2021.1</v>
      </c>
      <c r="S227" t="b">
        <v>1</v>
      </c>
      <c r="T227" t="n">
        <v>3677447</v>
      </c>
      <c r="U227" t="n">
        <v>6</v>
      </c>
      <c r="V227" t="n">
        <v>0.0919</v>
      </c>
      <c r="W227" t="n">
        <v>1.16</v>
      </c>
      <c r="X227" t="n">
        <v>76.27</v>
      </c>
      <c r="Y227">
        <f>VLOOKUP(D227,$AB$2:$AC$7,2,FALSE)</f>
        <v/>
      </c>
      <c r="Z227">
        <f>IF(A227&lt;Y227,"Yes","No")</f>
        <v/>
      </c>
    </row>
    <row r="228">
      <c r="A228" t="n">
        <v>2015</v>
      </c>
      <c r="B228" t="inlineStr">
        <is>
          <t>Q2</t>
        </is>
      </c>
      <c r="C228" t="inlineStr">
        <is>
          <t>South America</t>
        </is>
      </c>
      <c r="D228" t="inlineStr">
        <is>
          <t>Cybertruck</t>
        </is>
      </c>
      <c r="E228" t="n">
        <v>1707</v>
      </c>
      <c r="F228" t="n">
        <v>108319.95</v>
      </c>
      <c r="G228" t="n">
        <v>19</v>
      </c>
      <c r="H228" t="inlineStr">
        <is>
          <t>Performance</t>
        </is>
      </c>
      <c r="I228" t="inlineStr">
        <is>
          <t>AWD</t>
        </is>
      </c>
      <c r="J228" t="inlineStr">
        <is>
          <t>Blue</t>
        </is>
      </c>
      <c r="K228" t="n">
        <v>424</v>
      </c>
      <c r="L228" t="n">
        <v>71</v>
      </c>
      <c r="M228" t="n">
        <v>24.2</v>
      </c>
      <c r="N228" t="n">
        <v>3984.52</v>
      </c>
      <c r="O228" t="n">
        <v>3.98</v>
      </c>
      <c r="P228" t="n">
        <v>4</v>
      </c>
      <c r="Q228" t="n">
        <v>1</v>
      </c>
      <c r="R228" t="n">
        <v>2022.3</v>
      </c>
      <c r="S228" t="b">
        <v>1</v>
      </c>
      <c r="T228" t="n">
        <v>2773344</v>
      </c>
      <c r="U228" t="n">
        <v>8</v>
      </c>
      <c r="V228" t="n">
        <v>0.0965</v>
      </c>
      <c r="W228" t="n">
        <v>1.11</v>
      </c>
      <c r="X228" t="n">
        <v>82.37</v>
      </c>
      <c r="Y228">
        <f>VLOOKUP(D228,$AB$2:$AC$7,2,FALSE)</f>
        <v/>
      </c>
      <c r="Z228">
        <f>IF(A228&lt;Y228,"Yes","No")</f>
        <v/>
      </c>
    </row>
    <row r="229">
      <c r="A229" t="n">
        <v>2022</v>
      </c>
      <c r="B229" t="inlineStr">
        <is>
          <t>Q3</t>
        </is>
      </c>
      <c r="C229" t="inlineStr">
        <is>
          <t>Europe</t>
        </is>
      </c>
      <c r="D229" t="inlineStr">
        <is>
          <t>Model 3</t>
        </is>
      </c>
      <c r="E229" t="n">
        <v>924</v>
      </c>
      <c r="F229" t="n">
        <v>46181.4</v>
      </c>
      <c r="G229" t="n">
        <v>1</v>
      </c>
      <c r="H229" t="inlineStr">
        <is>
          <t>Performance</t>
        </is>
      </c>
      <c r="I229" t="inlineStr">
        <is>
          <t>RWD</t>
        </is>
      </c>
      <c r="J229" t="inlineStr">
        <is>
          <t>Silver</t>
        </is>
      </c>
      <c r="K229" t="n">
        <v>640</v>
      </c>
      <c r="L229" t="n">
        <v>69</v>
      </c>
      <c r="M229" t="n">
        <v>15.77</v>
      </c>
      <c r="N229" t="n">
        <v>891.0700000000001</v>
      </c>
      <c r="O229" t="n">
        <v>4.53</v>
      </c>
      <c r="P229" t="n">
        <v>6</v>
      </c>
      <c r="Q229" t="n">
        <v>0</v>
      </c>
      <c r="R229" t="n">
        <v>2023.3</v>
      </c>
      <c r="S229" t="b">
        <v>0</v>
      </c>
      <c r="T229" t="n">
        <v>3236998</v>
      </c>
      <c r="U229" t="n">
        <v>4</v>
      </c>
      <c r="V229" t="n">
        <v>0.0867</v>
      </c>
      <c r="W229" t="n">
        <v>1.48</v>
      </c>
      <c r="X229" t="n">
        <v>64.13</v>
      </c>
      <c r="Y229">
        <f>VLOOKUP(D229,$AB$2:$AC$7,2,FALSE)</f>
        <v/>
      </c>
      <c r="Z229">
        <f>IF(A229&lt;Y229,"Yes","No")</f>
        <v/>
      </c>
    </row>
    <row r="230">
      <c r="A230" t="n">
        <v>2015</v>
      </c>
      <c r="B230" t="inlineStr">
        <is>
          <t>Q2</t>
        </is>
      </c>
      <c r="C230" t="inlineStr">
        <is>
          <t>North America</t>
        </is>
      </c>
      <c r="D230" t="inlineStr">
        <is>
          <t>Model Y</t>
        </is>
      </c>
      <c r="E230" t="n">
        <v>172</v>
      </c>
      <c r="F230" t="n">
        <v>113661.98</v>
      </c>
      <c r="G230" t="n">
        <v>60</v>
      </c>
      <c r="H230" t="inlineStr">
        <is>
          <t>Long Range</t>
        </is>
      </c>
      <c r="I230" t="inlineStr">
        <is>
          <t>AWD</t>
        </is>
      </c>
      <c r="J230" t="inlineStr">
        <is>
          <t>Green</t>
        </is>
      </c>
      <c r="K230" t="n">
        <v>693</v>
      </c>
      <c r="L230" t="n">
        <v>42</v>
      </c>
      <c r="M230" t="n">
        <v>22.09</v>
      </c>
      <c r="N230" t="n">
        <v>108.75</v>
      </c>
      <c r="O230" t="n">
        <v>4.89</v>
      </c>
      <c r="P230" t="n">
        <v>8</v>
      </c>
      <c r="Q230" t="n">
        <v>3</v>
      </c>
      <c r="R230" t="n">
        <v>2022.8</v>
      </c>
      <c r="S230" t="b">
        <v>1</v>
      </c>
      <c r="T230" t="n">
        <v>3686597</v>
      </c>
      <c r="U230" t="n">
        <v>8</v>
      </c>
      <c r="V230" t="n">
        <v>0.0799</v>
      </c>
      <c r="W230" t="n">
        <v>1.72</v>
      </c>
      <c r="X230" t="n">
        <v>84.73</v>
      </c>
      <c r="Y230">
        <f>VLOOKUP(D230,$AB$2:$AC$7,2,FALSE)</f>
        <v/>
      </c>
      <c r="Z230">
        <f>IF(A230&lt;Y230,"Yes","No")</f>
        <v/>
      </c>
    </row>
    <row r="231">
      <c r="A231" t="n">
        <v>2023</v>
      </c>
      <c r="B231" t="inlineStr">
        <is>
          <t>Q3</t>
        </is>
      </c>
      <c r="C231" t="inlineStr">
        <is>
          <t>Australia</t>
        </is>
      </c>
      <c r="D231" t="inlineStr">
        <is>
          <t>Cybertruck</t>
        </is>
      </c>
      <c r="E231" t="n">
        <v>4735</v>
      </c>
      <c r="F231" t="n">
        <v>85473.49000000001</v>
      </c>
      <c r="G231" t="n">
        <v>33</v>
      </c>
      <c r="H231" t="inlineStr">
        <is>
          <t>Performance</t>
        </is>
      </c>
      <c r="I231" t="inlineStr">
        <is>
          <t>AWD</t>
        </is>
      </c>
      <c r="J231" t="inlineStr">
        <is>
          <t>Silver</t>
        </is>
      </c>
      <c r="K231" t="n">
        <v>405</v>
      </c>
      <c r="L231" t="n">
        <v>58</v>
      </c>
      <c r="M231" t="n">
        <v>18.48</v>
      </c>
      <c r="N231" t="n">
        <v>10679.95</v>
      </c>
      <c r="O231" t="n">
        <v>4.82</v>
      </c>
      <c r="P231" t="n">
        <v>5</v>
      </c>
      <c r="Q231" t="n">
        <v>3</v>
      </c>
      <c r="R231" t="n">
        <v>2020.9</v>
      </c>
      <c r="S231" t="b">
        <v>0</v>
      </c>
      <c r="T231" t="n">
        <v>4429584</v>
      </c>
      <c r="U231" t="n">
        <v>12</v>
      </c>
      <c r="V231" t="n">
        <v>0.09660000000000001</v>
      </c>
      <c r="W231" t="n">
        <v>0.88</v>
      </c>
      <c r="X231" t="n">
        <v>73.19</v>
      </c>
      <c r="Y231">
        <f>VLOOKUP(D231,$AB$2:$AC$7,2,FALSE)</f>
        <v/>
      </c>
      <c r="Z231">
        <f>IF(A231&lt;Y231,"Yes","No")</f>
        <v/>
      </c>
    </row>
    <row r="232">
      <c r="A232" t="n">
        <v>2016</v>
      </c>
      <c r="B232" t="inlineStr">
        <is>
          <t>Q3</t>
        </is>
      </c>
      <c r="C232" t="inlineStr">
        <is>
          <t>Australia</t>
        </is>
      </c>
      <c r="D232" t="inlineStr">
        <is>
          <t>Model 3</t>
        </is>
      </c>
      <c r="E232" t="n">
        <v>3510</v>
      </c>
      <c r="F232" t="n">
        <v>60025.68</v>
      </c>
      <c r="G232" t="n">
        <v>58</v>
      </c>
      <c r="H232" t="inlineStr">
        <is>
          <t>Standard</t>
        </is>
      </c>
      <c r="I232" t="inlineStr">
        <is>
          <t>AWD</t>
        </is>
      </c>
      <c r="J232" t="inlineStr">
        <is>
          <t>Blue</t>
        </is>
      </c>
      <c r="K232" t="n">
        <v>680</v>
      </c>
      <c r="L232" t="n">
        <v>58</v>
      </c>
      <c r="M232" t="n">
        <v>14.09</v>
      </c>
      <c r="N232" t="n">
        <v>5269.62</v>
      </c>
      <c r="O232" t="n">
        <v>3.77</v>
      </c>
      <c r="P232" t="n">
        <v>5</v>
      </c>
      <c r="Q232" t="n">
        <v>3</v>
      </c>
      <c r="R232" t="n">
        <v>2023.6</v>
      </c>
      <c r="S232" t="b">
        <v>0</v>
      </c>
      <c r="T232" t="n">
        <v>308977</v>
      </c>
      <c r="U232" t="n">
        <v>4</v>
      </c>
      <c r="V232" t="n">
        <v>0.0508</v>
      </c>
      <c r="W232" t="n">
        <v>2.29</v>
      </c>
      <c r="X232" t="n">
        <v>86.87</v>
      </c>
      <c r="Y232">
        <f>VLOOKUP(D232,$AB$2:$AC$7,2,FALSE)</f>
        <v/>
      </c>
      <c r="Z232">
        <f>IF(A232&lt;Y232,"Yes","No")</f>
        <v/>
      </c>
    </row>
    <row r="233">
      <c r="A233" t="n">
        <v>2019</v>
      </c>
      <c r="B233" t="inlineStr">
        <is>
          <t>Q1</t>
        </is>
      </c>
      <c r="C233" t="inlineStr">
        <is>
          <t>Asia</t>
        </is>
      </c>
      <c r="D233" t="inlineStr">
        <is>
          <t>Model X</t>
        </is>
      </c>
      <c r="E233" t="n">
        <v>1393</v>
      </c>
      <c r="F233" t="n">
        <v>96061.85000000001</v>
      </c>
      <c r="G233" t="n">
        <v>7</v>
      </c>
      <c r="H233" t="inlineStr">
        <is>
          <t>Standard</t>
        </is>
      </c>
      <c r="I233" t="inlineStr">
        <is>
          <t>AWD</t>
        </is>
      </c>
      <c r="J233" t="inlineStr">
        <is>
          <t>Green</t>
        </is>
      </c>
      <c r="K233" t="n">
        <v>580</v>
      </c>
      <c r="L233" t="n">
        <v>70</v>
      </c>
      <c r="M233" t="n">
        <v>17.36</v>
      </c>
      <c r="N233" t="n">
        <v>2155.86</v>
      </c>
      <c r="O233" t="n">
        <v>4.08</v>
      </c>
      <c r="P233" t="n">
        <v>5</v>
      </c>
      <c r="Q233" t="n">
        <v>3</v>
      </c>
      <c r="R233" t="n">
        <v>2024.7</v>
      </c>
      <c r="S233" t="b">
        <v>1</v>
      </c>
      <c r="T233" t="n">
        <v>1533487</v>
      </c>
      <c r="U233" t="n">
        <v>7</v>
      </c>
      <c r="V233" t="n">
        <v>0.0609</v>
      </c>
      <c r="W233" t="n">
        <v>1.82</v>
      </c>
      <c r="X233" t="n">
        <v>64.5</v>
      </c>
      <c r="Y233">
        <f>VLOOKUP(D233,$AB$2:$AC$7,2,FALSE)</f>
        <v/>
      </c>
      <c r="Z233">
        <f>IF(A233&lt;Y233,"Yes","No")</f>
        <v/>
      </c>
    </row>
    <row r="234">
      <c r="A234" t="n">
        <v>2014</v>
      </c>
      <c r="B234" t="inlineStr">
        <is>
          <t>Q2</t>
        </is>
      </c>
      <c r="C234" t="inlineStr">
        <is>
          <t>North America</t>
        </is>
      </c>
      <c r="D234" t="inlineStr">
        <is>
          <t>Model Y</t>
        </is>
      </c>
      <c r="E234" t="n">
        <v>2573</v>
      </c>
      <c r="F234" t="n">
        <v>61309.06</v>
      </c>
      <c r="G234" t="n">
        <v>49</v>
      </c>
      <c r="H234" t="inlineStr">
        <is>
          <t>Long Range</t>
        </is>
      </c>
      <c r="I234" t="inlineStr">
        <is>
          <t>RWD</t>
        </is>
      </c>
      <c r="J234" t="inlineStr">
        <is>
          <t>Green</t>
        </is>
      </c>
      <c r="K234" t="n">
        <v>442</v>
      </c>
      <c r="L234" t="n">
        <v>37</v>
      </c>
      <c r="M234" t="n">
        <v>23.78</v>
      </c>
      <c r="N234" t="n">
        <v>6228.89</v>
      </c>
      <c r="O234" t="n">
        <v>3.51</v>
      </c>
      <c r="P234" t="n">
        <v>6</v>
      </c>
      <c r="Q234" t="n">
        <v>0</v>
      </c>
      <c r="R234" t="n">
        <v>2023.8</v>
      </c>
      <c r="S234" t="b">
        <v>0</v>
      </c>
      <c r="T234" t="n">
        <v>4659218</v>
      </c>
      <c r="U234" t="n">
        <v>2</v>
      </c>
      <c r="V234" t="n">
        <v>0.06469999999999999</v>
      </c>
      <c r="W234" t="n">
        <v>1.49</v>
      </c>
      <c r="X234" t="n">
        <v>66.51000000000001</v>
      </c>
      <c r="Y234">
        <f>VLOOKUP(D234,$AB$2:$AC$7,2,FALSE)</f>
        <v/>
      </c>
      <c r="Z234">
        <f>IF(A234&lt;Y234,"Yes","No")</f>
        <v/>
      </c>
    </row>
    <row r="235">
      <c r="A235" t="n">
        <v>2022</v>
      </c>
      <c r="B235" t="inlineStr">
        <is>
          <t>Q4</t>
        </is>
      </c>
      <c r="C235" t="inlineStr">
        <is>
          <t>Australia</t>
        </is>
      </c>
      <c r="D235" t="inlineStr">
        <is>
          <t>Model Y</t>
        </is>
      </c>
      <c r="E235" t="n">
        <v>3669</v>
      </c>
      <c r="F235" t="n">
        <v>41749.42</v>
      </c>
      <c r="G235" t="n">
        <v>38</v>
      </c>
      <c r="H235" t="inlineStr">
        <is>
          <t>Standard</t>
        </is>
      </c>
      <c r="I235" t="inlineStr">
        <is>
          <t>AWD</t>
        </is>
      </c>
      <c r="J235" t="inlineStr">
        <is>
          <t>Silver</t>
        </is>
      </c>
      <c r="K235" t="n">
        <v>492</v>
      </c>
      <c r="L235" t="n">
        <v>69</v>
      </c>
      <c r="M235" t="n">
        <v>20.54</v>
      </c>
      <c r="N235" t="n">
        <v>7852.55</v>
      </c>
      <c r="O235" t="n">
        <v>3.81</v>
      </c>
      <c r="P235" t="n">
        <v>5</v>
      </c>
      <c r="Q235" t="n">
        <v>1</v>
      </c>
      <c r="R235" t="n">
        <v>2020.11</v>
      </c>
      <c r="S235" t="b">
        <v>0</v>
      </c>
      <c r="T235" t="n">
        <v>408038</v>
      </c>
      <c r="U235" t="n">
        <v>4</v>
      </c>
      <c r="V235" t="n">
        <v>0.0868</v>
      </c>
      <c r="W235" t="n">
        <v>1.83</v>
      </c>
      <c r="X235" t="n">
        <v>85.14</v>
      </c>
      <c r="Y235">
        <f>VLOOKUP(D235,$AB$2:$AC$7,2,FALSE)</f>
        <v/>
      </c>
      <c r="Z235">
        <f>IF(A235&lt;Y235,"Yes","No")</f>
        <v/>
      </c>
    </row>
    <row r="236">
      <c r="A236" t="n">
        <v>2016</v>
      </c>
      <c r="B236" t="inlineStr">
        <is>
          <t>Q3</t>
        </is>
      </c>
      <c r="C236" t="inlineStr">
        <is>
          <t>North America</t>
        </is>
      </c>
      <c r="D236" t="inlineStr">
        <is>
          <t>Model S</t>
        </is>
      </c>
      <c r="E236" t="n">
        <v>942</v>
      </c>
      <c r="F236" t="n">
        <v>70441.34</v>
      </c>
      <c r="G236" t="n">
        <v>11</v>
      </c>
      <c r="H236" t="inlineStr">
        <is>
          <t>Standard</t>
        </is>
      </c>
      <c r="I236" t="inlineStr">
        <is>
          <t>RWD</t>
        </is>
      </c>
      <c r="J236" t="inlineStr">
        <is>
          <t>Silver</t>
        </is>
      </c>
      <c r="K236" t="n">
        <v>688</v>
      </c>
      <c r="L236" t="n">
        <v>74</v>
      </c>
      <c r="M236" t="n">
        <v>21.4</v>
      </c>
      <c r="N236" t="n">
        <v>1549.18</v>
      </c>
      <c r="O236" t="n">
        <v>4.34</v>
      </c>
      <c r="P236" t="n">
        <v>8</v>
      </c>
      <c r="Q236" t="n">
        <v>2</v>
      </c>
      <c r="R236" t="n">
        <v>2020.2</v>
      </c>
      <c r="S236" t="b">
        <v>0</v>
      </c>
      <c r="T236" t="n">
        <v>2808025</v>
      </c>
      <c r="U236" t="n">
        <v>7</v>
      </c>
      <c r="V236" t="n">
        <v>0.09080000000000001</v>
      </c>
      <c r="W236" t="n">
        <v>2.14</v>
      </c>
      <c r="X236" t="n">
        <v>82.75</v>
      </c>
      <c r="Y236">
        <f>VLOOKUP(D236,$AB$2:$AC$7,2,FALSE)</f>
        <v/>
      </c>
      <c r="Z236">
        <f>IF(A236&lt;Y236,"Yes","No")</f>
        <v/>
      </c>
    </row>
    <row r="237">
      <c r="A237" t="n">
        <v>2020</v>
      </c>
      <c r="B237" t="inlineStr">
        <is>
          <t>Q1</t>
        </is>
      </c>
      <c r="C237" t="inlineStr">
        <is>
          <t>Asia</t>
        </is>
      </c>
      <c r="D237" t="inlineStr">
        <is>
          <t>Model Y</t>
        </is>
      </c>
      <c r="E237" t="n">
        <v>1152</v>
      </c>
      <c r="F237" t="n">
        <v>45371.97</v>
      </c>
      <c r="G237" t="n">
        <v>55</v>
      </c>
      <c r="H237" t="inlineStr">
        <is>
          <t>Long Range</t>
        </is>
      </c>
      <c r="I237" t="inlineStr">
        <is>
          <t>RWD</t>
        </is>
      </c>
      <c r="J237" t="inlineStr">
        <is>
          <t>Silver</t>
        </is>
      </c>
      <c r="K237" t="n">
        <v>561</v>
      </c>
      <c r="L237" t="n">
        <v>63</v>
      </c>
      <c r="M237" t="n">
        <v>15.52</v>
      </c>
      <c r="N237" t="n">
        <v>1057.65</v>
      </c>
      <c r="O237" t="n">
        <v>3.59</v>
      </c>
      <c r="P237" t="n">
        <v>4</v>
      </c>
      <c r="Q237" t="n">
        <v>3</v>
      </c>
      <c r="R237" t="n">
        <v>2024.12</v>
      </c>
      <c r="S237" t="b">
        <v>0</v>
      </c>
      <c r="T237" t="n">
        <v>3682385</v>
      </c>
      <c r="U237" t="n">
        <v>11</v>
      </c>
      <c r="V237" t="n">
        <v>0.0863</v>
      </c>
      <c r="W237" t="n">
        <v>1.02</v>
      </c>
      <c r="X237" t="n">
        <v>77.25</v>
      </c>
      <c r="Y237">
        <f>VLOOKUP(D237,$AB$2:$AC$7,2,FALSE)</f>
        <v/>
      </c>
      <c r="Z237">
        <f>IF(A237&lt;Y237,"Yes","No")</f>
        <v/>
      </c>
    </row>
    <row r="238">
      <c r="A238" t="n">
        <v>2021</v>
      </c>
      <c r="B238" t="inlineStr">
        <is>
          <t>Q3</t>
        </is>
      </c>
      <c r="C238" t="inlineStr">
        <is>
          <t>Europe</t>
        </is>
      </c>
      <c r="D238" t="inlineStr">
        <is>
          <t>Cybertruck</t>
        </is>
      </c>
      <c r="E238" t="n">
        <v>4659</v>
      </c>
      <c r="F238" t="n">
        <v>77193.74000000001</v>
      </c>
      <c r="G238" t="n">
        <v>46</v>
      </c>
      <c r="H238" t="inlineStr">
        <is>
          <t>Performance</t>
        </is>
      </c>
      <c r="I238" t="inlineStr">
        <is>
          <t>RWD</t>
        </is>
      </c>
      <c r="J238" t="inlineStr">
        <is>
          <t>Blue</t>
        </is>
      </c>
      <c r="K238" t="n">
        <v>442</v>
      </c>
      <c r="L238" t="n">
        <v>86</v>
      </c>
      <c r="M238" t="n">
        <v>20.31</v>
      </c>
      <c r="N238" t="n">
        <v>8932.110000000001</v>
      </c>
      <c r="O238" t="n">
        <v>4.97</v>
      </c>
      <c r="P238" t="n">
        <v>4</v>
      </c>
      <c r="Q238" t="n">
        <v>0</v>
      </c>
      <c r="R238" t="n">
        <v>2020.8</v>
      </c>
      <c r="S238" t="b">
        <v>1</v>
      </c>
      <c r="T238" t="n">
        <v>1839217</v>
      </c>
      <c r="U238" t="n">
        <v>11</v>
      </c>
      <c r="V238" t="n">
        <v>0.0999</v>
      </c>
      <c r="W238" t="n">
        <v>1.33</v>
      </c>
      <c r="X238" t="n">
        <v>70.01000000000001</v>
      </c>
      <c r="Y238">
        <f>VLOOKUP(D238,$AB$2:$AC$7,2,FALSE)</f>
        <v/>
      </c>
      <c r="Z238">
        <f>IF(A238&lt;Y238,"Yes","No")</f>
        <v/>
      </c>
    </row>
    <row r="239">
      <c r="A239" t="n">
        <v>2020</v>
      </c>
      <c r="B239" t="inlineStr">
        <is>
          <t>Q2</t>
        </is>
      </c>
      <c r="C239" t="inlineStr">
        <is>
          <t>North America</t>
        </is>
      </c>
      <c r="D239" t="inlineStr">
        <is>
          <t>Semi</t>
        </is>
      </c>
      <c r="E239" t="n">
        <v>1698</v>
      </c>
      <c r="F239" t="n">
        <v>93651.45</v>
      </c>
      <c r="G239" t="n">
        <v>16</v>
      </c>
      <c r="H239" t="inlineStr">
        <is>
          <t>Standard</t>
        </is>
      </c>
      <c r="I239" t="inlineStr">
        <is>
          <t>RWD</t>
        </is>
      </c>
      <c r="J239" t="inlineStr">
        <is>
          <t>White</t>
        </is>
      </c>
      <c r="K239" t="n">
        <v>609</v>
      </c>
      <c r="L239" t="n">
        <v>65</v>
      </c>
      <c r="M239" t="n">
        <v>16.89</v>
      </c>
      <c r="N239" t="n">
        <v>869.8200000000001</v>
      </c>
      <c r="O239" t="n">
        <v>4.53</v>
      </c>
      <c r="P239" t="n">
        <v>6</v>
      </c>
      <c r="Q239" t="n">
        <v>3</v>
      </c>
      <c r="R239" t="n">
        <v>2024.1</v>
      </c>
      <c r="S239" t="b">
        <v>1</v>
      </c>
      <c r="T239" t="n">
        <v>1573283</v>
      </c>
      <c r="U239" t="n">
        <v>5</v>
      </c>
      <c r="V239" t="n">
        <v>0.0397</v>
      </c>
      <c r="W239" t="n">
        <v>1.18</v>
      </c>
      <c r="X239" t="n">
        <v>80.17</v>
      </c>
      <c r="Y239">
        <f>VLOOKUP(D239,$AB$2:$AC$7,2,FALSE)</f>
        <v/>
      </c>
      <c r="Z239">
        <f>IF(A239&lt;Y239,"Yes","No")</f>
        <v/>
      </c>
    </row>
    <row r="240">
      <c r="A240" t="n">
        <v>2019</v>
      </c>
      <c r="B240" t="inlineStr">
        <is>
          <t>Q1</t>
        </is>
      </c>
      <c r="C240" t="inlineStr">
        <is>
          <t>Europe</t>
        </is>
      </c>
      <c r="D240" t="inlineStr">
        <is>
          <t>Model Y</t>
        </is>
      </c>
      <c r="E240" t="n">
        <v>1322</v>
      </c>
      <c r="F240" t="n">
        <v>88312.03999999999</v>
      </c>
      <c r="G240" t="n">
        <v>57</v>
      </c>
      <c r="H240" t="inlineStr">
        <is>
          <t>Performance</t>
        </is>
      </c>
      <c r="I240" t="inlineStr">
        <is>
          <t>RWD</t>
        </is>
      </c>
      <c r="J240" t="inlineStr">
        <is>
          <t>Blue</t>
        </is>
      </c>
      <c r="K240" t="n">
        <v>561</v>
      </c>
      <c r="L240" t="n">
        <v>89</v>
      </c>
      <c r="M240" t="n">
        <v>21.91</v>
      </c>
      <c r="N240" t="n">
        <v>2869.02</v>
      </c>
      <c r="O240" t="n">
        <v>3.95</v>
      </c>
      <c r="P240" t="n">
        <v>6</v>
      </c>
      <c r="Q240" t="n">
        <v>0</v>
      </c>
      <c r="R240" t="n">
        <v>2021.1</v>
      </c>
      <c r="S240" t="b">
        <v>0</v>
      </c>
      <c r="T240" t="n">
        <v>3066174</v>
      </c>
      <c r="U240" t="n">
        <v>3</v>
      </c>
      <c r="V240" t="n">
        <v>0.0973</v>
      </c>
      <c r="W240" t="n">
        <v>1.06</v>
      </c>
      <c r="X240" t="n">
        <v>60.94</v>
      </c>
      <c r="Y240">
        <f>VLOOKUP(D240,$AB$2:$AC$7,2,FALSE)</f>
        <v/>
      </c>
      <c r="Z240">
        <f>IF(A240&lt;Y240,"Yes","No")</f>
        <v/>
      </c>
    </row>
    <row r="241">
      <c r="A241" t="n">
        <v>2018</v>
      </c>
      <c r="B241" t="inlineStr">
        <is>
          <t>Q2</t>
        </is>
      </c>
      <c r="C241" t="inlineStr">
        <is>
          <t>South America</t>
        </is>
      </c>
      <c r="D241" t="inlineStr">
        <is>
          <t>Cybertruck</t>
        </is>
      </c>
      <c r="E241" t="n">
        <v>3241</v>
      </c>
      <c r="F241" t="n">
        <v>50927.21</v>
      </c>
      <c r="G241" t="n">
        <v>7</v>
      </c>
      <c r="H241" t="inlineStr">
        <is>
          <t>Long Range</t>
        </is>
      </c>
      <c r="I241" t="inlineStr">
        <is>
          <t>RWD</t>
        </is>
      </c>
      <c r="J241" t="inlineStr">
        <is>
          <t>Green</t>
        </is>
      </c>
      <c r="K241" t="n">
        <v>366</v>
      </c>
      <c r="L241" t="n">
        <v>47</v>
      </c>
      <c r="M241" t="n">
        <v>17.97</v>
      </c>
      <c r="N241" t="n">
        <v>4842.41</v>
      </c>
      <c r="O241" t="n">
        <v>3.86</v>
      </c>
      <c r="P241" t="n">
        <v>8</v>
      </c>
      <c r="Q241" t="n">
        <v>2</v>
      </c>
      <c r="R241" t="n">
        <v>2021.9</v>
      </c>
      <c r="S241" t="b">
        <v>0</v>
      </c>
      <c r="T241" t="n">
        <v>1568113</v>
      </c>
      <c r="U241" t="n">
        <v>3</v>
      </c>
      <c r="V241" t="n">
        <v>0.0437</v>
      </c>
      <c r="W241" t="n">
        <v>0.57</v>
      </c>
      <c r="X241" t="n">
        <v>66.06</v>
      </c>
      <c r="Y241">
        <f>VLOOKUP(D241,$AB$2:$AC$7,2,FALSE)</f>
        <v/>
      </c>
      <c r="Z241">
        <f>IF(A241&lt;Y241,"Yes","No")</f>
        <v/>
      </c>
    </row>
    <row r="242">
      <c r="A242" t="n">
        <v>2013</v>
      </c>
      <c r="B242" t="inlineStr">
        <is>
          <t>Q4</t>
        </is>
      </c>
      <c r="C242" t="inlineStr">
        <is>
          <t>South America</t>
        </is>
      </c>
      <c r="D242" t="inlineStr">
        <is>
          <t>Model S</t>
        </is>
      </c>
      <c r="E242" t="n">
        <v>4003</v>
      </c>
      <c r="F242" t="n">
        <v>111921.24</v>
      </c>
      <c r="G242" t="n">
        <v>9</v>
      </c>
      <c r="H242" t="inlineStr">
        <is>
          <t>Standard</t>
        </is>
      </c>
      <c r="I242" t="inlineStr">
        <is>
          <t>RWD</t>
        </is>
      </c>
      <c r="J242" t="inlineStr">
        <is>
          <t>Blue</t>
        </is>
      </c>
      <c r="K242" t="n">
        <v>618</v>
      </c>
      <c r="L242" t="n">
        <v>49</v>
      </c>
      <c r="M242" t="n">
        <v>22.31</v>
      </c>
      <c r="N242" t="n">
        <v>3148.72</v>
      </c>
      <c r="O242" t="n">
        <v>4.81</v>
      </c>
      <c r="P242" t="n">
        <v>5</v>
      </c>
      <c r="Q242" t="n">
        <v>1</v>
      </c>
      <c r="R242" t="n">
        <v>2020.8</v>
      </c>
      <c r="S242" t="b">
        <v>0</v>
      </c>
      <c r="T242" t="n">
        <v>4481746</v>
      </c>
      <c r="U242" t="n">
        <v>3</v>
      </c>
      <c r="V242" t="n">
        <v>0.0104</v>
      </c>
      <c r="W242" t="n">
        <v>2.36</v>
      </c>
      <c r="X242" t="n">
        <v>80.61</v>
      </c>
      <c r="Y242">
        <f>VLOOKUP(D242,$AB$2:$AC$7,2,FALSE)</f>
        <v/>
      </c>
      <c r="Z242">
        <f>IF(A242&lt;Y242,"Yes","No")</f>
        <v/>
      </c>
    </row>
    <row r="243">
      <c r="A243" t="n">
        <v>2021</v>
      </c>
      <c r="B243" t="inlineStr">
        <is>
          <t>Q1</t>
        </is>
      </c>
      <c r="C243" t="inlineStr">
        <is>
          <t>Asia</t>
        </is>
      </c>
      <c r="D243" t="inlineStr">
        <is>
          <t>Model Y</t>
        </is>
      </c>
      <c r="E243" t="n">
        <v>427</v>
      </c>
      <c r="F243" t="n">
        <v>43763.74</v>
      </c>
      <c r="G243" t="n">
        <v>49</v>
      </c>
      <c r="H243" t="inlineStr">
        <is>
          <t>Performance</t>
        </is>
      </c>
      <c r="I243" t="inlineStr">
        <is>
          <t>RWD</t>
        </is>
      </c>
      <c r="J243" t="inlineStr">
        <is>
          <t>Red</t>
        </is>
      </c>
      <c r="K243" t="n">
        <v>645</v>
      </c>
      <c r="L243" t="n">
        <v>78</v>
      </c>
      <c r="M243" t="n">
        <v>16.75</v>
      </c>
      <c r="N243" t="n">
        <v>975.38</v>
      </c>
      <c r="O243" t="n">
        <v>3.98</v>
      </c>
      <c r="P243" t="n">
        <v>5</v>
      </c>
      <c r="Q243" t="n">
        <v>2</v>
      </c>
      <c r="R243" t="n">
        <v>2022.9</v>
      </c>
      <c r="S243" t="b">
        <v>0</v>
      </c>
      <c r="T243" t="n">
        <v>3800346</v>
      </c>
      <c r="U243" t="n">
        <v>12</v>
      </c>
      <c r="V243" t="n">
        <v>0.0206</v>
      </c>
      <c r="W243" t="n">
        <v>0.8</v>
      </c>
      <c r="X243" t="n">
        <v>68.20999999999999</v>
      </c>
      <c r="Y243">
        <f>VLOOKUP(D243,$AB$2:$AC$7,2,FALSE)</f>
        <v/>
      </c>
      <c r="Z243">
        <f>IF(A243&lt;Y243,"Yes","No")</f>
        <v/>
      </c>
    </row>
    <row r="244">
      <c r="A244" t="n">
        <v>2012</v>
      </c>
      <c r="B244" t="inlineStr">
        <is>
          <t>Q1</t>
        </is>
      </c>
      <c r="C244" t="inlineStr">
        <is>
          <t>Europe</t>
        </is>
      </c>
      <c r="D244" t="inlineStr">
        <is>
          <t>Cybertruck</t>
        </is>
      </c>
      <c r="E244" t="n">
        <v>2919</v>
      </c>
      <c r="F244" t="n">
        <v>81696.08</v>
      </c>
      <c r="G244" t="n">
        <v>17</v>
      </c>
      <c r="H244" t="inlineStr">
        <is>
          <t>Standard</t>
        </is>
      </c>
      <c r="I244" t="inlineStr">
        <is>
          <t>RWD</t>
        </is>
      </c>
      <c r="J244" t="inlineStr">
        <is>
          <t>Silver</t>
        </is>
      </c>
      <c r="K244" t="n">
        <v>475</v>
      </c>
      <c r="L244" t="n">
        <v>40</v>
      </c>
      <c r="M244" t="n">
        <v>13.85</v>
      </c>
      <c r="N244" t="n">
        <v>5039.73</v>
      </c>
      <c r="O244" t="n">
        <v>4.01</v>
      </c>
      <c r="P244" t="n">
        <v>8</v>
      </c>
      <c r="Q244" t="n">
        <v>0</v>
      </c>
      <c r="R244" t="n">
        <v>2021.1</v>
      </c>
      <c r="S244" t="b">
        <v>0</v>
      </c>
      <c r="T244" t="n">
        <v>523255</v>
      </c>
      <c r="U244" t="n">
        <v>3</v>
      </c>
      <c r="V244" t="n">
        <v>0.0445</v>
      </c>
      <c r="W244" t="n">
        <v>0.67</v>
      </c>
      <c r="X244" t="n">
        <v>71.76000000000001</v>
      </c>
      <c r="Y244">
        <f>VLOOKUP(D244,$AB$2:$AC$7,2,FALSE)</f>
        <v/>
      </c>
      <c r="Z244">
        <f>IF(A244&lt;Y244,"Yes","No")</f>
        <v/>
      </c>
    </row>
    <row r="245">
      <c r="A245" t="n">
        <v>2023</v>
      </c>
      <c r="B245" t="inlineStr">
        <is>
          <t>Q4</t>
        </is>
      </c>
      <c r="C245" t="inlineStr">
        <is>
          <t>South America</t>
        </is>
      </c>
      <c r="D245" t="inlineStr">
        <is>
          <t>Model X</t>
        </is>
      </c>
      <c r="E245" t="n">
        <v>2609</v>
      </c>
      <c r="F245" t="n">
        <v>63248.23</v>
      </c>
      <c r="G245" t="n">
        <v>12</v>
      </c>
      <c r="H245" t="inlineStr">
        <is>
          <t>Performance</t>
        </is>
      </c>
      <c r="I245" t="inlineStr">
        <is>
          <t>AWD</t>
        </is>
      </c>
      <c r="J245" t="inlineStr">
        <is>
          <t>Blue</t>
        </is>
      </c>
      <c r="K245" t="n">
        <v>640</v>
      </c>
      <c r="L245" t="n">
        <v>38</v>
      </c>
      <c r="M245" t="n">
        <v>14.11</v>
      </c>
      <c r="N245" t="n">
        <v>5491.16</v>
      </c>
      <c r="O245" t="n">
        <v>4.55</v>
      </c>
      <c r="P245" t="n">
        <v>4</v>
      </c>
      <c r="Q245" t="n">
        <v>3</v>
      </c>
      <c r="R245" t="n">
        <v>2022.11</v>
      </c>
      <c r="S245" t="b">
        <v>0</v>
      </c>
      <c r="T245" t="n">
        <v>4047224</v>
      </c>
      <c r="U245" t="n">
        <v>5</v>
      </c>
      <c r="V245" t="n">
        <v>0.0953</v>
      </c>
      <c r="W245" t="n">
        <v>0.79</v>
      </c>
      <c r="X245" t="n">
        <v>86.87</v>
      </c>
      <c r="Y245">
        <f>VLOOKUP(D245,$AB$2:$AC$7,2,FALSE)</f>
        <v/>
      </c>
      <c r="Z245">
        <f>IF(A245&lt;Y245,"Yes","No")</f>
        <v/>
      </c>
    </row>
    <row r="246">
      <c r="A246" t="n">
        <v>2016</v>
      </c>
      <c r="B246" t="inlineStr">
        <is>
          <t>Q3</t>
        </is>
      </c>
      <c r="C246" t="inlineStr">
        <is>
          <t>Australia</t>
        </is>
      </c>
      <c r="D246" t="inlineStr">
        <is>
          <t>Model 3</t>
        </is>
      </c>
      <c r="E246" t="n">
        <v>2756</v>
      </c>
      <c r="F246" t="n">
        <v>102046.19</v>
      </c>
      <c r="G246" t="n">
        <v>56</v>
      </c>
      <c r="H246" t="inlineStr">
        <is>
          <t>Long Range</t>
        </is>
      </c>
      <c r="I246" t="inlineStr">
        <is>
          <t>RWD</t>
        </is>
      </c>
      <c r="J246" t="inlineStr">
        <is>
          <t>Blue</t>
        </is>
      </c>
      <c r="K246" t="n">
        <v>365</v>
      </c>
      <c r="L246" t="n">
        <v>34</v>
      </c>
      <c r="M246" t="n">
        <v>18.7</v>
      </c>
      <c r="N246" t="n">
        <v>3315.14</v>
      </c>
      <c r="O246" t="n">
        <v>4.19</v>
      </c>
      <c r="P246" t="n">
        <v>5</v>
      </c>
      <c r="Q246" t="n">
        <v>2</v>
      </c>
      <c r="R246" t="n">
        <v>2022.1</v>
      </c>
      <c r="S246" t="b">
        <v>1</v>
      </c>
      <c r="T246" t="n">
        <v>4360990</v>
      </c>
      <c r="U246" t="n">
        <v>3</v>
      </c>
      <c r="V246" t="n">
        <v>0.0465</v>
      </c>
      <c r="W246" t="n">
        <v>1.93</v>
      </c>
      <c r="X246" t="n">
        <v>63.21</v>
      </c>
      <c r="Y246">
        <f>VLOOKUP(D246,$AB$2:$AC$7,2,FALSE)</f>
        <v/>
      </c>
      <c r="Z246">
        <f>IF(A246&lt;Y246,"Yes","No")</f>
        <v/>
      </c>
    </row>
    <row r="247">
      <c r="A247" t="n">
        <v>2020</v>
      </c>
      <c r="B247" t="inlineStr">
        <is>
          <t>Q1</t>
        </is>
      </c>
      <c r="C247" t="inlineStr">
        <is>
          <t>Asia</t>
        </is>
      </c>
      <c r="D247" t="inlineStr">
        <is>
          <t>Cybertruck</t>
        </is>
      </c>
      <c r="E247" t="n">
        <v>3826</v>
      </c>
      <c r="F247" t="n">
        <v>69069.39999999999</v>
      </c>
      <c r="G247" t="n">
        <v>26</v>
      </c>
      <c r="H247" t="inlineStr">
        <is>
          <t>Standard</t>
        </is>
      </c>
      <c r="I247" t="inlineStr">
        <is>
          <t>AWD</t>
        </is>
      </c>
      <c r="J247" t="inlineStr">
        <is>
          <t>Silver</t>
        </is>
      </c>
      <c r="K247" t="n">
        <v>431</v>
      </c>
      <c r="L247" t="n">
        <v>60</v>
      </c>
      <c r="M247" t="n">
        <v>17.61</v>
      </c>
      <c r="N247" t="n">
        <v>4520.14</v>
      </c>
      <c r="O247" t="n">
        <v>4.72</v>
      </c>
      <c r="P247" t="n">
        <v>8</v>
      </c>
      <c r="Q247" t="n">
        <v>3</v>
      </c>
      <c r="R247" t="n">
        <v>2024.6</v>
      </c>
      <c r="S247" t="b">
        <v>1</v>
      </c>
      <c r="T247" t="n">
        <v>1551946</v>
      </c>
      <c r="U247" t="n">
        <v>12</v>
      </c>
      <c r="V247" t="n">
        <v>0.0703</v>
      </c>
      <c r="W247" t="n">
        <v>1.98</v>
      </c>
      <c r="X247" t="n">
        <v>81.36</v>
      </c>
      <c r="Y247">
        <f>VLOOKUP(D247,$AB$2:$AC$7,2,FALSE)</f>
        <v/>
      </c>
      <c r="Z247">
        <f>IF(A247&lt;Y247,"Yes","No")</f>
        <v/>
      </c>
    </row>
    <row r="248">
      <c r="A248" t="n">
        <v>2019</v>
      </c>
      <c r="B248" t="inlineStr">
        <is>
          <t>Q1</t>
        </is>
      </c>
      <c r="C248" t="inlineStr">
        <is>
          <t>South America</t>
        </is>
      </c>
      <c r="D248" t="inlineStr">
        <is>
          <t>Cybertruck</t>
        </is>
      </c>
      <c r="E248" t="n">
        <v>3842</v>
      </c>
      <c r="F248" t="n">
        <v>62657.14</v>
      </c>
      <c r="G248" t="n">
        <v>6</v>
      </c>
      <c r="H248" t="inlineStr">
        <is>
          <t>Long Range</t>
        </is>
      </c>
      <c r="I248" t="inlineStr">
        <is>
          <t>AWD</t>
        </is>
      </c>
      <c r="J248" t="inlineStr">
        <is>
          <t>White</t>
        </is>
      </c>
      <c r="K248" t="n">
        <v>557</v>
      </c>
      <c r="L248" t="n">
        <v>34</v>
      </c>
      <c r="M248" t="n">
        <v>20.18</v>
      </c>
      <c r="N248" t="n">
        <v>7188.45</v>
      </c>
      <c r="O248" t="n">
        <v>4.39</v>
      </c>
      <c r="P248" t="n">
        <v>8</v>
      </c>
      <c r="Q248" t="n">
        <v>2</v>
      </c>
      <c r="R248" t="n">
        <v>2023.11</v>
      </c>
      <c r="S248" t="b">
        <v>1</v>
      </c>
      <c r="T248" t="n">
        <v>859445</v>
      </c>
      <c r="U248" t="n">
        <v>5</v>
      </c>
      <c r="V248" t="n">
        <v>0.0835</v>
      </c>
      <c r="W248" t="n">
        <v>2.27</v>
      </c>
      <c r="X248" t="n">
        <v>87.09999999999999</v>
      </c>
      <c r="Y248">
        <f>VLOOKUP(D248,$AB$2:$AC$7,2,FALSE)</f>
        <v/>
      </c>
      <c r="Z248">
        <f>IF(A248&lt;Y248,"Yes","No")</f>
        <v/>
      </c>
    </row>
    <row r="249">
      <c r="A249" t="n">
        <v>2022</v>
      </c>
      <c r="B249" t="inlineStr">
        <is>
          <t>Q1</t>
        </is>
      </c>
      <c r="C249" t="inlineStr">
        <is>
          <t>Europe</t>
        </is>
      </c>
      <c r="D249" t="inlineStr">
        <is>
          <t>Semi</t>
        </is>
      </c>
      <c r="E249" t="n">
        <v>1272</v>
      </c>
      <c r="F249" t="n">
        <v>73502.83</v>
      </c>
      <c r="G249" t="n">
        <v>18</v>
      </c>
      <c r="H249" t="inlineStr">
        <is>
          <t>Long Range</t>
        </is>
      </c>
      <c r="I249" t="inlineStr">
        <is>
          <t>RWD</t>
        </is>
      </c>
      <c r="J249" t="inlineStr">
        <is>
          <t>Black</t>
        </is>
      </c>
      <c r="K249" t="n">
        <v>455</v>
      </c>
      <c r="L249" t="n">
        <v>73</v>
      </c>
      <c r="M249" t="n">
        <v>23.53</v>
      </c>
      <c r="N249" t="n">
        <v>1398.53</v>
      </c>
      <c r="O249" t="n">
        <v>4.69</v>
      </c>
      <c r="P249" t="n">
        <v>6</v>
      </c>
      <c r="Q249" t="n">
        <v>3</v>
      </c>
      <c r="R249" t="n">
        <v>2022.2</v>
      </c>
      <c r="S249" t="b">
        <v>1</v>
      </c>
      <c r="T249" t="n">
        <v>4381745</v>
      </c>
      <c r="U249" t="n">
        <v>8</v>
      </c>
      <c r="V249" t="n">
        <v>0.0863</v>
      </c>
      <c r="W249" t="n">
        <v>2.21</v>
      </c>
      <c r="X249" t="n">
        <v>61.87</v>
      </c>
      <c r="Y249">
        <f>VLOOKUP(D249,$AB$2:$AC$7,2,FALSE)</f>
        <v/>
      </c>
      <c r="Z249">
        <f>IF(A249&lt;Y249,"Yes","No")</f>
        <v/>
      </c>
    </row>
    <row r="250">
      <c r="A250" t="n">
        <v>2020</v>
      </c>
      <c r="B250" t="inlineStr">
        <is>
          <t>Q1</t>
        </is>
      </c>
      <c r="C250" t="inlineStr">
        <is>
          <t>North America</t>
        </is>
      </c>
      <c r="D250" t="inlineStr">
        <is>
          <t>Semi</t>
        </is>
      </c>
      <c r="E250" t="n">
        <v>4637</v>
      </c>
      <c r="F250" t="n">
        <v>104764.03</v>
      </c>
      <c r="G250" t="n">
        <v>22</v>
      </c>
      <c r="H250" t="inlineStr">
        <is>
          <t>Standard</t>
        </is>
      </c>
      <c r="I250" t="inlineStr">
        <is>
          <t>RWD</t>
        </is>
      </c>
      <c r="J250" t="inlineStr">
        <is>
          <t>Red</t>
        </is>
      </c>
      <c r="K250" t="n">
        <v>470</v>
      </c>
      <c r="L250" t="n">
        <v>57</v>
      </c>
      <c r="M250" t="n">
        <v>21.43</v>
      </c>
      <c r="N250" t="n">
        <v>5974.94</v>
      </c>
      <c r="O250" t="n">
        <v>3.98</v>
      </c>
      <c r="P250" t="n">
        <v>8</v>
      </c>
      <c r="Q250" t="n">
        <v>3</v>
      </c>
      <c r="R250" t="n">
        <v>2023.7</v>
      </c>
      <c r="S250" t="b">
        <v>1</v>
      </c>
      <c r="T250" t="n">
        <v>1554669</v>
      </c>
      <c r="U250" t="n">
        <v>9</v>
      </c>
      <c r="V250" t="n">
        <v>0.0225</v>
      </c>
      <c r="W250" t="n">
        <v>1.61</v>
      </c>
      <c r="X250" t="n">
        <v>85.3</v>
      </c>
      <c r="Y250">
        <f>VLOOKUP(D250,$AB$2:$AC$7,2,FALSE)</f>
        <v/>
      </c>
      <c r="Z250">
        <f>IF(A250&lt;Y250,"Yes","No")</f>
        <v/>
      </c>
    </row>
    <row r="251">
      <c r="A251" t="n">
        <v>2017</v>
      </c>
      <c r="B251" t="inlineStr">
        <is>
          <t>Q4</t>
        </is>
      </c>
      <c r="C251" t="inlineStr">
        <is>
          <t>Europe</t>
        </is>
      </c>
      <c r="D251" t="inlineStr">
        <is>
          <t>Model X</t>
        </is>
      </c>
      <c r="E251" t="n">
        <v>1078</v>
      </c>
      <c r="F251" t="n">
        <v>46413.58</v>
      </c>
      <c r="G251" t="n">
        <v>4</v>
      </c>
      <c r="H251" t="inlineStr">
        <is>
          <t>Performance</t>
        </is>
      </c>
      <c r="I251" t="inlineStr">
        <is>
          <t>AWD</t>
        </is>
      </c>
      <c r="J251" t="inlineStr">
        <is>
          <t>Black</t>
        </is>
      </c>
      <c r="K251" t="n">
        <v>599</v>
      </c>
      <c r="L251" t="n">
        <v>72</v>
      </c>
      <c r="M251" t="n">
        <v>18.24</v>
      </c>
      <c r="N251" t="n">
        <v>2673.91</v>
      </c>
      <c r="O251" t="n">
        <v>3.63</v>
      </c>
      <c r="P251" t="n">
        <v>8</v>
      </c>
      <c r="Q251" t="n">
        <v>3</v>
      </c>
      <c r="R251" t="n">
        <v>2024.7</v>
      </c>
      <c r="S251" t="b">
        <v>1</v>
      </c>
      <c r="T251" t="n">
        <v>3911736</v>
      </c>
      <c r="U251" t="n">
        <v>10</v>
      </c>
      <c r="V251" t="n">
        <v>0.0482</v>
      </c>
      <c r="W251" t="n">
        <v>2.14</v>
      </c>
      <c r="X251" t="n">
        <v>71.54000000000001</v>
      </c>
      <c r="Y251">
        <f>VLOOKUP(D251,$AB$2:$AC$7,2,FALSE)</f>
        <v/>
      </c>
      <c r="Z251">
        <f>IF(A251&lt;Y251,"Yes","No")</f>
        <v/>
      </c>
    </row>
    <row r="252">
      <c r="A252" t="n">
        <v>2015</v>
      </c>
      <c r="B252" t="inlineStr">
        <is>
          <t>Q2</t>
        </is>
      </c>
      <c r="C252" t="inlineStr">
        <is>
          <t>Australia</t>
        </is>
      </c>
      <c r="D252" t="inlineStr">
        <is>
          <t>Cybertruck</t>
        </is>
      </c>
      <c r="E252" t="n">
        <v>110</v>
      </c>
      <c r="F252" t="n">
        <v>84124.77</v>
      </c>
      <c r="G252" t="n">
        <v>54</v>
      </c>
      <c r="H252" t="inlineStr">
        <is>
          <t>Performance</t>
        </is>
      </c>
      <c r="I252" t="inlineStr">
        <is>
          <t>AWD</t>
        </is>
      </c>
      <c r="J252" t="inlineStr">
        <is>
          <t>Green</t>
        </is>
      </c>
      <c r="K252" t="n">
        <v>606</v>
      </c>
      <c r="L252" t="n">
        <v>47</v>
      </c>
      <c r="M252" t="n">
        <v>17.93</v>
      </c>
      <c r="N252" t="n">
        <v>175.16</v>
      </c>
      <c r="O252" t="n">
        <v>4.05</v>
      </c>
      <c r="P252" t="n">
        <v>4</v>
      </c>
      <c r="Q252" t="n">
        <v>3</v>
      </c>
      <c r="R252" t="n">
        <v>2022.2</v>
      </c>
      <c r="S252" t="b">
        <v>0</v>
      </c>
      <c r="T252" t="n">
        <v>771618</v>
      </c>
      <c r="U252" t="n">
        <v>4</v>
      </c>
      <c r="V252" t="n">
        <v>0.0757</v>
      </c>
      <c r="W252" t="n">
        <v>1.55</v>
      </c>
      <c r="X252" t="n">
        <v>85.78</v>
      </c>
      <c r="Y252">
        <f>VLOOKUP(D252,$AB$2:$AC$7,2,FALSE)</f>
        <v/>
      </c>
      <c r="Z252">
        <f>IF(A252&lt;Y252,"Yes","No")</f>
        <v/>
      </c>
    </row>
    <row r="253">
      <c r="A253" t="n">
        <v>2024</v>
      </c>
      <c r="B253" t="inlineStr">
        <is>
          <t>Q3</t>
        </is>
      </c>
      <c r="C253" t="inlineStr">
        <is>
          <t>Australia</t>
        </is>
      </c>
      <c r="D253" t="inlineStr">
        <is>
          <t>Cybertruck</t>
        </is>
      </c>
      <c r="E253" t="n">
        <v>690</v>
      </c>
      <c r="F253" t="n">
        <v>79485.33</v>
      </c>
      <c r="G253" t="n">
        <v>39</v>
      </c>
      <c r="H253" t="inlineStr">
        <is>
          <t>Standard</t>
        </is>
      </c>
      <c r="I253" t="inlineStr">
        <is>
          <t>AWD</t>
        </is>
      </c>
      <c r="J253" t="inlineStr">
        <is>
          <t>Blue</t>
        </is>
      </c>
      <c r="K253" t="n">
        <v>672</v>
      </c>
      <c r="L253" t="n">
        <v>77</v>
      </c>
      <c r="M253" t="n">
        <v>20.96</v>
      </c>
      <c r="N253" t="n">
        <v>1267.83</v>
      </c>
      <c r="O253" t="n">
        <v>4.53</v>
      </c>
      <c r="P253" t="n">
        <v>6</v>
      </c>
      <c r="Q253" t="n">
        <v>0</v>
      </c>
      <c r="R253" t="n">
        <v>2022.9</v>
      </c>
      <c r="S253" t="b">
        <v>1</v>
      </c>
      <c r="T253" t="n">
        <v>4033156</v>
      </c>
      <c r="U253" t="n">
        <v>9</v>
      </c>
      <c r="V253" t="n">
        <v>0.0561</v>
      </c>
      <c r="W253" t="n">
        <v>1.44</v>
      </c>
      <c r="X253" t="n">
        <v>82.01000000000001</v>
      </c>
      <c r="Y253">
        <f>VLOOKUP(D253,$AB$2:$AC$7,2,FALSE)</f>
        <v/>
      </c>
      <c r="Z253">
        <f>IF(A253&lt;Y253,"Yes","No")</f>
        <v/>
      </c>
    </row>
    <row r="254">
      <c r="A254" t="n">
        <v>2018</v>
      </c>
      <c r="B254" t="inlineStr">
        <is>
          <t>Q3</t>
        </is>
      </c>
      <c r="C254" t="inlineStr">
        <is>
          <t>Asia</t>
        </is>
      </c>
      <c r="D254" t="inlineStr">
        <is>
          <t>Model X</t>
        </is>
      </c>
      <c r="E254" t="n">
        <v>1422</v>
      </c>
      <c r="F254" t="n">
        <v>38002.73</v>
      </c>
      <c r="G254" t="n">
        <v>59</v>
      </c>
      <c r="H254" t="inlineStr">
        <is>
          <t>Performance</t>
        </is>
      </c>
      <c r="I254" t="inlineStr">
        <is>
          <t>RWD</t>
        </is>
      </c>
      <c r="J254" t="inlineStr">
        <is>
          <t>Green</t>
        </is>
      </c>
      <c r="K254" t="n">
        <v>638</v>
      </c>
      <c r="L254" t="n">
        <v>46</v>
      </c>
      <c r="M254" t="n">
        <v>13.74</v>
      </c>
      <c r="N254" t="n">
        <v>2056.67</v>
      </c>
      <c r="O254" t="n">
        <v>3.75</v>
      </c>
      <c r="P254" t="n">
        <v>4</v>
      </c>
      <c r="Q254" t="n">
        <v>2</v>
      </c>
      <c r="R254" t="n">
        <v>2024.1</v>
      </c>
      <c r="S254" t="b">
        <v>0</v>
      </c>
      <c r="T254" t="n">
        <v>4166463</v>
      </c>
      <c r="U254" t="n">
        <v>3</v>
      </c>
      <c r="V254" t="n">
        <v>0.0214</v>
      </c>
      <c r="W254" t="n">
        <v>0.65</v>
      </c>
      <c r="X254" t="n">
        <v>83.51000000000001</v>
      </c>
      <c r="Y254">
        <f>VLOOKUP(D254,$AB$2:$AC$7,2,FALSE)</f>
        <v/>
      </c>
      <c r="Z254">
        <f>IF(A254&lt;Y254,"Yes","No")</f>
        <v/>
      </c>
    </row>
    <row r="255">
      <c r="A255" t="n">
        <v>2016</v>
      </c>
      <c r="B255" t="inlineStr">
        <is>
          <t>Q2</t>
        </is>
      </c>
      <c r="C255" t="inlineStr">
        <is>
          <t>South America</t>
        </is>
      </c>
      <c r="D255" t="inlineStr">
        <is>
          <t>Model X</t>
        </is>
      </c>
      <c r="E255" t="n">
        <v>2304</v>
      </c>
      <c r="F255" t="n">
        <v>107917.96</v>
      </c>
      <c r="G255" t="n">
        <v>0</v>
      </c>
      <c r="H255" t="inlineStr">
        <is>
          <t>Performance</t>
        </is>
      </c>
      <c r="I255" t="inlineStr">
        <is>
          <t>AWD</t>
        </is>
      </c>
      <c r="J255" t="inlineStr">
        <is>
          <t>Silver</t>
        </is>
      </c>
      <c r="K255" t="n">
        <v>439</v>
      </c>
      <c r="L255" t="n">
        <v>88</v>
      </c>
      <c r="M255" t="n">
        <v>20.1</v>
      </c>
      <c r="N255" t="n">
        <v>1848.43</v>
      </c>
      <c r="O255" t="n">
        <v>4.17</v>
      </c>
      <c r="P255" t="n">
        <v>5</v>
      </c>
      <c r="Q255" t="n">
        <v>2</v>
      </c>
      <c r="R255" t="n">
        <v>2021.8</v>
      </c>
      <c r="S255" t="b">
        <v>1</v>
      </c>
      <c r="T255" t="n">
        <v>4524058</v>
      </c>
      <c r="U255" t="n">
        <v>2</v>
      </c>
      <c r="V255" t="n">
        <v>0.0409</v>
      </c>
      <c r="W255" t="n">
        <v>0.67</v>
      </c>
      <c r="X255" t="n">
        <v>64.34999999999999</v>
      </c>
      <c r="Y255">
        <f>VLOOKUP(D255,$AB$2:$AC$7,2,FALSE)</f>
        <v/>
      </c>
      <c r="Z255">
        <f>IF(A255&lt;Y255,"Yes","No")</f>
        <v/>
      </c>
    </row>
    <row r="256">
      <c r="A256" t="n">
        <v>2014</v>
      </c>
      <c r="B256" t="inlineStr">
        <is>
          <t>Q4</t>
        </is>
      </c>
      <c r="C256" t="inlineStr">
        <is>
          <t>Australia</t>
        </is>
      </c>
      <c r="D256" t="inlineStr">
        <is>
          <t>Model Y</t>
        </is>
      </c>
      <c r="E256" t="n">
        <v>1999</v>
      </c>
      <c r="F256" t="n">
        <v>91156.72</v>
      </c>
      <c r="G256" t="n">
        <v>46</v>
      </c>
      <c r="H256" t="inlineStr">
        <is>
          <t>Performance</t>
        </is>
      </c>
      <c r="I256" t="inlineStr">
        <is>
          <t>AWD</t>
        </is>
      </c>
      <c r="J256" t="inlineStr">
        <is>
          <t>Black</t>
        </is>
      </c>
      <c r="K256" t="n">
        <v>645</v>
      </c>
      <c r="L256" t="n">
        <v>76</v>
      </c>
      <c r="M256" t="n">
        <v>23.1</v>
      </c>
      <c r="N256" t="n">
        <v>1216.69</v>
      </c>
      <c r="O256" t="n">
        <v>3.9</v>
      </c>
      <c r="P256" t="n">
        <v>4</v>
      </c>
      <c r="Q256" t="n">
        <v>0</v>
      </c>
      <c r="R256" t="n">
        <v>2021.8</v>
      </c>
      <c r="S256" t="b">
        <v>0</v>
      </c>
      <c r="T256" t="n">
        <v>4094923</v>
      </c>
      <c r="U256" t="n">
        <v>6</v>
      </c>
      <c r="V256" t="n">
        <v>0.0529</v>
      </c>
      <c r="W256" t="n">
        <v>2.4</v>
      </c>
      <c r="X256" t="n">
        <v>87.67</v>
      </c>
      <c r="Y256">
        <f>VLOOKUP(D256,$AB$2:$AC$7,2,FALSE)</f>
        <v/>
      </c>
      <c r="Z256">
        <f>IF(A256&lt;Y256,"Yes","No")</f>
        <v/>
      </c>
    </row>
    <row r="257">
      <c r="A257" t="n">
        <v>2015</v>
      </c>
      <c r="B257" t="inlineStr">
        <is>
          <t>Q4</t>
        </is>
      </c>
      <c r="C257" t="inlineStr">
        <is>
          <t>Australia</t>
        </is>
      </c>
      <c r="D257" t="inlineStr">
        <is>
          <t>Model Y</t>
        </is>
      </c>
      <c r="E257" t="n">
        <v>2201</v>
      </c>
      <c r="F257" t="n">
        <v>47337.74</v>
      </c>
      <c r="G257" t="n">
        <v>55</v>
      </c>
      <c r="H257" t="inlineStr">
        <is>
          <t>Long Range</t>
        </is>
      </c>
      <c r="I257" t="inlineStr">
        <is>
          <t>AWD</t>
        </is>
      </c>
      <c r="J257" t="inlineStr">
        <is>
          <t>White</t>
        </is>
      </c>
      <c r="K257" t="n">
        <v>579</v>
      </c>
      <c r="L257" t="n">
        <v>54</v>
      </c>
      <c r="M257" t="n">
        <v>21.14</v>
      </c>
      <c r="N257" t="n">
        <v>5334.18</v>
      </c>
      <c r="O257" t="n">
        <v>4.52</v>
      </c>
      <c r="P257" t="n">
        <v>4</v>
      </c>
      <c r="Q257" t="n">
        <v>0</v>
      </c>
      <c r="R257" t="n">
        <v>2024.11</v>
      </c>
      <c r="S257" t="b">
        <v>0</v>
      </c>
      <c r="T257" t="n">
        <v>3722082</v>
      </c>
      <c r="U257" t="n">
        <v>11</v>
      </c>
      <c r="V257" t="n">
        <v>0.0926</v>
      </c>
      <c r="W257" t="n">
        <v>2.22</v>
      </c>
      <c r="X257" t="n">
        <v>70.05</v>
      </c>
      <c r="Y257">
        <f>VLOOKUP(D257,$AB$2:$AC$7,2,FALSE)</f>
        <v/>
      </c>
      <c r="Z257">
        <f>IF(A257&lt;Y257,"Yes","No")</f>
        <v/>
      </c>
    </row>
    <row r="258">
      <c r="A258" t="n">
        <v>2016</v>
      </c>
      <c r="B258" t="inlineStr">
        <is>
          <t>Q1</t>
        </is>
      </c>
      <c r="C258" t="inlineStr">
        <is>
          <t>Asia</t>
        </is>
      </c>
      <c r="D258" t="inlineStr">
        <is>
          <t>Semi</t>
        </is>
      </c>
      <c r="E258" t="n">
        <v>4835</v>
      </c>
      <c r="F258" t="n">
        <v>68248.07000000001</v>
      </c>
      <c r="G258" t="n">
        <v>49</v>
      </c>
      <c r="H258" t="inlineStr">
        <is>
          <t>Performance</t>
        </is>
      </c>
      <c r="I258" t="inlineStr">
        <is>
          <t>AWD</t>
        </is>
      </c>
      <c r="J258" t="inlineStr">
        <is>
          <t>Green</t>
        </is>
      </c>
      <c r="K258" t="n">
        <v>694</v>
      </c>
      <c r="L258" t="n">
        <v>67</v>
      </c>
      <c r="M258" t="n">
        <v>22.25</v>
      </c>
      <c r="N258" t="n">
        <v>7445.44</v>
      </c>
      <c r="O258" t="n">
        <v>4.52</v>
      </c>
      <c r="P258" t="n">
        <v>5</v>
      </c>
      <c r="Q258" t="n">
        <v>2</v>
      </c>
      <c r="R258" t="n">
        <v>2024.1</v>
      </c>
      <c r="S258" t="b">
        <v>1</v>
      </c>
      <c r="T258" t="n">
        <v>670022</v>
      </c>
      <c r="U258" t="n">
        <v>2</v>
      </c>
      <c r="V258" t="n">
        <v>0.047</v>
      </c>
      <c r="W258" t="n">
        <v>1.55</v>
      </c>
      <c r="X258" t="n">
        <v>80.56</v>
      </c>
      <c r="Y258">
        <f>VLOOKUP(D258,$AB$2:$AC$7,2,FALSE)</f>
        <v/>
      </c>
      <c r="Z258">
        <f>IF(A258&lt;Y258,"Yes","No")</f>
        <v/>
      </c>
    </row>
    <row r="259">
      <c r="A259" t="n">
        <v>2017</v>
      </c>
      <c r="B259" t="inlineStr">
        <is>
          <t>Q2</t>
        </is>
      </c>
      <c r="C259" t="inlineStr">
        <is>
          <t>Asia</t>
        </is>
      </c>
      <c r="D259" t="inlineStr">
        <is>
          <t>Model X</t>
        </is>
      </c>
      <c r="E259" t="n">
        <v>1631</v>
      </c>
      <c r="F259" t="n">
        <v>37893.55</v>
      </c>
      <c r="G259" t="n">
        <v>39</v>
      </c>
      <c r="H259" t="inlineStr">
        <is>
          <t>Standard</t>
        </is>
      </c>
      <c r="I259" t="inlineStr">
        <is>
          <t>AWD</t>
        </is>
      </c>
      <c r="J259" t="inlineStr">
        <is>
          <t>Silver</t>
        </is>
      </c>
      <c r="K259" t="n">
        <v>686</v>
      </c>
      <c r="L259" t="n">
        <v>87</v>
      </c>
      <c r="M259" t="n">
        <v>23.03</v>
      </c>
      <c r="N259" t="n">
        <v>3915.99</v>
      </c>
      <c r="O259" t="n">
        <v>4.46</v>
      </c>
      <c r="P259" t="n">
        <v>4</v>
      </c>
      <c r="Q259" t="n">
        <v>0</v>
      </c>
      <c r="R259" t="n">
        <v>2024.3</v>
      </c>
      <c r="S259" t="b">
        <v>0</v>
      </c>
      <c r="T259" t="n">
        <v>4848529</v>
      </c>
      <c r="U259" t="n">
        <v>4</v>
      </c>
      <c r="V259" t="n">
        <v>0.0906</v>
      </c>
      <c r="W259" t="n">
        <v>1.89</v>
      </c>
      <c r="X259" t="n">
        <v>67.59999999999999</v>
      </c>
      <c r="Y259">
        <f>VLOOKUP(D259,$AB$2:$AC$7,2,FALSE)</f>
        <v/>
      </c>
      <c r="Z259">
        <f>IF(A259&lt;Y259,"Yes","No")</f>
        <v/>
      </c>
    </row>
    <row r="260">
      <c r="A260" t="n">
        <v>2019</v>
      </c>
      <c r="B260" t="inlineStr">
        <is>
          <t>Q1</t>
        </is>
      </c>
      <c r="C260" t="inlineStr">
        <is>
          <t>Australia</t>
        </is>
      </c>
      <c r="D260" t="inlineStr">
        <is>
          <t>Model X</t>
        </is>
      </c>
      <c r="E260" t="n">
        <v>3547</v>
      </c>
      <c r="F260" t="n">
        <v>93838.83</v>
      </c>
      <c r="G260" t="n">
        <v>42</v>
      </c>
      <c r="H260" t="inlineStr">
        <is>
          <t>Long Range</t>
        </is>
      </c>
      <c r="I260" t="inlineStr">
        <is>
          <t>RWD</t>
        </is>
      </c>
      <c r="J260" t="inlineStr">
        <is>
          <t>Black</t>
        </is>
      </c>
      <c r="K260" t="n">
        <v>387</v>
      </c>
      <c r="L260" t="n">
        <v>47</v>
      </c>
      <c r="M260" t="n">
        <v>22.33</v>
      </c>
      <c r="N260" t="n">
        <v>4489.08</v>
      </c>
      <c r="O260" t="n">
        <v>4</v>
      </c>
      <c r="P260" t="n">
        <v>4</v>
      </c>
      <c r="Q260" t="n">
        <v>2</v>
      </c>
      <c r="R260" t="n">
        <v>2022.3</v>
      </c>
      <c r="S260" t="b">
        <v>0</v>
      </c>
      <c r="T260" t="n">
        <v>682156</v>
      </c>
      <c r="U260" t="n">
        <v>9</v>
      </c>
      <c r="V260" t="n">
        <v>0.09810000000000001</v>
      </c>
      <c r="W260" t="n">
        <v>0.9</v>
      </c>
      <c r="X260" t="n">
        <v>71.78</v>
      </c>
      <c r="Y260">
        <f>VLOOKUP(D260,$AB$2:$AC$7,2,FALSE)</f>
        <v/>
      </c>
      <c r="Z260">
        <f>IF(A260&lt;Y260,"Yes","No")</f>
        <v/>
      </c>
    </row>
    <row r="261">
      <c r="A261" t="n">
        <v>2022</v>
      </c>
      <c r="B261" t="inlineStr">
        <is>
          <t>Q4</t>
        </is>
      </c>
      <c r="C261" t="inlineStr">
        <is>
          <t>North America</t>
        </is>
      </c>
      <c r="D261" t="inlineStr">
        <is>
          <t>Model 3</t>
        </is>
      </c>
      <c r="E261" t="n">
        <v>4478</v>
      </c>
      <c r="F261" t="n">
        <v>100340.12</v>
      </c>
      <c r="G261" t="n">
        <v>13</v>
      </c>
      <c r="H261" t="inlineStr">
        <is>
          <t>Performance</t>
        </is>
      </c>
      <c r="I261" t="inlineStr">
        <is>
          <t>AWD</t>
        </is>
      </c>
      <c r="J261" t="inlineStr">
        <is>
          <t>Blue</t>
        </is>
      </c>
      <c r="K261" t="n">
        <v>482</v>
      </c>
      <c r="L261" t="n">
        <v>36</v>
      </c>
      <c r="M261" t="n">
        <v>13.42</v>
      </c>
      <c r="N261" t="n">
        <v>2869.61</v>
      </c>
      <c r="O261" t="n">
        <v>4.59</v>
      </c>
      <c r="P261" t="n">
        <v>8</v>
      </c>
      <c r="Q261" t="n">
        <v>0</v>
      </c>
      <c r="R261" t="n">
        <v>2023.3</v>
      </c>
      <c r="S261" t="b">
        <v>1</v>
      </c>
      <c r="T261" t="n">
        <v>417388</v>
      </c>
      <c r="U261" t="n">
        <v>12</v>
      </c>
      <c r="V261" t="n">
        <v>0.0451</v>
      </c>
      <c r="W261" t="n">
        <v>0.8</v>
      </c>
      <c r="X261" t="n">
        <v>69.89</v>
      </c>
      <c r="Y261">
        <f>VLOOKUP(D261,$AB$2:$AC$7,2,FALSE)</f>
        <v/>
      </c>
      <c r="Z261">
        <f>IF(A261&lt;Y261,"Yes","No")</f>
        <v/>
      </c>
    </row>
    <row r="262">
      <c r="A262" t="n">
        <v>2018</v>
      </c>
      <c r="B262" t="inlineStr">
        <is>
          <t>Q1</t>
        </is>
      </c>
      <c r="C262" t="inlineStr">
        <is>
          <t>South America</t>
        </is>
      </c>
      <c r="D262" t="inlineStr">
        <is>
          <t>Semi</t>
        </is>
      </c>
      <c r="E262" t="n">
        <v>4069</v>
      </c>
      <c r="F262" t="n">
        <v>75641.85000000001</v>
      </c>
      <c r="G262" t="n">
        <v>25</v>
      </c>
      <c r="H262" t="inlineStr">
        <is>
          <t>Performance</t>
        </is>
      </c>
      <c r="I262" t="inlineStr">
        <is>
          <t>AWD</t>
        </is>
      </c>
      <c r="J262" t="inlineStr">
        <is>
          <t>Silver</t>
        </is>
      </c>
      <c r="K262" t="n">
        <v>465</v>
      </c>
      <c r="L262" t="n">
        <v>30</v>
      </c>
      <c r="M262" t="n">
        <v>17.61</v>
      </c>
      <c r="N262" t="n">
        <v>7643.71</v>
      </c>
      <c r="O262" t="n">
        <v>4.67</v>
      </c>
      <c r="P262" t="n">
        <v>4</v>
      </c>
      <c r="Q262" t="n">
        <v>2</v>
      </c>
      <c r="R262" t="n">
        <v>2022.11</v>
      </c>
      <c r="S262" t="b">
        <v>0</v>
      </c>
      <c r="T262" t="n">
        <v>3460600</v>
      </c>
      <c r="U262" t="n">
        <v>2</v>
      </c>
      <c r="V262" t="n">
        <v>0.0669</v>
      </c>
      <c r="W262" t="n">
        <v>2.42</v>
      </c>
      <c r="X262" t="n">
        <v>62.72</v>
      </c>
      <c r="Y262">
        <f>VLOOKUP(D262,$AB$2:$AC$7,2,FALSE)</f>
        <v/>
      </c>
      <c r="Z262">
        <f>IF(A262&lt;Y262,"Yes","No")</f>
        <v/>
      </c>
    </row>
    <row r="263">
      <c r="A263" t="n">
        <v>2020</v>
      </c>
      <c r="B263" t="inlineStr">
        <is>
          <t>Q3</t>
        </is>
      </c>
      <c r="C263" t="inlineStr">
        <is>
          <t>North America</t>
        </is>
      </c>
      <c r="D263" t="inlineStr">
        <is>
          <t>Model Y</t>
        </is>
      </c>
      <c r="E263" t="n">
        <v>2425</v>
      </c>
      <c r="F263" t="n">
        <v>90062.37</v>
      </c>
      <c r="G263" t="n">
        <v>11</v>
      </c>
      <c r="H263" t="inlineStr">
        <is>
          <t>Performance</t>
        </is>
      </c>
      <c r="I263" t="inlineStr">
        <is>
          <t>AWD</t>
        </is>
      </c>
      <c r="J263" t="inlineStr">
        <is>
          <t>Blue</t>
        </is>
      </c>
      <c r="K263" t="n">
        <v>688</v>
      </c>
      <c r="L263" t="n">
        <v>42</v>
      </c>
      <c r="M263" t="n">
        <v>16.59</v>
      </c>
      <c r="N263" t="n">
        <v>3104.51</v>
      </c>
      <c r="O263" t="n">
        <v>3.66</v>
      </c>
      <c r="P263" t="n">
        <v>6</v>
      </c>
      <c r="Q263" t="n">
        <v>3</v>
      </c>
      <c r="R263" t="n">
        <v>2020.11</v>
      </c>
      <c r="S263" t="b">
        <v>0</v>
      </c>
      <c r="T263" t="n">
        <v>1689343</v>
      </c>
      <c r="U263" t="n">
        <v>4</v>
      </c>
      <c r="V263" t="n">
        <v>0.0132</v>
      </c>
      <c r="W263" t="n">
        <v>0.55</v>
      </c>
      <c r="X263" t="n">
        <v>89.89</v>
      </c>
      <c r="Y263">
        <f>VLOOKUP(D263,$AB$2:$AC$7,2,FALSE)</f>
        <v/>
      </c>
      <c r="Z263">
        <f>IF(A263&lt;Y263,"Yes","No")</f>
        <v/>
      </c>
    </row>
    <row r="264">
      <c r="A264" t="n">
        <v>2015</v>
      </c>
      <c r="B264" t="inlineStr">
        <is>
          <t>Q4</t>
        </is>
      </c>
      <c r="C264" t="inlineStr">
        <is>
          <t>Australia</t>
        </is>
      </c>
      <c r="D264" t="inlineStr">
        <is>
          <t>Model S</t>
        </is>
      </c>
      <c r="E264" t="n">
        <v>4478</v>
      </c>
      <c r="F264" t="n">
        <v>89689.64999999999</v>
      </c>
      <c r="G264" t="n">
        <v>31</v>
      </c>
      <c r="H264" t="inlineStr">
        <is>
          <t>Performance</t>
        </is>
      </c>
      <c r="I264" t="inlineStr">
        <is>
          <t>RWD</t>
        </is>
      </c>
      <c r="J264" t="inlineStr">
        <is>
          <t>Red</t>
        </is>
      </c>
      <c r="K264" t="n">
        <v>368</v>
      </c>
      <c r="L264" t="n">
        <v>51</v>
      </c>
      <c r="M264" t="n">
        <v>13.67</v>
      </c>
      <c r="N264" t="n">
        <v>9294.34</v>
      </c>
      <c r="O264" t="n">
        <v>3.56</v>
      </c>
      <c r="P264" t="n">
        <v>4</v>
      </c>
      <c r="Q264" t="n">
        <v>1</v>
      </c>
      <c r="R264" t="n">
        <v>2024.8</v>
      </c>
      <c r="S264" t="b">
        <v>1</v>
      </c>
      <c r="T264" t="n">
        <v>4959904</v>
      </c>
      <c r="U264" t="n">
        <v>5</v>
      </c>
      <c r="V264" t="n">
        <v>0.09320000000000001</v>
      </c>
      <c r="W264" t="n">
        <v>0.57</v>
      </c>
      <c r="X264" t="n">
        <v>64.25</v>
      </c>
      <c r="Y264">
        <f>VLOOKUP(D264,$AB$2:$AC$7,2,FALSE)</f>
        <v/>
      </c>
      <c r="Z264">
        <f>IF(A264&lt;Y264,"Yes","No")</f>
        <v/>
      </c>
    </row>
    <row r="265">
      <c r="A265" t="n">
        <v>2022</v>
      </c>
      <c r="B265" t="inlineStr">
        <is>
          <t>Q1</t>
        </is>
      </c>
      <c r="C265" t="inlineStr">
        <is>
          <t>Australia</t>
        </is>
      </c>
      <c r="D265" t="inlineStr">
        <is>
          <t>Cybertruck</t>
        </is>
      </c>
      <c r="E265" t="n">
        <v>425</v>
      </c>
      <c r="F265" t="n">
        <v>55628.02</v>
      </c>
      <c r="G265" t="n">
        <v>41</v>
      </c>
      <c r="H265" t="inlineStr">
        <is>
          <t>Standard</t>
        </is>
      </c>
      <c r="I265" t="inlineStr">
        <is>
          <t>AWD</t>
        </is>
      </c>
      <c r="J265" t="inlineStr">
        <is>
          <t>Black</t>
        </is>
      </c>
      <c r="K265" t="n">
        <v>673</v>
      </c>
      <c r="L265" t="n">
        <v>33</v>
      </c>
      <c r="M265" t="n">
        <v>23.86</v>
      </c>
      <c r="N265" t="n">
        <v>910.13</v>
      </c>
      <c r="O265" t="n">
        <v>3.65</v>
      </c>
      <c r="P265" t="n">
        <v>5</v>
      </c>
      <c r="Q265" t="n">
        <v>0</v>
      </c>
      <c r="R265" t="n">
        <v>2020.2</v>
      </c>
      <c r="S265" t="b">
        <v>0</v>
      </c>
      <c r="T265" t="n">
        <v>1950296</v>
      </c>
      <c r="U265" t="n">
        <v>3</v>
      </c>
      <c r="V265" t="n">
        <v>0.0824</v>
      </c>
      <c r="W265" t="n">
        <v>1.35</v>
      </c>
      <c r="X265" t="n">
        <v>84.34999999999999</v>
      </c>
      <c r="Y265">
        <f>VLOOKUP(D265,$AB$2:$AC$7,2,FALSE)</f>
        <v/>
      </c>
      <c r="Z265">
        <f>IF(A265&lt;Y265,"Yes","No")</f>
        <v/>
      </c>
    </row>
    <row r="266">
      <c r="A266" t="n">
        <v>2023</v>
      </c>
      <c r="B266" t="inlineStr">
        <is>
          <t>Q4</t>
        </is>
      </c>
      <c r="C266" t="inlineStr">
        <is>
          <t>Asia</t>
        </is>
      </c>
      <c r="D266" t="inlineStr">
        <is>
          <t>Model S</t>
        </is>
      </c>
      <c r="E266" t="n">
        <v>4768</v>
      </c>
      <c r="F266" t="n">
        <v>81400.21000000001</v>
      </c>
      <c r="G266" t="n">
        <v>20</v>
      </c>
      <c r="H266" t="inlineStr">
        <is>
          <t>Standard</t>
        </is>
      </c>
      <c r="I266" t="inlineStr">
        <is>
          <t>AWD</t>
        </is>
      </c>
      <c r="J266" t="inlineStr">
        <is>
          <t>Silver</t>
        </is>
      </c>
      <c r="K266" t="n">
        <v>438</v>
      </c>
      <c r="L266" t="n">
        <v>51</v>
      </c>
      <c r="M266" t="n">
        <v>13.76</v>
      </c>
      <c r="N266" t="n">
        <v>4995.85</v>
      </c>
      <c r="O266" t="n">
        <v>4.64</v>
      </c>
      <c r="P266" t="n">
        <v>5</v>
      </c>
      <c r="Q266" t="n">
        <v>2</v>
      </c>
      <c r="R266" t="n">
        <v>2024.3</v>
      </c>
      <c r="S266" t="b">
        <v>0</v>
      </c>
      <c r="T266" t="n">
        <v>2143839</v>
      </c>
      <c r="U266" t="n">
        <v>11</v>
      </c>
      <c r="V266" t="n">
        <v>0.0137</v>
      </c>
      <c r="W266" t="n">
        <v>0.7</v>
      </c>
      <c r="X266" t="n">
        <v>85.42</v>
      </c>
      <c r="Y266">
        <f>VLOOKUP(D266,$AB$2:$AC$7,2,FALSE)</f>
        <v/>
      </c>
      <c r="Z266">
        <f>IF(A266&lt;Y266,"Yes","No")</f>
        <v/>
      </c>
    </row>
    <row r="267">
      <c r="A267" t="n">
        <v>2021</v>
      </c>
      <c r="B267" t="inlineStr">
        <is>
          <t>Q4</t>
        </is>
      </c>
      <c r="C267" t="inlineStr">
        <is>
          <t>Europe</t>
        </is>
      </c>
      <c r="D267" t="inlineStr">
        <is>
          <t>Model S</t>
        </is>
      </c>
      <c r="E267" t="n">
        <v>4039</v>
      </c>
      <c r="F267" t="n">
        <v>41861.42</v>
      </c>
      <c r="G267" t="n">
        <v>0</v>
      </c>
      <c r="H267" t="inlineStr">
        <is>
          <t>Standard</t>
        </is>
      </c>
      <c r="I267" t="inlineStr">
        <is>
          <t>AWD</t>
        </is>
      </c>
      <c r="J267" t="inlineStr">
        <is>
          <t>Green</t>
        </is>
      </c>
      <c r="K267" t="n">
        <v>683</v>
      </c>
      <c r="L267" t="n">
        <v>67</v>
      </c>
      <c r="M267" t="n">
        <v>23.64</v>
      </c>
      <c r="N267" t="n">
        <v>5381.74</v>
      </c>
      <c r="O267" t="n">
        <v>4.71</v>
      </c>
      <c r="P267" t="n">
        <v>8</v>
      </c>
      <c r="Q267" t="n">
        <v>1</v>
      </c>
      <c r="R267" t="n">
        <v>2021.3</v>
      </c>
      <c r="S267" t="b">
        <v>0</v>
      </c>
      <c r="T267" t="n">
        <v>4487970</v>
      </c>
      <c r="U267" t="n">
        <v>9</v>
      </c>
      <c r="V267" t="n">
        <v>0.0471</v>
      </c>
      <c r="W267" t="n">
        <v>2.38</v>
      </c>
      <c r="X267" t="n">
        <v>78.31999999999999</v>
      </c>
      <c r="Y267">
        <f>VLOOKUP(D267,$AB$2:$AC$7,2,FALSE)</f>
        <v/>
      </c>
      <c r="Z267">
        <f>IF(A267&lt;Y267,"Yes","No")</f>
        <v/>
      </c>
    </row>
    <row r="268">
      <c r="A268" t="n">
        <v>2012</v>
      </c>
      <c r="B268" t="inlineStr">
        <is>
          <t>Q2</t>
        </is>
      </c>
      <c r="C268" t="inlineStr">
        <is>
          <t>Australia</t>
        </is>
      </c>
      <c r="D268" t="inlineStr">
        <is>
          <t>Cybertruck</t>
        </is>
      </c>
      <c r="E268" t="n">
        <v>771</v>
      </c>
      <c r="F268" t="n">
        <v>88311.28999999999</v>
      </c>
      <c r="G268" t="n">
        <v>50</v>
      </c>
      <c r="H268" t="inlineStr">
        <is>
          <t>Long Range</t>
        </is>
      </c>
      <c r="I268" t="inlineStr">
        <is>
          <t>RWD</t>
        </is>
      </c>
      <c r="J268" t="inlineStr">
        <is>
          <t>Blue</t>
        </is>
      </c>
      <c r="K268" t="n">
        <v>352</v>
      </c>
      <c r="L268" t="n">
        <v>65</v>
      </c>
      <c r="M268" t="n">
        <v>15.83</v>
      </c>
      <c r="N268" t="n">
        <v>566.7</v>
      </c>
      <c r="O268" t="n">
        <v>4.3</v>
      </c>
      <c r="P268" t="n">
        <v>4</v>
      </c>
      <c r="Q268" t="n">
        <v>2</v>
      </c>
      <c r="R268" t="n">
        <v>2024.9</v>
      </c>
      <c r="S268" t="b">
        <v>1</v>
      </c>
      <c r="T268" t="n">
        <v>3994126</v>
      </c>
      <c r="U268" t="n">
        <v>12</v>
      </c>
      <c r="V268" t="n">
        <v>0.0693</v>
      </c>
      <c r="W268" t="n">
        <v>1.05</v>
      </c>
      <c r="X268" t="n">
        <v>65.81</v>
      </c>
      <c r="Y268">
        <f>VLOOKUP(D268,$AB$2:$AC$7,2,FALSE)</f>
        <v/>
      </c>
      <c r="Z268">
        <f>IF(A268&lt;Y268,"Yes","No")</f>
        <v/>
      </c>
    </row>
    <row r="269">
      <c r="A269" t="n">
        <v>2024</v>
      </c>
      <c r="B269" t="inlineStr">
        <is>
          <t>Q2</t>
        </is>
      </c>
      <c r="C269" t="inlineStr">
        <is>
          <t>Australia</t>
        </is>
      </c>
      <c r="D269" t="inlineStr">
        <is>
          <t>Model Y</t>
        </is>
      </c>
      <c r="E269" t="n">
        <v>1494</v>
      </c>
      <c r="F269" t="n">
        <v>48579.57</v>
      </c>
      <c r="G269" t="n">
        <v>59</v>
      </c>
      <c r="H269" t="inlineStr">
        <is>
          <t>Standard</t>
        </is>
      </c>
      <c r="I269" t="inlineStr">
        <is>
          <t>AWD</t>
        </is>
      </c>
      <c r="J269" t="inlineStr">
        <is>
          <t>Green</t>
        </is>
      </c>
      <c r="K269" t="n">
        <v>536</v>
      </c>
      <c r="L269" t="n">
        <v>48</v>
      </c>
      <c r="M269" t="n">
        <v>15.52</v>
      </c>
      <c r="N269" t="n">
        <v>1498.13</v>
      </c>
      <c r="O269" t="n">
        <v>4.43</v>
      </c>
      <c r="P269" t="n">
        <v>8</v>
      </c>
      <c r="Q269" t="n">
        <v>0</v>
      </c>
      <c r="R269" t="n">
        <v>2020.12</v>
      </c>
      <c r="S269" t="b">
        <v>1</v>
      </c>
      <c r="T269" t="n">
        <v>4607707</v>
      </c>
      <c r="U269" t="n">
        <v>4</v>
      </c>
      <c r="V269" t="n">
        <v>0.0242</v>
      </c>
      <c r="W269" t="n">
        <v>0.5600000000000001</v>
      </c>
      <c r="X269" t="n">
        <v>75.45</v>
      </c>
      <c r="Y269">
        <f>VLOOKUP(D269,$AB$2:$AC$7,2,FALSE)</f>
        <v/>
      </c>
      <c r="Z269">
        <f>IF(A269&lt;Y269,"Yes","No")</f>
        <v/>
      </c>
    </row>
    <row r="270">
      <c r="A270" t="n">
        <v>2013</v>
      </c>
      <c r="B270" t="inlineStr">
        <is>
          <t>Q2</t>
        </is>
      </c>
      <c r="C270" t="inlineStr">
        <is>
          <t>Australia</t>
        </is>
      </c>
      <c r="D270" t="inlineStr">
        <is>
          <t>Cybertruck</t>
        </is>
      </c>
      <c r="E270" t="n">
        <v>4799</v>
      </c>
      <c r="F270" t="n">
        <v>62707.65</v>
      </c>
      <c r="G270" t="n">
        <v>12</v>
      </c>
      <c r="H270" t="inlineStr">
        <is>
          <t>Performance</t>
        </is>
      </c>
      <c r="I270" t="inlineStr">
        <is>
          <t>RWD</t>
        </is>
      </c>
      <c r="J270" t="inlineStr">
        <is>
          <t>Black</t>
        </is>
      </c>
      <c r="K270" t="n">
        <v>406</v>
      </c>
      <c r="L270" t="n">
        <v>50</v>
      </c>
      <c r="M270" t="n">
        <v>15.73</v>
      </c>
      <c r="N270" t="n">
        <v>4675.36</v>
      </c>
      <c r="O270" t="n">
        <v>4.12</v>
      </c>
      <c r="P270" t="n">
        <v>5</v>
      </c>
      <c r="Q270" t="n">
        <v>3</v>
      </c>
      <c r="R270" t="n">
        <v>2021.2</v>
      </c>
      <c r="S270" t="b">
        <v>0</v>
      </c>
      <c r="T270" t="n">
        <v>4163506</v>
      </c>
      <c r="U270" t="n">
        <v>2</v>
      </c>
      <c r="V270" t="n">
        <v>0.0901</v>
      </c>
      <c r="W270" t="n">
        <v>0.79</v>
      </c>
      <c r="X270" t="n">
        <v>87.84</v>
      </c>
      <c r="Y270">
        <f>VLOOKUP(D270,$AB$2:$AC$7,2,FALSE)</f>
        <v/>
      </c>
      <c r="Z270">
        <f>IF(A270&lt;Y270,"Yes","No")</f>
        <v/>
      </c>
    </row>
    <row r="271">
      <c r="A271" t="n">
        <v>2019</v>
      </c>
      <c r="B271" t="inlineStr">
        <is>
          <t>Q2</t>
        </is>
      </c>
      <c r="C271" t="inlineStr">
        <is>
          <t>Australia</t>
        </is>
      </c>
      <c r="D271" t="inlineStr">
        <is>
          <t>Model X</t>
        </is>
      </c>
      <c r="E271" t="n">
        <v>1167</v>
      </c>
      <c r="F271" t="n">
        <v>73907.92</v>
      </c>
      <c r="G271" t="n">
        <v>12</v>
      </c>
      <c r="H271" t="inlineStr">
        <is>
          <t>Performance</t>
        </is>
      </c>
      <c r="I271" t="inlineStr">
        <is>
          <t>RWD</t>
        </is>
      </c>
      <c r="J271" t="inlineStr">
        <is>
          <t>White</t>
        </is>
      </c>
      <c r="K271" t="n">
        <v>453</v>
      </c>
      <c r="L271" t="n">
        <v>51</v>
      </c>
      <c r="M271" t="n">
        <v>14.53</v>
      </c>
      <c r="N271" t="n">
        <v>2199.12</v>
      </c>
      <c r="O271" t="n">
        <v>3.59</v>
      </c>
      <c r="P271" t="n">
        <v>5</v>
      </c>
      <c r="Q271" t="n">
        <v>0</v>
      </c>
      <c r="R271" t="n">
        <v>2023.8</v>
      </c>
      <c r="S271" t="b">
        <v>0</v>
      </c>
      <c r="T271" t="n">
        <v>1536140</v>
      </c>
      <c r="U271" t="n">
        <v>7</v>
      </c>
      <c r="V271" t="n">
        <v>0.0298</v>
      </c>
      <c r="W271" t="n">
        <v>1.09</v>
      </c>
      <c r="X271" t="n">
        <v>64.7</v>
      </c>
      <c r="Y271">
        <f>VLOOKUP(D271,$AB$2:$AC$7,2,FALSE)</f>
        <v/>
      </c>
      <c r="Z271">
        <f>IF(A271&lt;Y271,"Yes","No")</f>
        <v/>
      </c>
    </row>
    <row r="272">
      <c r="A272" t="n">
        <v>2024</v>
      </c>
      <c r="B272" t="inlineStr">
        <is>
          <t>Q2</t>
        </is>
      </c>
      <c r="C272" t="inlineStr">
        <is>
          <t>South America</t>
        </is>
      </c>
      <c r="D272" t="inlineStr">
        <is>
          <t>Cybertruck</t>
        </is>
      </c>
      <c r="E272" t="n">
        <v>1931</v>
      </c>
      <c r="F272" t="n">
        <v>42350.32</v>
      </c>
      <c r="G272" t="n">
        <v>54</v>
      </c>
      <c r="H272" t="inlineStr">
        <is>
          <t>Performance</t>
        </is>
      </c>
      <c r="I272" t="inlineStr">
        <is>
          <t>RWD</t>
        </is>
      </c>
      <c r="J272" t="inlineStr">
        <is>
          <t>Black</t>
        </is>
      </c>
      <c r="K272" t="n">
        <v>652</v>
      </c>
      <c r="L272" t="n">
        <v>60</v>
      </c>
      <c r="M272" t="n">
        <v>23.04</v>
      </c>
      <c r="N272" t="n">
        <v>2043.66</v>
      </c>
      <c r="O272" t="n">
        <v>4.6</v>
      </c>
      <c r="P272" t="n">
        <v>5</v>
      </c>
      <c r="Q272" t="n">
        <v>1</v>
      </c>
      <c r="R272" t="n">
        <v>2022.7</v>
      </c>
      <c r="S272" t="b">
        <v>1</v>
      </c>
      <c r="T272" t="n">
        <v>1349648</v>
      </c>
      <c r="U272" t="n">
        <v>11</v>
      </c>
      <c r="V272" t="n">
        <v>0.09080000000000001</v>
      </c>
      <c r="W272" t="n">
        <v>1.34</v>
      </c>
      <c r="X272" t="n">
        <v>61.33</v>
      </c>
      <c r="Y272">
        <f>VLOOKUP(D272,$AB$2:$AC$7,2,FALSE)</f>
        <v/>
      </c>
      <c r="Z272">
        <f>IF(A272&lt;Y272,"Yes","No")</f>
        <v/>
      </c>
    </row>
    <row r="273">
      <c r="A273" t="n">
        <v>2019</v>
      </c>
      <c r="B273" t="inlineStr">
        <is>
          <t>Q1</t>
        </is>
      </c>
      <c r="C273" t="inlineStr">
        <is>
          <t>Australia</t>
        </is>
      </c>
      <c r="D273" t="inlineStr">
        <is>
          <t>Cybertruck</t>
        </is>
      </c>
      <c r="E273" t="n">
        <v>3280</v>
      </c>
      <c r="F273" t="n">
        <v>75737.89</v>
      </c>
      <c r="G273" t="n">
        <v>51</v>
      </c>
      <c r="H273" t="inlineStr">
        <is>
          <t>Performance</t>
        </is>
      </c>
      <c r="I273" t="inlineStr">
        <is>
          <t>AWD</t>
        </is>
      </c>
      <c r="J273" t="inlineStr">
        <is>
          <t>Blue</t>
        </is>
      </c>
      <c r="K273" t="n">
        <v>603</v>
      </c>
      <c r="L273" t="n">
        <v>45</v>
      </c>
      <c r="M273" t="n">
        <v>14</v>
      </c>
      <c r="N273" t="n">
        <v>6580.2</v>
      </c>
      <c r="O273" t="n">
        <v>4.54</v>
      </c>
      <c r="P273" t="n">
        <v>8</v>
      </c>
      <c r="Q273" t="n">
        <v>1</v>
      </c>
      <c r="R273" t="n">
        <v>2021.6</v>
      </c>
      <c r="S273" t="b">
        <v>0</v>
      </c>
      <c r="T273" t="n">
        <v>2105400</v>
      </c>
      <c r="U273" t="n">
        <v>12</v>
      </c>
      <c r="V273" t="n">
        <v>0.0999</v>
      </c>
      <c r="W273" t="n">
        <v>0.53</v>
      </c>
      <c r="X273" t="n">
        <v>80.06999999999999</v>
      </c>
      <c r="Y273">
        <f>VLOOKUP(D273,$AB$2:$AC$7,2,FALSE)</f>
        <v/>
      </c>
      <c r="Z273">
        <f>IF(A273&lt;Y273,"Yes","No")</f>
        <v/>
      </c>
    </row>
    <row r="274">
      <c r="A274" t="n">
        <v>2014</v>
      </c>
      <c r="B274" t="inlineStr">
        <is>
          <t>Q4</t>
        </is>
      </c>
      <c r="C274" t="inlineStr">
        <is>
          <t>South America</t>
        </is>
      </c>
      <c r="D274" t="inlineStr">
        <is>
          <t>Semi</t>
        </is>
      </c>
      <c r="E274" t="n">
        <v>4831</v>
      </c>
      <c r="F274" t="n">
        <v>37075.15</v>
      </c>
      <c r="G274" t="n">
        <v>29</v>
      </c>
      <c r="H274" t="inlineStr">
        <is>
          <t>Long Range</t>
        </is>
      </c>
      <c r="I274" t="inlineStr">
        <is>
          <t>AWD</t>
        </is>
      </c>
      <c r="J274" t="inlineStr">
        <is>
          <t>Green</t>
        </is>
      </c>
      <c r="K274" t="n">
        <v>557</v>
      </c>
      <c r="L274" t="n">
        <v>41</v>
      </c>
      <c r="M274" t="n">
        <v>22.48</v>
      </c>
      <c r="N274" t="n">
        <v>5994.5</v>
      </c>
      <c r="O274" t="n">
        <v>4.2</v>
      </c>
      <c r="P274" t="n">
        <v>4</v>
      </c>
      <c r="Q274" t="n">
        <v>0</v>
      </c>
      <c r="R274" t="n">
        <v>2023.12</v>
      </c>
      <c r="S274" t="b">
        <v>0</v>
      </c>
      <c r="T274" t="n">
        <v>4553682</v>
      </c>
      <c r="U274" t="n">
        <v>2</v>
      </c>
      <c r="V274" t="n">
        <v>0.0367</v>
      </c>
      <c r="W274" t="n">
        <v>2.01</v>
      </c>
      <c r="X274" t="n">
        <v>80.94</v>
      </c>
      <c r="Y274">
        <f>VLOOKUP(D274,$AB$2:$AC$7,2,FALSE)</f>
        <v/>
      </c>
      <c r="Z274">
        <f>IF(A274&lt;Y274,"Yes","No")</f>
        <v/>
      </c>
    </row>
    <row r="275">
      <c r="A275" t="n">
        <v>2021</v>
      </c>
      <c r="B275" t="inlineStr">
        <is>
          <t>Q2</t>
        </is>
      </c>
      <c r="C275" t="inlineStr">
        <is>
          <t>North America</t>
        </is>
      </c>
      <c r="D275" t="inlineStr">
        <is>
          <t>Cybertruck</t>
        </is>
      </c>
      <c r="E275" t="n">
        <v>2800</v>
      </c>
      <c r="F275" t="n">
        <v>97539.67</v>
      </c>
      <c r="G275" t="n">
        <v>3</v>
      </c>
      <c r="H275" t="inlineStr">
        <is>
          <t>Performance</t>
        </is>
      </c>
      <c r="I275" t="inlineStr">
        <is>
          <t>RWD</t>
        </is>
      </c>
      <c r="J275" t="inlineStr">
        <is>
          <t>Red</t>
        </is>
      </c>
      <c r="K275" t="n">
        <v>406</v>
      </c>
      <c r="L275" t="n">
        <v>54</v>
      </c>
      <c r="M275" t="n">
        <v>17.39</v>
      </c>
      <c r="N275" t="n">
        <v>4867.15</v>
      </c>
      <c r="O275" t="n">
        <v>4.05</v>
      </c>
      <c r="P275" t="n">
        <v>5</v>
      </c>
      <c r="Q275" t="n">
        <v>0</v>
      </c>
      <c r="R275" t="n">
        <v>2024.12</v>
      </c>
      <c r="S275" t="b">
        <v>1</v>
      </c>
      <c r="T275" t="n">
        <v>1261032</v>
      </c>
      <c r="U275" t="n">
        <v>7</v>
      </c>
      <c r="V275" t="n">
        <v>0.0315</v>
      </c>
      <c r="W275" t="n">
        <v>0.73</v>
      </c>
      <c r="X275" t="n">
        <v>74.34999999999999</v>
      </c>
      <c r="Y275">
        <f>VLOOKUP(D275,$AB$2:$AC$7,2,FALSE)</f>
        <v/>
      </c>
      <c r="Z275">
        <f>IF(A275&lt;Y275,"Yes","No")</f>
        <v/>
      </c>
    </row>
    <row r="276">
      <c r="A276" t="n">
        <v>2024</v>
      </c>
      <c r="B276" t="inlineStr">
        <is>
          <t>Q2</t>
        </is>
      </c>
      <c r="C276" t="inlineStr">
        <is>
          <t>Europe</t>
        </is>
      </c>
      <c r="D276" t="inlineStr">
        <is>
          <t>Model X</t>
        </is>
      </c>
      <c r="E276" t="n">
        <v>2939</v>
      </c>
      <c r="F276" t="n">
        <v>111324.31</v>
      </c>
      <c r="G276" t="n">
        <v>32</v>
      </c>
      <c r="H276" t="inlineStr">
        <is>
          <t>Performance</t>
        </is>
      </c>
      <c r="I276" t="inlineStr">
        <is>
          <t>RWD</t>
        </is>
      </c>
      <c r="J276" t="inlineStr">
        <is>
          <t>White</t>
        </is>
      </c>
      <c r="K276" t="n">
        <v>377</v>
      </c>
      <c r="L276" t="n">
        <v>34</v>
      </c>
      <c r="M276" t="n">
        <v>17.47</v>
      </c>
      <c r="N276" t="n">
        <v>4128.77</v>
      </c>
      <c r="O276" t="n">
        <v>4.25</v>
      </c>
      <c r="P276" t="n">
        <v>4</v>
      </c>
      <c r="Q276" t="n">
        <v>3</v>
      </c>
      <c r="R276" t="n">
        <v>2024.11</v>
      </c>
      <c r="S276" t="b">
        <v>0</v>
      </c>
      <c r="T276" t="n">
        <v>3891469</v>
      </c>
      <c r="U276" t="n">
        <v>11</v>
      </c>
      <c r="V276" t="n">
        <v>0.0431</v>
      </c>
      <c r="W276" t="n">
        <v>1.85</v>
      </c>
      <c r="X276" t="n">
        <v>80.8</v>
      </c>
      <c r="Y276">
        <f>VLOOKUP(D276,$AB$2:$AC$7,2,FALSE)</f>
        <v/>
      </c>
      <c r="Z276">
        <f>IF(A276&lt;Y276,"Yes","No")</f>
        <v/>
      </c>
    </row>
    <row r="277">
      <c r="A277" t="n">
        <v>2013</v>
      </c>
      <c r="B277" t="inlineStr">
        <is>
          <t>Q2</t>
        </is>
      </c>
      <c r="C277" t="inlineStr">
        <is>
          <t>Australia</t>
        </is>
      </c>
      <c r="D277" t="inlineStr">
        <is>
          <t>Model S</t>
        </is>
      </c>
      <c r="E277" t="n">
        <v>706</v>
      </c>
      <c r="F277" t="n">
        <v>68208.00999999999</v>
      </c>
      <c r="G277" t="n">
        <v>11</v>
      </c>
      <c r="H277" t="inlineStr">
        <is>
          <t>Long Range</t>
        </is>
      </c>
      <c r="I277" t="inlineStr">
        <is>
          <t>AWD</t>
        </is>
      </c>
      <c r="J277" t="inlineStr">
        <is>
          <t>Red</t>
        </is>
      </c>
      <c r="K277" t="n">
        <v>434</v>
      </c>
      <c r="L277" t="n">
        <v>47</v>
      </c>
      <c r="M277" t="n">
        <v>14.34</v>
      </c>
      <c r="N277" t="n">
        <v>561.91</v>
      </c>
      <c r="O277" t="n">
        <v>3.73</v>
      </c>
      <c r="P277" t="n">
        <v>5</v>
      </c>
      <c r="Q277" t="n">
        <v>0</v>
      </c>
      <c r="R277" t="n">
        <v>2022.7</v>
      </c>
      <c r="S277" t="b">
        <v>1</v>
      </c>
      <c r="T277" t="n">
        <v>4075402</v>
      </c>
      <c r="U277" t="n">
        <v>7</v>
      </c>
      <c r="V277" t="n">
        <v>0.0478</v>
      </c>
      <c r="W277" t="n">
        <v>1.98</v>
      </c>
      <c r="X277" t="n">
        <v>60.64</v>
      </c>
      <c r="Y277">
        <f>VLOOKUP(D277,$AB$2:$AC$7,2,FALSE)</f>
        <v/>
      </c>
      <c r="Z277">
        <f>IF(A277&lt;Y277,"Yes","No")</f>
        <v/>
      </c>
    </row>
    <row r="278">
      <c r="A278" t="n">
        <v>2015</v>
      </c>
      <c r="B278" t="inlineStr">
        <is>
          <t>Q1</t>
        </is>
      </c>
      <c r="C278" t="inlineStr">
        <is>
          <t>North America</t>
        </is>
      </c>
      <c r="D278" t="inlineStr">
        <is>
          <t>Model 3</t>
        </is>
      </c>
      <c r="E278" t="n">
        <v>4306</v>
      </c>
      <c r="F278" t="n">
        <v>89797.12</v>
      </c>
      <c r="G278" t="n">
        <v>26</v>
      </c>
      <c r="H278" t="inlineStr">
        <is>
          <t>Performance</t>
        </is>
      </c>
      <c r="I278" t="inlineStr">
        <is>
          <t>RWD</t>
        </is>
      </c>
      <c r="J278" t="inlineStr">
        <is>
          <t>Green</t>
        </is>
      </c>
      <c r="K278" t="n">
        <v>680</v>
      </c>
      <c r="L278" t="n">
        <v>80</v>
      </c>
      <c r="M278" t="n">
        <v>16.92</v>
      </c>
      <c r="N278" t="n">
        <v>7262.99</v>
      </c>
      <c r="O278" t="n">
        <v>4.55</v>
      </c>
      <c r="P278" t="n">
        <v>8</v>
      </c>
      <c r="Q278" t="n">
        <v>3</v>
      </c>
      <c r="R278" t="n">
        <v>2022.1</v>
      </c>
      <c r="S278" t="b">
        <v>1</v>
      </c>
      <c r="T278" t="n">
        <v>2671066</v>
      </c>
      <c r="U278" t="n">
        <v>4</v>
      </c>
      <c r="V278" t="n">
        <v>0.081</v>
      </c>
      <c r="W278" t="n">
        <v>0.95</v>
      </c>
      <c r="X278" t="n">
        <v>71.16</v>
      </c>
      <c r="Y278">
        <f>VLOOKUP(D278,$AB$2:$AC$7,2,FALSE)</f>
        <v/>
      </c>
      <c r="Z278">
        <f>IF(A278&lt;Y278,"Yes","No")</f>
        <v/>
      </c>
    </row>
    <row r="279">
      <c r="A279" t="n">
        <v>2016</v>
      </c>
      <c r="B279" t="inlineStr">
        <is>
          <t>Q1</t>
        </is>
      </c>
      <c r="C279" t="inlineStr">
        <is>
          <t>Europe</t>
        </is>
      </c>
      <c r="D279" t="inlineStr">
        <is>
          <t>Model X</t>
        </is>
      </c>
      <c r="E279" t="n">
        <v>2379</v>
      </c>
      <c r="F279" t="n">
        <v>73753.75999999999</v>
      </c>
      <c r="G279" t="n">
        <v>10</v>
      </c>
      <c r="H279" t="inlineStr">
        <is>
          <t>Performance</t>
        </is>
      </c>
      <c r="I279" t="inlineStr">
        <is>
          <t>AWD</t>
        </is>
      </c>
      <c r="J279" t="inlineStr">
        <is>
          <t>Green</t>
        </is>
      </c>
      <c r="K279" t="n">
        <v>624</v>
      </c>
      <c r="L279" t="n">
        <v>48</v>
      </c>
      <c r="M279" t="n">
        <v>15.19</v>
      </c>
      <c r="N279" t="n">
        <v>2023.86</v>
      </c>
      <c r="O279" t="n">
        <v>4.56</v>
      </c>
      <c r="P279" t="n">
        <v>5</v>
      </c>
      <c r="Q279" t="n">
        <v>1</v>
      </c>
      <c r="R279" t="n">
        <v>2021.2</v>
      </c>
      <c r="S279" t="b">
        <v>1</v>
      </c>
      <c r="T279" t="n">
        <v>2756050</v>
      </c>
      <c r="U279" t="n">
        <v>11</v>
      </c>
      <c r="V279" t="n">
        <v>0.0214</v>
      </c>
      <c r="W279" t="n">
        <v>1.02</v>
      </c>
      <c r="X279" t="n">
        <v>65.53</v>
      </c>
      <c r="Y279">
        <f>VLOOKUP(D279,$AB$2:$AC$7,2,FALSE)</f>
        <v/>
      </c>
      <c r="Z279">
        <f>IF(A279&lt;Y279,"Yes","No")</f>
        <v/>
      </c>
    </row>
    <row r="280">
      <c r="A280" t="n">
        <v>2020</v>
      </c>
      <c r="B280" t="inlineStr">
        <is>
          <t>Q1</t>
        </is>
      </c>
      <c r="C280" t="inlineStr">
        <is>
          <t>Asia</t>
        </is>
      </c>
      <c r="D280" t="inlineStr">
        <is>
          <t>Model X</t>
        </is>
      </c>
      <c r="E280" t="n">
        <v>1261</v>
      </c>
      <c r="F280" t="n">
        <v>66697.77</v>
      </c>
      <c r="G280" t="n">
        <v>34</v>
      </c>
      <c r="H280" t="inlineStr">
        <is>
          <t>Standard</t>
        </is>
      </c>
      <c r="I280" t="inlineStr">
        <is>
          <t>RWD</t>
        </is>
      </c>
      <c r="J280" t="inlineStr">
        <is>
          <t>Red</t>
        </is>
      </c>
      <c r="K280" t="n">
        <v>362</v>
      </c>
      <c r="L280" t="n">
        <v>55</v>
      </c>
      <c r="M280" t="n">
        <v>24.17</v>
      </c>
      <c r="N280" t="n">
        <v>2568.7</v>
      </c>
      <c r="O280" t="n">
        <v>4.92</v>
      </c>
      <c r="P280" t="n">
        <v>6</v>
      </c>
      <c r="Q280" t="n">
        <v>1</v>
      </c>
      <c r="R280" t="n">
        <v>2020.12</v>
      </c>
      <c r="S280" t="b">
        <v>0</v>
      </c>
      <c r="T280" t="n">
        <v>2579310</v>
      </c>
      <c r="U280" t="n">
        <v>9</v>
      </c>
      <c r="V280" t="n">
        <v>0.0906</v>
      </c>
      <c r="W280" t="n">
        <v>2.44</v>
      </c>
      <c r="X280" t="n">
        <v>82.62</v>
      </c>
      <c r="Y280">
        <f>VLOOKUP(D280,$AB$2:$AC$7,2,FALSE)</f>
        <v/>
      </c>
      <c r="Z280">
        <f>IF(A280&lt;Y280,"Yes","No")</f>
        <v/>
      </c>
    </row>
    <row r="281">
      <c r="A281" t="n">
        <v>2021</v>
      </c>
      <c r="B281" t="inlineStr">
        <is>
          <t>Q2</t>
        </is>
      </c>
      <c r="C281" t="inlineStr">
        <is>
          <t>South America</t>
        </is>
      </c>
      <c r="D281" t="inlineStr">
        <is>
          <t>Semi</t>
        </is>
      </c>
      <c r="E281" t="n">
        <v>3671</v>
      </c>
      <c r="F281" t="n">
        <v>63788.18</v>
      </c>
      <c r="G281" t="n">
        <v>7</v>
      </c>
      <c r="H281" t="inlineStr">
        <is>
          <t>Performance</t>
        </is>
      </c>
      <c r="I281" t="inlineStr">
        <is>
          <t>RWD</t>
        </is>
      </c>
      <c r="J281" t="inlineStr">
        <is>
          <t>Red</t>
        </is>
      </c>
      <c r="K281" t="n">
        <v>421</v>
      </c>
      <c r="L281" t="n">
        <v>73</v>
      </c>
      <c r="M281" t="n">
        <v>19.61</v>
      </c>
      <c r="N281" t="n">
        <v>4097.44</v>
      </c>
      <c r="O281" t="n">
        <v>4.1</v>
      </c>
      <c r="P281" t="n">
        <v>5</v>
      </c>
      <c r="Q281" t="n">
        <v>3</v>
      </c>
      <c r="R281" t="n">
        <v>2022.2</v>
      </c>
      <c r="S281" t="b">
        <v>0</v>
      </c>
      <c r="T281" t="n">
        <v>561655</v>
      </c>
      <c r="U281" t="n">
        <v>11</v>
      </c>
      <c r="V281" t="n">
        <v>0.0677</v>
      </c>
      <c r="W281" t="n">
        <v>1.67</v>
      </c>
      <c r="X281" t="n">
        <v>66.66</v>
      </c>
      <c r="Y281">
        <f>VLOOKUP(D281,$AB$2:$AC$7,2,FALSE)</f>
        <v/>
      </c>
      <c r="Z281">
        <f>IF(A281&lt;Y281,"Yes","No")</f>
        <v/>
      </c>
    </row>
    <row r="282">
      <c r="A282" t="n">
        <v>2024</v>
      </c>
      <c r="B282" t="inlineStr">
        <is>
          <t>Q3</t>
        </is>
      </c>
      <c r="C282" t="inlineStr">
        <is>
          <t>Europe</t>
        </is>
      </c>
      <c r="D282" t="inlineStr">
        <is>
          <t>Model S</t>
        </is>
      </c>
      <c r="E282" t="n">
        <v>734</v>
      </c>
      <c r="F282" t="n">
        <v>80765.05</v>
      </c>
      <c r="G282" t="n">
        <v>28</v>
      </c>
      <c r="H282" t="inlineStr">
        <is>
          <t>Performance</t>
        </is>
      </c>
      <c r="I282" t="inlineStr">
        <is>
          <t>AWD</t>
        </is>
      </c>
      <c r="J282" t="inlineStr">
        <is>
          <t>Silver</t>
        </is>
      </c>
      <c r="K282" t="n">
        <v>551</v>
      </c>
      <c r="L282" t="n">
        <v>42</v>
      </c>
      <c r="M282" t="n">
        <v>18.89</v>
      </c>
      <c r="N282" t="n">
        <v>1252.46</v>
      </c>
      <c r="O282" t="n">
        <v>4.27</v>
      </c>
      <c r="P282" t="n">
        <v>4</v>
      </c>
      <c r="Q282" t="n">
        <v>2</v>
      </c>
      <c r="R282" t="n">
        <v>2023.3</v>
      </c>
      <c r="S282" t="b">
        <v>0</v>
      </c>
      <c r="T282" t="n">
        <v>3200680</v>
      </c>
      <c r="U282" t="n">
        <v>8</v>
      </c>
      <c r="V282" t="n">
        <v>0.0436</v>
      </c>
      <c r="W282" t="n">
        <v>1.07</v>
      </c>
      <c r="X282" t="n">
        <v>70.54000000000001</v>
      </c>
      <c r="Y282">
        <f>VLOOKUP(D282,$AB$2:$AC$7,2,FALSE)</f>
        <v/>
      </c>
      <c r="Z282">
        <f>IF(A282&lt;Y282,"Yes","No")</f>
        <v/>
      </c>
    </row>
    <row r="283">
      <c r="A283" t="n">
        <v>2019</v>
      </c>
      <c r="B283" t="inlineStr">
        <is>
          <t>Q1</t>
        </is>
      </c>
      <c r="C283" t="inlineStr">
        <is>
          <t>Europe</t>
        </is>
      </c>
      <c r="D283" t="inlineStr">
        <is>
          <t>Semi</t>
        </is>
      </c>
      <c r="E283" t="n">
        <v>3689</v>
      </c>
      <c r="F283" t="n">
        <v>98029.85000000001</v>
      </c>
      <c r="G283" t="n">
        <v>26</v>
      </c>
      <c r="H283" t="inlineStr">
        <is>
          <t>Long Range</t>
        </is>
      </c>
      <c r="I283" t="inlineStr">
        <is>
          <t>RWD</t>
        </is>
      </c>
      <c r="J283" t="inlineStr">
        <is>
          <t>Black</t>
        </is>
      </c>
      <c r="K283" t="n">
        <v>567</v>
      </c>
      <c r="L283" t="n">
        <v>76</v>
      </c>
      <c r="M283" t="n">
        <v>23.76</v>
      </c>
      <c r="N283" t="n">
        <v>2874.23</v>
      </c>
      <c r="O283" t="n">
        <v>4.38</v>
      </c>
      <c r="P283" t="n">
        <v>4</v>
      </c>
      <c r="Q283" t="n">
        <v>1</v>
      </c>
      <c r="R283" t="n">
        <v>2021.5</v>
      </c>
      <c r="S283" t="b">
        <v>0</v>
      </c>
      <c r="T283" t="n">
        <v>4506544</v>
      </c>
      <c r="U283" t="n">
        <v>7</v>
      </c>
      <c r="V283" t="n">
        <v>0.016</v>
      </c>
      <c r="W283" t="n">
        <v>2.42</v>
      </c>
      <c r="X283" t="n">
        <v>82.68000000000001</v>
      </c>
      <c r="Y283">
        <f>VLOOKUP(D283,$AB$2:$AC$7,2,FALSE)</f>
        <v/>
      </c>
      <c r="Z283">
        <f>IF(A283&lt;Y283,"Yes","No")</f>
        <v/>
      </c>
    </row>
    <row r="284">
      <c r="A284" t="n">
        <v>2013</v>
      </c>
      <c r="B284" t="inlineStr">
        <is>
          <t>Q1</t>
        </is>
      </c>
      <c r="C284" t="inlineStr">
        <is>
          <t>Australia</t>
        </is>
      </c>
      <c r="D284" t="inlineStr">
        <is>
          <t>Semi</t>
        </is>
      </c>
      <c r="E284" t="n">
        <v>2289</v>
      </c>
      <c r="F284" t="n">
        <v>70233.69</v>
      </c>
      <c r="G284" t="n">
        <v>35</v>
      </c>
      <c r="H284" t="inlineStr">
        <is>
          <t>Long Range</t>
        </is>
      </c>
      <c r="I284" t="inlineStr">
        <is>
          <t>AWD</t>
        </is>
      </c>
      <c r="J284" t="inlineStr">
        <is>
          <t>Black</t>
        </is>
      </c>
      <c r="K284" t="n">
        <v>445</v>
      </c>
      <c r="L284" t="n">
        <v>83</v>
      </c>
      <c r="M284" t="n">
        <v>17.58</v>
      </c>
      <c r="N284" t="n">
        <v>3680.1</v>
      </c>
      <c r="O284" t="n">
        <v>3.56</v>
      </c>
      <c r="P284" t="n">
        <v>6</v>
      </c>
      <c r="Q284" t="n">
        <v>2</v>
      </c>
      <c r="R284" t="n">
        <v>2023.9</v>
      </c>
      <c r="S284" t="b">
        <v>0</v>
      </c>
      <c r="T284" t="n">
        <v>1983412</v>
      </c>
      <c r="U284" t="n">
        <v>2</v>
      </c>
      <c r="V284" t="n">
        <v>0.08119999999999999</v>
      </c>
      <c r="W284" t="n">
        <v>0.8100000000000001</v>
      </c>
      <c r="X284" t="n">
        <v>69.01000000000001</v>
      </c>
      <c r="Y284">
        <f>VLOOKUP(D284,$AB$2:$AC$7,2,FALSE)</f>
        <v/>
      </c>
      <c r="Z284">
        <f>IF(A284&lt;Y284,"Yes","No")</f>
        <v/>
      </c>
    </row>
    <row r="285">
      <c r="A285" t="n">
        <v>2022</v>
      </c>
      <c r="B285" t="inlineStr">
        <is>
          <t>Q4</t>
        </is>
      </c>
      <c r="C285" t="inlineStr">
        <is>
          <t>North America</t>
        </is>
      </c>
      <c r="D285" t="inlineStr">
        <is>
          <t>Semi</t>
        </is>
      </c>
      <c r="E285" t="n">
        <v>2406</v>
      </c>
      <c r="F285" t="n">
        <v>70458.33</v>
      </c>
      <c r="G285" t="n">
        <v>31</v>
      </c>
      <c r="H285" t="inlineStr">
        <is>
          <t>Performance</t>
        </is>
      </c>
      <c r="I285" t="inlineStr">
        <is>
          <t>AWD</t>
        </is>
      </c>
      <c r="J285" t="inlineStr">
        <is>
          <t>Red</t>
        </is>
      </c>
      <c r="K285" t="n">
        <v>411</v>
      </c>
      <c r="L285" t="n">
        <v>78</v>
      </c>
      <c r="M285" t="n">
        <v>16.33</v>
      </c>
      <c r="N285" t="n">
        <v>5987.73</v>
      </c>
      <c r="O285" t="n">
        <v>3.6</v>
      </c>
      <c r="P285" t="n">
        <v>6</v>
      </c>
      <c r="Q285" t="n">
        <v>3</v>
      </c>
      <c r="R285" t="n">
        <v>2024.7</v>
      </c>
      <c r="S285" t="b">
        <v>0</v>
      </c>
      <c r="T285" t="n">
        <v>4093318</v>
      </c>
      <c r="U285" t="n">
        <v>3</v>
      </c>
      <c r="V285" t="n">
        <v>0.0436</v>
      </c>
      <c r="W285" t="n">
        <v>1.97</v>
      </c>
      <c r="X285" t="n">
        <v>60.53</v>
      </c>
      <c r="Y285">
        <f>VLOOKUP(D285,$AB$2:$AC$7,2,FALSE)</f>
        <v/>
      </c>
      <c r="Z285">
        <f>IF(A285&lt;Y285,"Yes","No")</f>
        <v/>
      </c>
    </row>
    <row r="286">
      <c r="A286" t="n">
        <v>2016</v>
      </c>
      <c r="B286" t="inlineStr">
        <is>
          <t>Q2</t>
        </is>
      </c>
      <c r="C286" t="inlineStr">
        <is>
          <t>South America</t>
        </is>
      </c>
      <c r="D286" t="inlineStr">
        <is>
          <t>Model S</t>
        </is>
      </c>
      <c r="E286" t="n">
        <v>1247</v>
      </c>
      <c r="F286" t="n">
        <v>62172.89</v>
      </c>
      <c r="G286" t="n">
        <v>56</v>
      </c>
      <c r="H286" t="inlineStr">
        <is>
          <t>Performance</t>
        </is>
      </c>
      <c r="I286" t="inlineStr">
        <is>
          <t>AWD</t>
        </is>
      </c>
      <c r="J286" t="inlineStr">
        <is>
          <t>White</t>
        </is>
      </c>
      <c r="K286" t="n">
        <v>433</v>
      </c>
      <c r="L286" t="n">
        <v>33</v>
      </c>
      <c r="M286" t="n">
        <v>16.27</v>
      </c>
      <c r="N286" t="n">
        <v>1669.77</v>
      </c>
      <c r="O286" t="n">
        <v>4.87</v>
      </c>
      <c r="P286" t="n">
        <v>6</v>
      </c>
      <c r="Q286" t="n">
        <v>0</v>
      </c>
      <c r="R286" t="n">
        <v>2022.5</v>
      </c>
      <c r="S286" t="b">
        <v>1</v>
      </c>
      <c r="T286" t="n">
        <v>4410624</v>
      </c>
      <c r="U286" t="n">
        <v>5</v>
      </c>
      <c r="V286" t="n">
        <v>0.079</v>
      </c>
      <c r="W286" t="n">
        <v>0.87</v>
      </c>
      <c r="X286" t="n">
        <v>62.84</v>
      </c>
      <c r="Y286">
        <f>VLOOKUP(D286,$AB$2:$AC$7,2,FALSE)</f>
        <v/>
      </c>
      <c r="Z286">
        <f>IF(A286&lt;Y286,"Yes","No")</f>
        <v/>
      </c>
    </row>
    <row r="287">
      <c r="A287" t="n">
        <v>2024</v>
      </c>
      <c r="B287" t="inlineStr">
        <is>
          <t>Q2</t>
        </is>
      </c>
      <c r="C287" t="inlineStr">
        <is>
          <t>South America</t>
        </is>
      </c>
      <c r="D287" t="inlineStr">
        <is>
          <t>Model X</t>
        </is>
      </c>
      <c r="E287" t="n">
        <v>2640</v>
      </c>
      <c r="F287" t="n">
        <v>105279.87</v>
      </c>
      <c r="G287" t="n">
        <v>43</v>
      </c>
      <c r="H287" t="inlineStr">
        <is>
          <t>Long Range</t>
        </is>
      </c>
      <c r="I287" t="inlineStr">
        <is>
          <t>RWD</t>
        </is>
      </c>
      <c r="J287" t="inlineStr">
        <is>
          <t>Green</t>
        </is>
      </c>
      <c r="K287" t="n">
        <v>535</v>
      </c>
      <c r="L287" t="n">
        <v>36</v>
      </c>
      <c r="M287" t="n">
        <v>19.41</v>
      </c>
      <c r="N287" t="n">
        <v>3176.6</v>
      </c>
      <c r="O287" t="n">
        <v>3.72</v>
      </c>
      <c r="P287" t="n">
        <v>5</v>
      </c>
      <c r="Q287" t="n">
        <v>2</v>
      </c>
      <c r="R287" t="n">
        <v>2022.8</v>
      </c>
      <c r="S287" t="b">
        <v>0</v>
      </c>
      <c r="T287" t="n">
        <v>2954753</v>
      </c>
      <c r="U287" t="n">
        <v>4</v>
      </c>
      <c r="V287" t="n">
        <v>0.0192</v>
      </c>
      <c r="W287" t="n">
        <v>0.8100000000000001</v>
      </c>
      <c r="X287" t="n">
        <v>66.63</v>
      </c>
      <c r="Y287">
        <f>VLOOKUP(D287,$AB$2:$AC$7,2,FALSE)</f>
        <v/>
      </c>
      <c r="Z287">
        <f>IF(A287&lt;Y287,"Yes","No")</f>
        <v/>
      </c>
    </row>
    <row r="288">
      <c r="A288" t="n">
        <v>2015</v>
      </c>
      <c r="B288" t="inlineStr">
        <is>
          <t>Q1</t>
        </is>
      </c>
      <c r="C288" t="inlineStr">
        <is>
          <t>Australia</t>
        </is>
      </c>
      <c r="D288" t="inlineStr">
        <is>
          <t>Model Y</t>
        </is>
      </c>
      <c r="E288" t="n">
        <v>675</v>
      </c>
      <c r="F288" t="n">
        <v>44908.08</v>
      </c>
      <c r="G288" t="n">
        <v>8</v>
      </c>
      <c r="H288" t="inlineStr">
        <is>
          <t>Standard</t>
        </is>
      </c>
      <c r="I288" t="inlineStr">
        <is>
          <t>RWD</t>
        </is>
      </c>
      <c r="J288" t="inlineStr">
        <is>
          <t>White</t>
        </is>
      </c>
      <c r="K288" t="n">
        <v>509</v>
      </c>
      <c r="L288" t="n">
        <v>74</v>
      </c>
      <c r="M288" t="n">
        <v>17.35</v>
      </c>
      <c r="N288" t="n">
        <v>1440.5</v>
      </c>
      <c r="O288" t="n">
        <v>4.83</v>
      </c>
      <c r="P288" t="n">
        <v>6</v>
      </c>
      <c r="Q288" t="n">
        <v>1</v>
      </c>
      <c r="R288" t="n">
        <v>2022.1</v>
      </c>
      <c r="S288" t="b">
        <v>1</v>
      </c>
      <c r="T288" t="n">
        <v>1965272</v>
      </c>
      <c r="U288" t="n">
        <v>4</v>
      </c>
      <c r="V288" t="n">
        <v>0.0871</v>
      </c>
      <c r="W288" t="n">
        <v>0.78</v>
      </c>
      <c r="X288" t="n">
        <v>66.8</v>
      </c>
      <c r="Y288">
        <f>VLOOKUP(D288,$AB$2:$AC$7,2,FALSE)</f>
        <v/>
      </c>
      <c r="Z288">
        <f>IF(A288&lt;Y288,"Yes","No")</f>
        <v/>
      </c>
    </row>
    <row r="289">
      <c r="A289" t="n">
        <v>2014</v>
      </c>
      <c r="B289" t="inlineStr">
        <is>
          <t>Q2</t>
        </is>
      </c>
      <c r="C289" t="inlineStr">
        <is>
          <t>Europe</t>
        </is>
      </c>
      <c r="D289" t="inlineStr">
        <is>
          <t>Model S</t>
        </is>
      </c>
      <c r="E289" t="n">
        <v>3530</v>
      </c>
      <c r="F289" t="n">
        <v>93719.53999999999</v>
      </c>
      <c r="G289" t="n">
        <v>50</v>
      </c>
      <c r="H289" t="inlineStr">
        <is>
          <t>Standard</t>
        </is>
      </c>
      <c r="I289" t="inlineStr">
        <is>
          <t>AWD</t>
        </is>
      </c>
      <c r="J289" t="inlineStr">
        <is>
          <t>Red</t>
        </is>
      </c>
      <c r="K289" t="n">
        <v>597</v>
      </c>
      <c r="L289" t="n">
        <v>78</v>
      </c>
      <c r="M289" t="n">
        <v>18.17</v>
      </c>
      <c r="N289" t="n">
        <v>3151.24</v>
      </c>
      <c r="O289" t="n">
        <v>3.55</v>
      </c>
      <c r="P289" t="n">
        <v>4</v>
      </c>
      <c r="Q289" t="n">
        <v>3</v>
      </c>
      <c r="R289" t="n">
        <v>2020.5</v>
      </c>
      <c r="S289" t="b">
        <v>1</v>
      </c>
      <c r="T289" t="n">
        <v>655723</v>
      </c>
      <c r="U289" t="n">
        <v>6</v>
      </c>
      <c r="V289" t="n">
        <v>0.0701</v>
      </c>
      <c r="W289" t="n">
        <v>2.01</v>
      </c>
      <c r="X289" t="n">
        <v>83.47</v>
      </c>
      <c r="Y289">
        <f>VLOOKUP(D289,$AB$2:$AC$7,2,FALSE)</f>
        <v/>
      </c>
      <c r="Z289">
        <f>IF(A289&lt;Y289,"Yes","No")</f>
        <v/>
      </c>
    </row>
    <row r="290">
      <c r="A290" t="n">
        <v>2021</v>
      </c>
      <c r="B290" t="inlineStr">
        <is>
          <t>Q2</t>
        </is>
      </c>
      <c r="C290" t="inlineStr">
        <is>
          <t>South America</t>
        </is>
      </c>
      <c r="D290" t="inlineStr">
        <is>
          <t>Model 3</t>
        </is>
      </c>
      <c r="E290" t="n">
        <v>1563</v>
      </c>
      <c r="F290" t="n">
        <v>92001.06</v>
      </c>
      <c r="G290" t="n">
        <v>1</v>
      </c>
      <c r="H290" t="inlineStr">
        <is>
          <t>Standard</t>
        </is>
      </c>
      <c r="I290" t="inlineStr">
        <is>
          <t>AWD</t>
        </is>
      </c>
      <c r="J290" t="inlineStr">
        <is>
          <t>Green</t>
        </is>
      </c>
      <c r="K290" t="n">
        <v>492</v>
      </c>
      <c r="L290" t="n">
        <v>90</v>
      </c>
      <c r="M290" t="n">
        <v>19.96</v>
      </c>
      <c r="N290" t="n">
        <v>1882.49</v>
      </c>
      <c r="O290" t="n">
        <v>4.78</v>
      </c>
      <c r="P290" t="n">
        <v>5</v>
      </c>
      <c r="Q290" t="n">
        <v>0</v>
      </c>
      <c r="R290" t="n">
        <v>2020.1</v>
      </c>
      <c r="S290" t="b">
        <v>1</v>
      </c>
      <c r="T290" t="n">
        <v>4536220</v>
      </c>
      <c r="U290" t="n">
        <v>5</v>
      </c>
      <c r="V290" t="n">
        <v>0.07439999999999999</v>
      </c>
      <c r="W290" t="n">
        <v>2.43</v>
      </c>
      <c r="X290" t="n">
        <v>65.15000000000001</v>
      </c>
      <c r="Y290">
        <f>VLOOKUP(D290,$AB$2:$AC$7,2,FALSE)</f>
        <v/>
      </c>
      <c r="Z290">
        <f>IF(A290&lt;Y290,"Yes","No")</f>
        <v/>
      </c>
    </row>
    <row r="291">
      <c r="A291" t="n">
        <v>2024</v>
      </c>
      <c r="B291" t="inlineStr">
        <is>
          <t>Q1</t>
        </is>
      </c>
      <c r="C291" t="inlineStr">
        <is>
          <t>North America</t>
        </is>
      </c>
      <c r="D291" t="inlineStr">
        <is>
          <t>Model 3</t>
        </is>
      </c>
      <c r="E291" t="n">
        <v>4180</v>
      </c>
      <c r="F291" t="n">
        <v>107360.23</v>
      </c>
      <c r="G291" t="n">
        <v>30</v>
      </c>
      <c r="H291" t="inlineStr">
        <is>
          <t>Long Range</t>
        </is>
      </c>
      <c r="I291" t="inlineStr">
        <is>
          <t>AWD</t>
        </is>
      </c>
      <c r="J291" t="inlineStr">
        <is>
          <t>Blue</t>
        </is>
      </c>
      <c r="K291" t="n">
        <v>694</v>
      </c>
      <c r="L291" t="n">
        <v>36</v>
      </c>
      <c r="M291" t="n">
        <v>15.17</v>
      </c>
      <c r="N291" t="n">
        <v>5056.31</v>
      </c>
      <c r="O291" t="n">
        <v>4.07</v>
      </c>
      <c r="P291" t="n">
        <v>5</v>
      </c>
      <c r="Q291" t="n">
        <v>1</v>
      </c>
      <c r="R291" t="n">
        <v>2023.2</v>
      </c>
      <c r="S291" t="b">
        <v>0</v>
      </c>
      <c r="T291" t="n">
        <v>1136961</v>
      </c>
      <c r="U291" t="n">
        <v>9</v>
      </c>
      <c r="V291" t="n">
        <v>0.0199</v>
      </c>
      <c r="W291" t="n">
        <v>0.77</v>
      </c>
      <c r="X291" t="n">
        <v>82.87</v>
      </c>
      <c r="Y291">
        <f>VLOOKUP(D291,$AB$2:$AC$7,2,FALSE)</f>
        <v/>
      </c>
      <c r="Z291">
        <f>IF(A291&lt;Y291,"Yes","No")</f>
        <v/>
      </c>
    </row>
    <row r="292">
      <c r="A292" t="n">
        <v>2023</v>
      </c>
      <c r="B292" t="inlineStr">
        <is>
          <t>Q3</t>
        </is>
      </c>
      <c r="C292" t="inlineStr">
        <is>
          <t>South America</t>
        </is>
      </c>
      <c r="D292" t="inlineStr">
        <is>
          <t>Semi</t>
        </is>
      </c>
      <c r="E292" t="n">
        <v>382</v>
      </c>
      <c r="F292" t="n">
        <v>41991.08</v>
      </c>
      <c r="G292" t="n">
        <v>31</v>
      </c>
      <c r="H292" t="inlineStr">
        <is>
          <t>Standard</t>
        </is>
      </c>
      <c r="I292" t="inlineStr">
        <is>
          <t>RWD</t>
        </is>
      </c>
      <c r="J292" t="inlineStr">
        <is>
          <t>White</t>
        </is>
      </c>
      <c r="K292" t="n">
        <v>583</v>
      </c>
      <c r="L292" t="n">
        <v>68</v>
      </c>
      <c r="M292" t="n">
        <v>21.83</v>
      </c>
      <c r="N292" t="n">
        <v>715.9</v>
      </c>
      <c r="O292" t="n">
        <v>4.76</v>
      </c>
      <c r="P292" t="n">
        <v>5</v>
      </c>
      <c r="Q292" t="n">
        <v>3</v>
      </c>
      <c r="R292" t="n">
        <v>2022.7</v>
      </c>
      <c r="S292" t="b">
        <v>1</v>
      </c>
      <c r="T292" t="n">
        <v>683923</v>
      </c>
      <c r="U292" t="n">
        <v>9</v>
      </c>
      <c r="V292" t="n">
        <v>0.0945</v>
      </c>
      <c r="W292" t="n">
        <v>1.23</v>
      </c>
      <c r="X292" t="n">
        <v>60.38</v>
      </c>
      <c r="Y292">
        <f>VLOOKUP(D292,$AB$2:$AC$7,2,FALSE)</f>
        <v/>
      </c>
      <c r="Z292">
        <f>IF(A292&lt;Y292,"Yes","No")</f>
        <v/>
      </c>
    </row>
    <row r="293">
      <c r="A293" t="n">
        <v>2022</v>
      </c>
      <c r="B293" t="inlineStr">
        <is>
          <t>Q4</t>
        </is>
      </c>
      <c r="C293" t="inlineStr">
        <is>
          <t>North America</t>
        </is>
      </c>
      <c r="D293" t="inlineStr">
        <is>
          <t>Model Y</t>
        </is>
      </c>
      <c r="E293" t="n">
        <v>3638</v>
      </c>
      <c r="F293" t="n">
        <v>79426.3</v>
      </c>
      <c r="G293" t="n">
        <v>43</v>
      </c>
      <c r="H293" t="inlineStr">
        <is>
          <t>Standard</t>
        </is>
      </c>
      <c r="I293" t="inlineStr">
        <is>
          <t>AWD</t>
        </is>
      </c>
      <c r="J293" t="inlineStr">
        <is>
          <t>Black</t>
        </is>
      </c>
      <c r="K293" t="n">
        <v>552</v>
      </c>
      <c r="L293" t="n">
        <v>55</v>
      </c>
      <c r="M293" t="n">
        <v>21.34</v>
      </c>
      <c r="N293" t="n">
        <v>8931.809999999999</v>
      </c>
      <c r="O293" t="n">
        <v>4.61</v>
      </c>
      <c r="P293" t="n">
        <v>5</v>
      </c>
      <c r="Q293" t="n">
        <v>0</v>
      </c>
      <c r="R293" t="n">
        <v>2022.4</v>
      </c>
      <c r="S293" t="b">
        <v>0</v>
      </c>
      <c r="T293" t="n">
        <v>1779931</v>
      </c>
      <c r="U293" t="n">
        <v>11</v>
      </c>
      <c r="V293" t="n">
        <v>0.08599999999999999</v>
      </c>
      <c r="W293" t="n">
        <v>1.31</v>
      </c>
      <c r="X293" t="n">
        <v>66.98999999999999</v>
      </c>
      <c r="Y293">
        <f>VLOOKUP(D293,$AB$2:$AC$7,2,FALSE)</f>
        <v/>
      </c>
      <c r="Z293">
        <f>IF(A293&lt;Y293,"Yes","No")</f>
        <v/>
      </c>
    </row>
    <row r="294">
      <c r="A294" t="n">
        <v>2018</v>
      </c>
      <c r="B294" t="inlineStr">
        <is>
          <t>Q4</t>
        </is>
      </c>
      <c r="C294" t="inlineStr">
        <is>
          <t>Asia</t>
        </is>
      </c>
      <c r="D294" t="inlineStr">
        <is>
          <t>Semi</t>
        </is>
      </c>
      <c r="E294" t="n">
        <v>4817</v>
      </c>
      <c r="F294" t="n">
        <v>85460.25</v>
      </c>
      <c r="G294" t="n">
        <v>48</v>
      </c>
      <c r="H294" t="inlineStr">
        <is>
          <t>Performance</t>
        </is>
      </c>
      <c r="I294" t="inlineStr">
        <is>
          <t>RWD</t>
        </is>
      </c>
      <c r="J294" t="inlineStr">
        <is>
          <t>White</t>
        </is>
      </c>
      <c r="K294" t="n">
        <v>593</v>
      </c>
      <c r="L294" t="n">
        <v>72</v>
      </c>
      <c r="M294" t="n">
        <v>20.24</v>
      </c>
      <c r="N294" t="n">
        <v>6304.91</v>
      </c>
      <c r="O294" t="n">
        <v>4.23</v>
      </c>
      <c r="P294" t="n">
        <v>6</v>
      </c>
      <c r="Q294" t="n">
        <v>1</v>
      </c>
      <c r="R294" t="n">
        <v>2023.2</v>
      </c>
      <c r="S294" t="b">
        <v>1</v>
      </c>
      <c r="T294" t="n">
        <v>2202938</v>
      </c>
      <c r="U294" t="n">
        <v>9</v>
      </c>
      <c r="V294" t="n">
        <v>0.0548</v>
      </c>
      <c r="W294" t="n">
        <v>1.76</v>
      </c>
      <c r="X294" t="n">
        <v>64.04000000000001</v>
      </c>
      <c r="Y294">
        <f>VLOOKUP(D294,$AB$2:$AC$7,2,FALSE)</f>
        <v/>
      </c>
      <c r="Z294">
        <f>IF(A294&lt;Y294,"Yes","No")</f>
        <v/>
      </c>
    </row>
    <row r="295">
      <c r="A295" t="n">
        <v>2013</v>
      </c>
      <c r="B295" t="inlineStr">
        <is>
          <t>Q1</t>
        </is>
      </c>
      <c r="C295" t="inlineStr">
        <is>
          <t>North America</t>
        </is>
      </c>
      <c r="D295" t="inlineStr">
        <is>
          <t>Model Y</t>
        </is>
      </c>
      <c r="E295" t="n">
        <v>269</v>
      </c>
      <c r="F295" t="n">
        <v>117626.17</v>
      </c>
      <c r="G295" t="n">
        <v>24</v>
      </c>
      <c r="H295" t="inlineStr">
        <is>
          <t>Performance</t>
        </is>
      </c>
      <c r="I295" t="inlineStr">
        <is>
          <t>RWD</t>
        </is>
      </c>
      <c r="J295" t="inlineStr">
        <is>
          <t>Black</t>
        </is>
      </c>
      <c r="K295" t="n">
        <v>505</v>
      </c>
      <c r="L295" t="n">
        <v>69</v>
      </c>
      <c r="M295" t="n">
        <v>20.48</v>
      </c>
      <c r="N295" t="n">
        <v>543.47</v>
      </c>
      <c r="O295" t="n">
        <v>4.49</v>
      </c>
      <c r="P295" t="n">
        <v>8</v>
      </c>
      <c r="Q295" t="n">
        <v>3</v>
      </c>
      <c r="R295" t="n">
        <v>2021.5</v>
      </c>
      <c r="S295" t="b">
        <v>0</v>
      </c>
      <c r="T295" t="n">
        <v>4212518</v>
      </c>
      <c r="U295" t="n">
        <v>10</v>
      </c>
      <c r="V295" t="n">
        <v>0.0335</v>
      </c>
      <c r="W295" t="n">
        <v>1.19</v>
      </c>
      <c r="X295" t="n">
        <v>85.79000000000001</v>
      </c>
      <c r="Y295">
        <f>VLOOKUP(D295,$AB$2:$AC$7,2,FALSE)</f>
        <v/>
      </c>
      <c r="Z295">
        <f>IF(A295&lt;Y295,"Yes","No")</f>
        <v/>
      </c>
    </row>
    <row r="296">
      <c r="A296" t="n">
        <v>2020</v>
      </c>
      <c r="B296" t="inlineStr">
        <is>
          <t>Q1</t>
        </is>
      </c>
      <c r="C296" t="inlineStr">
        <is>
          <t>North America</t>
        </is>
      </c>
      <c r="D296" t="inlineStr">
        <is>
          <t>Model Y</t>
        </is>
      </c>
      <c r="E296" t="n">
        <v>1025</v>
      </c>
      <c r="F296" t="n">
        <v>67608.53999999999</v>
      </c>
      <c r="G296" t="n">
        <v>20</v>
      </c>
      <c r="H296" t="inlineStr">
        <is>
          <t>Long Range</t>
        </is>
      </c>
      <c r="I296" t="inlineStr">
        <is>
          <t>RWD</t>
        </is>
      </c>
      <c r="J296" t="inlineStr">
        <is>
          <t>Blue</t>
        </is>
      </c>
      <c r="K296" t="n">
        <v>368</v>
      </c>
      <c r="L296" t="n">
        <v>32</v>
      </c>
      <c r="M296" t="n">
        <v>15.12</v>
      </c>
      <c r="N296" t="n">
        <v>1864.29</v>
      </c>
      <c r="O296" t="n">
        <v>4.67</v>
      </c>
      <c r="P296" t="n">
        <v>5</v>
      </c>
      <c r="Q296" t="n">
        <v>3</v>
      </c>
      <c r="R296" t="n">
        <v>2023.3</v>
      </c>
      <c r="S296" t="b">
        <v>0</v>
      </c>
      <c r="T296" t="n">
        <v>3363843</v>
      </c>
      <c r="U296" t="n">
        <v>9</v>
      </c>
      <c r="V296" t="n">
        <v>0.0788</v>
      </c>
      <c r="W296" t="n">
        <v>1.64</v>
      </c>
      <c r="X296" t="n">
        <v>74.72</v>
      </c>
      <c r="Y296">
        <f>VLOOKUP(D296,$AB$2:$AC$7,2,FALSE)</f>
        <v/>
      </c>
      <c r="Z296">
        <f>IF(A296&lt;Y296,"Yes","No")</f>
        <v/>
      </c>
    </row>
    <row r="297">
      <c r="A297" t="n">
        <v>2020</v>
      </c>
      <c r="B297" t="inlineStr">
        <is>
          <t>Q4</t>
        </is>
      </c>
      <c r="C297" t="inlineStr">
        <is>
          <t>Australia</t>
        </is>
      </c>
      <c r="D297" t="inlineStr">
        <is>
          <t>Cybertruck</t>
        </is>
      </c>
      <c r="E297" t="n">
        <v>1330</v>
      </c>
      <c r="F297" t="n">
        <v>78068.23</v>
      </c>
      <c r="G297" t="n">
        <v>25</v>
      </c>
      <c r="H297" t="inlineStr">
        <is>
          <t>Long Range</t>
        </is>
      </c>
      <c r="I297" t="inlineStr">
        <is>
          <t>RWD</t>
        </is>
      </c>
      <c r="J297" t="inlineStr">
        <is>
          <t>Silver</t>
        </is>
      </c>
      <c r="K297" t="n">
        <v>543</v>
      </c>
      <c r="L297" t="n">
        <v>69</v>
      </c>
      <c r="M297" t="n">
        <v>21.12</v>
      </c>
      <c r="N297" t="n">
        <v>2703.81</v>
      </c>
      <c r="O297" t="n">
        <v>3.93</v>
      </c>
      <c r="P297" t="n">
        <v>4</v>
      </c>
      <c r="Q297" t="n">
        <v>0</v>
      </c>
      <c r="R297" t="n">
        <v>2024.1</v>
      </c>
      <c r="S297" t="b">
        <v>1</v>
      </c>
      <c r="T297" t="n">
        <v>3173670</v>
      </c>
      <c r="U297" t="n">
        <v>7</v>
      </c>
      <c r="V297" t="n">
        <v>0.0829</v>
      </c>
      <c r="W297" t="n">
        <v>1.67</v>
      </c>
      <c r="X297" t="n">
        <v>82.95999999999999</v>
      </c>
      <c r="Y297">
        <f>VLOOKUP(D297,$AB$2:$AC$7,2,FALSE)</f>
        <v/>
      </c>
      <c r="Z297">
        <f>IF(A297&lt;Y297,"Yes","No")</f>
        <v/>
      </c>
    </row>
    <row r="298">
      <c r="A298" t="n">
        <v>2022</v>
      </c>
      <c r="B298" t="inlineStr">
        <is>
          <t>Q3</t>
        </is>
      </c>
      <c r="C298" t="inlineStr">
        <is>
          <t>Australia</t>
        </is>
      </c>
      <c r="D298" t="inlineStr">
        <is>
          <t>Model S</t>
        </is>
      </c>
      <c r="E298" t="n">
        <v>3557</v>
      </c>
      <c r="F298" t="n">
        <v>64337.16</v>
      </c>
      <c r="G298" t="n">
        <v>22</v>
      </c>
      <c r="H298" t="inlineStr">
        <is>
          <t>Long Range</t>
        </is>
      </c>
      <c r="I298" t="inlineStr">
        <is>
          <t>RWD</t>
        </is>
      </c>
      <c r="J298" t="inlineStr">
        <is>
          <t>Red</t>
        </is>
      </c>
      <c r="K298" t="n">
        <v>688</v>
      </c>
      <c r="L298" t="n">
        <v>45</v>
      </c>
      <c r="M298" t="n">
        <v>15.97</v>
      </c>
      <c r="N298" t="n">
        <v>6388.96</v>
      </c>
      <c r="O298" t="n">
        <v>4.39</v>
      </c>
      <c r="P298" t="n">
        <v>4</v>
      </c>
      <c r="Q298" t="n">
        <v>2</v>
      </c>
      <c r="R298" t="n">
        <v>2020.6</v>
      </c>
      <c r="S298" t="b">
        <v>1</v>
      </c>
      <c r="T298" t="n">
        <v>265356</v>
      </c>
      <c r="U298" t="n">
        <v>10</v>
      </c>
      <c r="V298" t="n">
        <v>0.0394</v>
      </c>
      <c r="W298" t="n">
        <v>1.42</v>
      </c>
      <c r="X298" t="n">
        <v>85.90000000000001</v>
      </c>
      <c r="Y298">
        <f>VLOOKUP(D298,$AB$2:$AC$7,2,FALSE)</f>
        <v/>
      </c>
      <c r="Z298">
        <f>IF(A298&lt;Y298,"Yes","No")</f>
        <v/>
      </c>
    </row>
    <row r="299">
      <c r="A299" t="n">
        <v>2021</v>
      </c>
      <c r="B299" t="inlineStr">
        <is>
          <t>Q4</t>
        </is>
      </c>
      <c r="C299" t="inlineStr">
        <is>
          <t>Asia</t>
        </is>
      </c>
      <c r="D299" t="inlineStr">
        <is>
          <t>Model S</t>
        </is>
      </c>
      <c r="E299" t="n">
        <v>3897</v>
      </c>
      <c r="F299" t="n">
        <v>84979.08</v>
      </c>
      <c r="G299" t="n">
        <v>20</v>
      </c>
      <c r="H299" t="inlineStr">
        <is>
          <t>Long Range</t>
        </is>
      </c>
      <c r="I299" t="inlineStr">
        <is>
          <t>RWD</t>
        </is>
      </c>
      <c r="J299" t="inlineStr">
        <is>
          <t>White</t>
        </is>
      </c>
      <c r="K299" t="n">
        <v>643</v>
      </c>
      <c r="L299" t="n">
        <v>36</v>
      </c>
      <c r="M299" t="n">
        <v>22.7</v>
      </c>
      <c r="N299" t="n">
        <v>2728.34</v>
      </c>
      <c r="O299" t="n">
        <v>4.51</v>
      </c>
      <c r="P299" t="n">
        <v>6</v>
      </c>
      <c r="Q299" t="n">
        <v>3</v>
      </c>
      <c r="R299" t="n">
        <v>2024.11</v>
      </c>
      <c r="S299" t="b">
        <v>0</v>
      </c>
      <c r="T299" t="n">
        <v>1497770</v>
      </c>
      <c r="U299" t="n">
        <v>11</v>
      </c>
      <c r="V299" t="n">
        <v>0.037</v>
      </c>
      <c r="W299" t="n">
        <v>2.44</v>
      </c>
      <c r="X299" t="n">
        <v>66.05</v>
      </c>
      <c r="Y299">
        <f>VLOOKUP(D299,$AB$2:$AC$7,2,FALSE)</f>
        <v/>
      </c>
      <c r="Z299">
        <f>IF(A299&lt;Y299,"Yes","No")</f>
        <v/>
      </c>
    </row>
    <row r="300">
      <c r="A300" t="n">
        <v>2022</v>
      </c>
      <c r="B300" t="inlineStr">
        <is>
          <t>Q1</t>
        </is>
      </c>
      <c r="C300" t="inlineStr">
        <is>
          <t>South America</t>
        </is>
      </c>
      <c r="D300" t="inlineStr">
        <is>
          <t>Model 3</t>
        </is>
      </c>
      <c r="E300" t="n">
        <v>2404</v>
      </c>
      <c r="F300" t="n">
        <v>57538.18</v>
      </c>
      <c r="G300" t="n">
        <v>19</v>
      </c>
      <c r="H300" t="inlineStr">
        <is>
          <t>Performance</t>
        </is>
      </c>
      <c r="I300" t="inlineStr">
        <is>
          <t>RWD</t>
        </is>
      </c>
      <c r="J300" t="inlineStr">
        <is>
          <t>Black</t>
        </is>
      </c>
      <c r="K300" t="n">
        <v>669</v>
      </c>
      <c r="L300" t="n">
        <v>77</v>
      </c>
      <c r="M300" t="n">
        <v>24.5</v>
      </c>
      <c r="N300" t="n">
        <v>4652.73</v>
      </c>
      <c r="O300" t="n">
        <v>4.37</v>
      </c>
      <c r="P300" t="n">
        <v>6</v>
      </c>
      <c r="Q300" t="n">
        <v>2</v>
      </c>
      <c r="R300" t="n">
        <v>2020.1</v>
      </c>
      <c r="S300" t="b">
        <v>0</v>
      </c>
      <c r="T300" t="n">
        <v>3682823</v>
      </c>
      <c r="U300" t="n">
        <v>5</v>
      </c>
      <c r="V300" t="n">
        <v>0.0413</v>
      </c>
      <c r="W300" t="n">
        <v>0.65</v>
      </c>
      <c r="X300" t="n">
        <v>84.70999999999999</v>
      </c>
      <c r="Y300">
        <f>VLOOKUP(D300,$AB$2:$AC$7,2,FALSE)</f>
        <v/>
      </c>
      <c r="Z300">
        <f>IF(A300&lt;Y300,"Yes","No")</f>
        <v/>
      </c>
    </row>
    <row r="301">
      <c r="A301" t="n">
        <v>2020</v>
      </c>
      <c r="B301" t="inlineStr">
        <is>
          <t>Q3</t>
        </is>
      </c>
      <c r="C301" t="inlineStr">
        <is>
          <t>Australia</t>
        </is>
      </c>
      <c r="D301" t="inlineStr">
        <is>
          <t>Semi</t>
        </is>
      </c>
      <c r="E301" t="n">
        <v>4473</v>
      </c>
      <c r="F301" t="n">
        <v>61635</v>
      </c>
      <c r="G301" t="n">
        <v>26</v>
      </c>
      <c r="H301" t="inlineStr">
        <is>
          <t>Long Range</t>
        </is>
      </c>
      <c r="I301" t="inlineStr">
        <is>
          <t>RWD</t>
        </is>
      </c>
      <c r="J301" t="inlineStr">
        <is>
          <t>Silver</t>
        </is>
      </c>
      <c r="K301" t="n">
        <v>613</v>
      </c>
      <c r="L301" t="n">
        <v>59</v>
      </c>
      <c r="M301" t="n">
        <v>21.06</v>
      </c>
      <c r="N301" t="n">
        <v>7134.99</v>
      </c>
      <c r="O301" t="n">
        <v>4.82</v>
      </c>
      <c r="P301" t="n">
        <v>5</v>
      </c>
      <c r="Q301" t="n">
        <v>3</v>
      </c>
      <c r="R301" t="n">
        <v>2021.11</v>
      </c>
      <c r="S301" t="b">
        <v>0</v>
      </c>
      <c r="T301" t="n">
        <v>2347609</v>
      </c>
      <c r="U301" t="n">
        <v>12</v>
      </c>
      <c r="V301" t="n">
        <v>0.0579</v>
      </c>
      <c r="W301" t="n">
        <v>1.73</v>
      </c>
      <c r="X301" t="n">
        <v>83.06999999999999</v>
      </c>
      <c r="Y301">
        <f>VLOOKUP(D301,$AB$2:$AC$7,2,FALSE)</f>
        <v/>
      </c>
      <c r="Z301">
        <f>IF(A301&lt;Y301,"Yes","No")</f>
        <v/>
      </c>
    </row>
    <row r="302">
      <c r="A302" t="n">
        <v>2018</v>
      </c>
      <c r="B302" t="inlineStr">
        <is>
          <t>Q1</t>
        </is>
      </c>
      <c r="C302" t="inlineStr">
        <is>
          <t>South America</t>
        </is>
      </c>
      <c r="D302" t="inlineStr">
        <is>
          <t>Model 3</t>
        </is>
      </c>
      <c r="E302" t="n">
        <v>3034</v>
      </c>
      <c r="F302" t="n">
        <v>74311.37</v>
      </c>
      <c r="G302" t="n">
        <v>15</v>
      </c>
      <c r="H302" t="inlineStr">
        <is>
          <t>Standard</t>
        </is>
      </c>
      <c r="I302" t="inlineStr">
        <is>
          <t>RWD</t>
        </is>
      </c>
      <c r="J302" t="inlineStr">
        <is>
          <t>Blue</t>
        </is>
      </c>
      <c r="K302" t="n">
        <v>560</v>
      </c>
      <c r="L302" t="n">
        <v>50</v>
      </c>
      <c r="M302" t="n">
        <v>23.32</v>
      </c>
      <c r="N302" t="n">
        <v>7045.78</v>
      </c>
      <c r="O302" t="n">
        <v>4.45</v>
      </c>
      <c r="P302" t="n">
        <v>8</v>
      </c>
      <c r="Q302" t="n">
        <v>2</v>
      </c>
      <c r="R302" t="n">
        <v>2022.11</v>
      </c>
      <c r="S302" t="b">
        <v>1</v>
      </c>
      <c r="T302" t="n">
        <v>2251230</v>
      </c>
      <c r="U302" t="n">
        <v>12</v>
      </c>
      <c r="V302" t="n">
        <v>0.0641</v>
      </c>
      <c r="W302" t="n">
        <v>1.31</v>
      </c>
      <c r="X302" t="n">
        <v>63.41</v>
      </c>
      <c r="Y302">
        <f>VLOOKUP(D302,$AB$2:$AC$7,2,FALSE)</f>
        <v/>
      </c>
      <c r="Z302">
        <f>IF(A302&lt;Y302,"Yes","No")</f>
        <v/>
      </c>
    </row>
    <row r="303">
      <c r="A303" t="n">
        <v>2015</v>
      </c>
      <c r="B303" t="inlineStr">
        <is>
          <t>Q1</t>
        </is>
      </c>
      <c r="C303" t="inlineStr">
        <is>
          <t>Europe</t>
        </is>
      </c>
      <c r="D303" t="inlineStr">
        <is>
          <t>Model X</t>
        </is>
      </c>
      <c r="E303" t="n">
        <v>3852</v>
      </c>
      <c r="F303" t="n">
        <v>76257.5</v>
      </c>
      <c r="G303" t="n">
        <v>27</v>
      </c>
      <c r="H303" t="inlineStr">
        <is>
          <t>Long Range</t>
        </is>
      </c>
      <c r="I303" t="inlineStr">
        <is>
          <t>AWD</t>
        </is>
      </c>
      <c r="J303" t="inlineStr">
        <is>
          <t>Black</t>
        </is>
      </c>
      <c r="K303" t="n">
        <v>431</v>
      </c>
      <c r="L303" t="n">
        <v>47</v>
      </c>
      <c r="M303" t="n">
        <v>14.64</v>
      </c>
      <c r="N303" t="n">
        <v>3916.69</v>
      </c>
      <c r="O303" t="n">
        <v>4.71</v>
      </c>
      <c r="P303" t="n">
        <v>5</v>
      </c>
      <c r="Q303" t="n">
        <v>0</v>
      </c>
      <c r="R303" t="n">
        <v>2023.1</v>
      </c>
      <c r="S303" t="b">
        <v>1</v>
      </c>
      <c r="T303" t="n">
        <v>804052</v>
      </c>
      <c r="U303" t="n">
        <v>7</v>
      </c>
      <c r="V303" t="n">
        <v>0.0641</v>
      </c>
      <c r="W303" t="n">
        <v>2.23</v>
      </c>
      <c r="X303" t="n">
        <v>87.02</v>
      </c>
      <c r="Y303">
        <f>VLOOKUP(D303,$AB$2:$AC$7,2,FALSE)</f>
        <v/>
      </c>
      <c r="Z303">
        <f>IF(A303&lt;Y303,"Yes","No")</f>
        <v/>
      </c>
    </row>
    <row r="304">
      <c r="A304" t="n">
        <v>2018</v>
      </c>
      <c r="B304" t="inlineStr">
        <is>
          <t>Q3</t>
        </is>
      </c>
      <c r="C304" t="inlineStr">
        <is>
          <t>North America</t>
        </is>
      </c>
      <c r="D304" t="inlineStr">
        <is>
          <t>Model Y</t>
        </is>
      </c>
      <c r="E304" t="n">
        <v>1201</v>
      </c>
      <c r="F304" t="n">
        <v>55063.5</v>
      </c>
      <c r="G304" t="n">
        <v>36</v>
      </c>
      <c r="H304" t="inlineStr">
        <is>
          <t>Performance</t>
        </is>
      </c>
      <c r="I304" t="inlineStr">
        <is>
          <t>AWD</t>
        </is>
      </c>
      <c r="J304" t="inlineStr">
        <is>
          <t>Silver</t>
        </is>
      </c>
      <c r="K304" t="n">
        <v>690</v>
      </c>
      <c r="L304" t="n">
        <v>83</v>
      </c>
      <c r="M304" t="n">
        <v>19.97</v>
      </c>
      <c r="N304" t="n">
        <v>2462.33</v>
      </c>
      <c r="O304" t="n">
        <v>4.29</v>
      </c>
      <c r="P304" t="n">
        <v>8</v>
      </c>
      <c r="Q304" t="n">
        <v>0</v>
      </c>
      <c r="R304" t="n">
        <v>2021.1</v>
      </c>
      <c r="S304" t="b">
        <v>1</v>
      </c>
      <c r="T304" t="n">
        <v>2729076</v>
      </c>
      <c r="U304" t="n">
        <v>7</v>
      </c>
      <c r="V304" t="n">
        <v>0.0849</v>
      </c>
      <c r="W304" t="n">
        <v>1.97</v>
      </c>
      <c r="X304" t="n">
        <v>84.18000000000001</v>
      </c>
      <c r="Y304">
        <f>VLOOKUP(D304,$AB$2:$AC$7,2,FALSE)</f>
        <v/>
      </c>
      <c r="Z304">
        <f>IF(A304&lt;Y304,"Yes","No")</f>
        <v/>
      </c>
    </row>
    <row r="305">
      <c r="A305" t="n">
        <v>2023</v>
      </c>
      <c r="B305" t="inlineStr">
        <is>
          <t>Q2</t>
        </is>
      </c>
      <c r="C305" t="inlineStr">
        <is>
          <t>Australia</t>
        </is>
      </c>
      <c r="D305" t="inlineStr">
        <is>
          <t>Model 3</t>
        </is>
      </c>
      <c r="E305" t="n">
        <v>1231</v>
      </c>
      <c r="F305" t="n">
        <v>44079.19</v>
      </c>
      <c r="G305" t="n">
        <v>13</v>
      </c>
      <c r="H305" t="inlineStr">
        <is>
          <t>Long Range</t>
        </is>
      </c>
      <c r="I305" t="inlineStr">
        <is>
          <t>RWD</t>
        </is>
      </c>
      <c r="J305" t="inlineStr">
        <is>
          <t>Blue</t>
        </is>
      </c>
      <c r="K305" t="n">
        <v>480</v>
      </c>
      <c r="L305" t="n">
        <v>85</v>
      </c>
      <c r="M305" t="n">
        <v>20.07</v>
      </c>
      <c r="N305" t="n">
        <v>1822.76</v>
      </c>
      <c r="O305" t="n">
        <v>4.06</v>
      </c>
      <c r="P305" t="n">
        <v>4</v>
      </c>
      <c r="Q305" t="n">
        <v>2</v>
      </c>
      <c r="R305" t="n">
        <v>2024.7</v>
      </c>
      <c r="S305" t="b">
        <v>0</v>
      </c>
      <c r="T305" t="n">
        <v>2166505</v>
      </c>
      <c r="U305" t="n">
        <v>6</v>
      </c>
      <c r="V305" t="n">
        <v>0.0891</v>
      </c>
      <c r="W305" t="n">
        <v>2.37</v>
      </c>
      <c r="X305" t="n">
        <v>70.89</v>
      </c>
      <c r="Y305">
        <f>VLOOKUP(D305,$AB$2:$AC$7,2,FALSE)</f>
        <v/>
      </c>
      <c r="Z305">
        <f>IF(A305&lt;Y305,"Yes","No")</f>
        <v/>
      </c>
    </row>
    <row r="306">
      <c r="A306" t="n">
        <v>2023</v>
      </c>
      <c r="B306" t="inlineStr">
        <is>
          <t>Q3</t>
        </is>
      </c>
      <c r="C306" t="inlineStr">
        <is>
          <t>Asia</t>
        </is>
      </c>
      <c r="D306" t="inlineStr">
        <is>
          <t>Model S</t>
        </is>
      </c>
      <c r="E306" t="n">
        <v>335</v>
      </c>
      <c r="F306" t="n">
        <v>106525.2</v>
      </c>
      <c r="G306" t="n">
        <v>42</v>
      </c>
      <c r="H306" t="inlineStr">
        <is>
          <t>Standard</t>
        </is>
      </c>
      <c r="I306" t="inlineStr">
        <is>
          <t>AWD</t>
        </is>
      </c>
      <c r="J306" t="inlineStr">
        <is>
          <t>White</t>
        </is>
      </c>
      <c r="K306" t="n">
        <v>632</v>
      </c>
      <c r="L306" t="n">
        <v>54</v>
      </c>
      <c r="M306" t="n">
        <v>16.71</v>
      </c>
      <c r="N306" t="n">
        <v>809.6799999999999</v>
      </c>
      <c r="O306" t="n">
        <v>4.04</v>
      </c>
      <c r="P306" t="n">
        <v>4</v>
      </c>
      <c r="Q306" t="n">
        <v>1</v>
      </c>
      <c r="R306" t="n">
        <v>2023.7</v>
      </c>
      <c r="S306" t="b">
        <v>1</v>
      </c>
      <c r="T306" t="n">
        <v>3396517</v>
      </c>
      <c r="U306" t="n">
        <v>6</v>
      </c>
      <c r="V306" t="n">
        <v>0.0371</v>
      </c>
      <c r="W306" t="n">
        <v>2.37</v>
      </c>
      <c r="X306" t="n">
        <v>82.7</v>
      </c>
      <c r="Y306">
        <f>VLOOKUP(D306,$AB$2:$AC$7,2,FALSE)</f>
        <v/>
      </c>
      <c r="Z306">
        <f>IF(A306&lt;Y306,"Yes","No")</f>
        <v/>
      </c>
    </row>
    <row r="307">
      <c r="A307" t="n">
        <v>2016</v>
      </c>
      <c r="B307" t="inlineStr">
        <is>
          <t>Q2</t>
        </is>
      </c>
      <c r="C307" t="inlineStr">
        <is>
          <t>Europe</t>
        </is>
      </c>
      <c r="D307" t="inlineStr">
        <is>
          <t>Model Y</t>
        </is>
      </c>
      <c r="E307" t="n">
        <v>2648</v>
      </c>
      <c r="F307" t="n">
        <v>109754.72</v>
      </c>
      <c r="G307" t="n">
        <v>49</v>
      </c>
      <c r="H307" t="inlineStr">
        <is>
          <t>Performance</t>
        </is>
      </c>
      <c r="I307" t="inlineStr">
        <is>
          <t>RWD</t>
        </is>
      </c>
      <c r="J307" t="inlineStr">
        <is>
          <t>Red</t>
        </is>
      </c>
      <c r="K307" t="n">
        <v>490</v>
      </c>
      <c r="L307" t="n">
        <v>85</v>
      </c>
      <c r="M307" t="n">
        <v>13.96</v>
      </c>
      <c r="N307" t="n">
        <v>5452</v>
      </c>
      <c r="O307" t="n">
        <v>4.24</v>
      </c>
      <c r="P307" t="n">
        <v>8</v>
      </c>
      <c r="Q307" t="n">
        <v>2</v>
      </c>
      <c r="R307" t="n">
        <v>2023.2</v>
      </c>
      <c r="S307" t="b">
        <v>1</v>
      </c>
      <c r="T307" t="n">
        <v>2289175</v>
      </c>
      <c r="U307" t="n">
        <v>10</v>
      </c>
      <c r="V307" t="n">
        <v>0.016</v>
      </c>
      <c r="W307" t="n">
        <v>1.34</v>
      </c>
      <c r="X307" t="n">
        <v>81.88</v>
      </c>
      <c r="Y307">
        <f>VLOOKUP(D307,$AB$2:$AC$7,2,FALSE)</f>
        <v/>
      </c>
      <c r="Z307">
        <f>IF(A307&lt;Y307,"Yes","No")</f>
        <v/>
      </c>
    </row>
    <row r="308">
      <c r="A308" t="n">
        <v>2020</v>
      </c>
      <c r="B308" t="inlineStr">
        <is>
          <t>Q3</t>
        </is>
      </c>
      <c r="C308" t="inlineStr">
        <is>
          <t>Australia</t>
        </is>
      </c>
      <c r="D308" t="inlineStr">
        <is>
          <t>Semi</t>
        </is>
      </c>
      <c r="E308" t="n">
        <v>274</v>
      </c>
      <c r="F308" t="n">
        <v>99767.91</v>
      </c>
      <c r="G308" t="n">
        <v>41</v>
      </c>
      <c r="H308" t="inlineStr">
        <is>
          <t>Performance</t>
        </is>
      </c>
      <c r="I308" t="inlineStr">
        <is>
          <t>AWD</t>
        </is>
      </c>
      <c r="J308" t="inlineStr">
        <is>
          <t>Green</t>
        </is>
      </c>
      <c r="K308" t="n">
        <v>577</v>
      </c>
      <c r="L308" t="n">
        <v>80</v>
      </c>
      <c r="M308" t="n">
        <v>20.69</v>
      </c>
      <c r="N308" t="n">
        <v>138.69</v>
      </c>
      <c r="O308" t="n">
        <v>3.8</v>
      </c>
      <c r="P308" t="n">
        <v>6</v>
      </c>
      <c r="Q308" t="n">
        <v>2</v>
      </c>
      <c r="R308" t="n">
        <v>2024.2</v>
      </c>
      <c r="S308" t="b">
        <v>1</v>
      </c>
      <c r="T308" t="n">
        <v>1423910</v>
      </c>
      <c r="U308" t="n">
        <v>5</v>
      </c>
      <c r="V308" t="n">
        <v>0.0565</v>
      </c>
      <c r="W308" t="n">
        <v>2.44</v>
      </c>
      <c r="X308" t="n">
        <v>84.92</v>
      </c>
      <c r="Y308">
        <f>VLOOKUP(D308,$AB$2:$AC$7,2,FALSE)</f>
        <v/>
      </c>
      <c r="Z308">
        <f>IF(A308&lt;Y308,"Yes","No")</f>
        <v/>
      </c>
    </row>
    <row r="309">
      <c r="A309" t="n">
        <v>2024</v>
      </c>
      <c r="B309" t="inlineStr">
        <is>
          <t>Q2</t>
        </is>
      </c>
      <c r="C309" t="inlineStr">
        <is>
          <t>South America</t>
        </is>
      </c>
      <c r="D309" t="inlineStr">
        <is>
          <t>Semi</t>
        </is>
      </c>
      <c r="E309" t="n">
        <v>3411</v>
      </c>
      <c r="F309" t="n">
        <v>102374.6</v>
      </c>
      <c r="G309" t="n">
        <v>20</v>
      </c>
      <c r="H309" t="inlineStr">
        <is>
          <t>Long Range</t>
        </is>
      </c>
      <c r="I309" t="inlineStr">
        <is>
          <t>RWD</t>
        </is>
      </c>
      <c r="J309" t="inlineStr">
        <is>
          <t>Green</t>
        </is>
      </c>
      <c r="K309" t="n">
        <v>418</v>
      </c>
      <c r="L309" t="n">
        <v>46</v>
      </c>
      <c r="M309" t="n">
        <v>15.08</v>
      </c>
      <c r="N309" t="n">
        <v>5751.09</v>
      </c>
      <c r="O309" t="n">
        <v>3.99</v>
      </c>
      <c r="P309" t="n">
        <v>6</v>
      </c>
      <c r="Q309" t="n">
        <v>1</v>
      </c>
      <c r="R309" t="n">
        <v>2020.7</v>
      </c>
      <c r="S309" t="b">
        <v>0</v>
      </c>
      <c r="T309" t="n">
        <v>1625797</v>
      </c>
      <c r="U309" t="n">
        <v>8</v>
      </c>
      <c r="V309" t="n">
        <v>0.08890000000000001</v>
      </c>
      <c r="W309" t="n">
        <v>2.39</v>
      </c>
      <c r="X309" t="n">
        <v>86.53</v>
      </c>
      <c r="Y309">
        <f>VLOOKUP(D309,$AB$2:$AC$7,2,FALSE)</f>
        <v/>
      </c>
      <c r="Z309">
        <f>IF(A309&lt;Y309,"Yes","No")</f>
        <v/>
      </c>
    </row>
    <row r="310">
      <c r="A310" t="n">
        <v>2015</v>
      </c>
      <c r="B310" t="inlineStr">
        <is>
          <t>Q1</t>
        </is>
      </c>
      <c r="C310" t="inlineStr">
        <is>
          <t>North America</t>
        </is>
      </c>
      <c r="D310" t="inlineStr">
        <is>
          <t>Cybertruck</t>
        </is>
      </c>
      <c r="E310" t="n">
        <v>1923</v>
      </c>
      <c r="F310" t="n">
        <v>112081.81</v>
      </c>
      <c r="G310" t="n">
        <v>29</v>
      </c>
      <c r="H310" t="inlineStr">
        <is>
          <t>Standard</t>
        </is>
      </c>
      <c r="I310" t="inlineStr">
        <is>
          <t>RWD</t>
        </is>
      </c>
      <c r="J310" t="inlineStr">
        <is>
          <t>Green</t>
        </is>
      </c>
      <c r="K310" t="n">
        <v>436</v>
      </c>
      <c r="L310" t="n">
        <v>33</v>
      </c>
      <c r="M310" t="n">
        <v>17.81</v>
      </c>
      <c r="N310" t="n">
        <v>2611.06</v>
      </c>
      <c r="O310" t="n">
        <v>3.89</v>
      </c>
      <c r="P310" t="n">
        <v>4</v>
      </c>
      <c r="Q310" t="n">
        <v>2</v>
      </c>
      <c r="R310" t="n">
        <v>2021.1</v>
      </c>
      <c r="S310" t="b">
        <v>1</v>
      </c>
      <c r="T310" t="n">
        <v>218404</v>
      </c>
      <c r="U310" t="n">
        <v>10</v>
      </c>
      <c r="V310" t="n">
        <v>0.0492</v>
      </c>
      <c r="W310" t="n">
        <v>2.34</v>
      </c>
      <c r="X310" t="n">
        <v>73.61</v>
      </c>
      <c r="Y310">
        <f>VLOOKUP(D310,$AB$2:$AC$7,2,FALSE)</f>
        <v/>
      </c>
      <c r="Z310">
        <f>IF(A310&lt;Y310,"Yes","No")</f>
        <v/>
      </c>
    </row>
    <row r="311">
      <c r="A311" t="n">
        <v>2022</v>
      </c>
      <c r="B311" t="inlineStr">
        <is>
          <t>Q4</t>
        </is>
      </c>
      <c r="C311" t="inlineStr">
        <is>
          <t>North America</t>
        </is>
      </c>
      <c r="D311" t="inlineStr">
        <is>
          <t>Model 3</t>
        </is>
      </c>
      <c r="E311" t="n">
        <v>1714</v>
      </c>
      <c r="F311" t="n">
        <v>51196.25</v>
      </c>
      <c r="G311" t="n">
        <v>55</v>
      </c>
      <c r="H311" t="inlineStr">
        <is>
          <t>Long Range</t>
        </is>
      </c>
      <c r="I311" t="inlineStr">
        <is>
          <t>RWD</t>
        </is>
      </c>
      <c r="J311" t="inlineStr">
        <is>
          <t>Green</t>
        </is>
      </c>
      <c r="K311" t="n">
        <v>603</v>
      </c>
      <c r="L311" t="n">
        <v>54</v>
      </c>
      <c r="M311" t="n">
        <v>14.56</v>
      </c>
      <c r="N311" t="n">
        <v>3792.53</v>
      </c>
      <c r="O311" t="n">
        <v>4.4</v>
      </c>
      <c r="P311" t="n">
        <v>6</v>
      </c>
      <c r="Q311" t="n">
        <v>1</v>
      </c>
      <c r="R311" t="n">
        <v>2023.3</v>
      </c>
      <c r="S311" t="b">
        <v>0</v>
      </c>
      <c r="T311" t="n">
        <v>1324257</v>
      </c>
      <c r="U311" t="n">
        <v>2</v>
      </c>
      <c r="V311" t="n">
        <v>0.0361</v>
      </c>
      <c r="W311" t="n">
        <v>1.02</v>
      </c>
      <c r="X311" t="n">
        <v>78.53</v>
      </c>
      <c r="Y311">
        <f>VLOOKUP(D311,$AB$2:$AC$7,2,FALSE)</f>
        <v/>
      </c>
      <c r="Z311">
        <f>IF(A311&lt;Y311,"Yes","No")</f>
        <v/>
      </c>
    </row>
    <row r="312">
      <c r="A312" t="n">
        <v>2015</v>
      </c>
      <c r="B312" t="inlineStr">
        <is>
          <t>Q3</t>
        </is>
      </c>
      <c r="C312" t="inlineStr">
        <is>
          <t>South America</t>
        </is>
      </c>
      <c r="D312" t="inlineStr">
        <is>
          <t>Semi</t>
        </is>
      </c>
      <c r="E312" t="n">
        <v>3803</v>
      </c>
      <c r="F312" t="n">
        <v>42287.79</v>
      </c>
      <c r="G312" t="n">
        <v>30</v>
      </c>
      <c r="H312" t="inlineStr">
        <is>
          <t>Standard</t>
        </is>
      </c>
      <c r="I312" t="inlineStr">
        <is>
          <t>RWD</t>
        </is>
      </c>
      <c r="J312" t="inlineStr">
        <is>
          <t>Green</t>
        </is>
      </c>
      <c r="K312" t="n">
        <v>553</v>
      </c>
      <c r="L312" t="n">
        <v>73</v>
      </c>
      <c r="M312" t="n">
        <v>15.55</v>
      </c>
      <c r="N312" t="n">
        <v>4818.37</v>
      </c>
      <c r="O312" t="n">
        <v>4.13</v>
      </c>
      <c r="P312" t="n">
        <v>6</v>
      </c>
      <c r="Q312" t="n">
        <v>0</v>
      </c>
      <c r="R312" t="n">
        <v>2020.9</v>
      </c>
      <c r="S312" t="b">
        <v>1</v>
      </c>
      <c r="T312" t="n">
        <v>537152</v>
      </c>
      <c r="U312" t="n">
        <v>7</v>
      </c>
      <c r="V312" t="n">
        <v>0.09379999999999999</v>
      </c>
      <c r="W312" t="n">
        <v>1.44</v>
      </c>
      <c r="X312" t="n">
        <v>70.63</v>
      </c>
      <c r="Y312">
        <f>VLOOKUP(D312,$AB$2:$AC$7,2,FALSE)</f>
        <v/>
      </c>
      <c r="Z312">
        <f>IF(A312&lt;Y312,"Yes","No")</f>
        <v/>
      </c>
    </row>
    <row r="313">
      <c r="A313" t="n">
        <v>2021</v>
      </c>
      <c r="B313" t="inlineStr">
        <is>
          <t>Q1</t>
        </is>
      </c>
      <c r="C313" t="inlineStr">
        <is>
          <t>North America</t>
        </is>
      </c>
      <c r="D313" t="inlineStr">
        <is>
          <t>Model X</t>
        </is>
      </c>
      <c r="E313" t="n">
        <v>4183</v>
      </c>
      <c r="F313" t="n">
        <v>87670.92</v>
      </c>
      <c r="G313" t="n">
        <v>19</v>
      </c>
      <c r="H313" t="inlineStr">
        <is>
          <t>Long Range</t>
        </is>
      </c>
      <c r="I313" t="inlineStr">
        <is>
          <t>RWD</t>
        </is>
      </c>
      <c r="J313" t="inlineStr">
        <is>
          <t>Black</t>
        </is>
      </c>
      <c r="K313" t="n">
        <v>636</v>
      </c>
      <c r="L313" t="n">
        <v>32</v>
      </c>
      <c r="M313" t="n">
        <v>19.97</v>
      </c>
      <c r="N313" t="n">
        <v>4269.1</v>
      </c>
      <c r="O313" t="n">
        <v>4.26</v>
      </c>
      <c r="P313" t="n">
        <v>6</v>
      </c>
      <c r="Q313" t="n">
        <v>3</v>
      </c>
      <c r="R313" t="n">
        <v>2021.2</v>
      </c>
      <c r="S313" t="b">
        <v>0</v>
      </c>
      <c r="T313" t="n">
        <v>4549517</v>
      </c>
      <c r="U313" t="n">
        <v>8</v>
      </c>
      <c r="V313" t="n">
        <v>0.0228</v>
      </c>
      <c r="W313" t="n">
        <v>0.73</v>
      </c>
      <c r="X313" t="n">
        <v>61.32</v>
      </c>
      <c r="Y313">
        <f>VLOOKUP(D313,$AB$2:$AC$7,2,FALSE)</f>
        <v/>
      </c>
      <c r="Z313">
        <f>IF(A313&lt;Y313,"Yes","No")</f>
        <v/>
      </c>
    </row>
    <row r="314">
      <c r="A314" t="n">
        <v>2014</v>
      </c>
      <c r="B314" t="inlineStr">
        <is>
          <t>Q4</t>
        </is>
      </c>
      <c r="C314" t="inlineStr">
        <is>
          <t>Asia</t>
        </is>
      </c>
      <c r="D314" t="inlineStr">
        <is>
          <t>Semi</t>
        </is>
      </c>
      <c r="E314" t="n">
        <v>3003</v>
      </c>
      <c r="F314" t="n">
        <v>113730.15</v>
      </c>
      <c r="G314" t="n">
        <v>18</v>
      </c>
      <c r="H314" t="inlineStr">
        <is>
          <t>Long Range</t>
        </is>
      </c>
      <c r="I314" t="inlineStr">
        <is>
          <t>RWD</t>
        </is>
      </c>
      <c r="J314" t="inlineStr">
        <is>
          <t>Silver</t>
        </is>
      </c>
      <c r="K314" t="n">
        <v>510</v>
      </c>
      <c r="L314" t="n">
        <v>57</v>
      </c>
      <c r="M314" t="n">
        <v>23.71</v>
      </c>
      <c r="N314" t="n">
        <v>3396.65</v>
      </c>
      <c r="O314" t="n">
        <v>4.99</v>
      </c>
      <c r="P314" t="n">
        <v>5</v>
      </c>
      <c r="Q314" t="n">
        <v>3</v>
      </c>
      <c r="R314" t="n">
        <v>2020.4</v>
      </c>
      <c r="S314" t="b">
        <v>1</v>
      </c>
      <c r="T314" t="n">
        <v>557742</v>
      </c>
      <c r="U314" t="n">
        <v>5</v>
      </c>
      <c r="V314" t="n">
        <v>0.0265</v>
      </c>
      <c r="W314" t="n">
        <v>1.44</v>
      </c>
      <c r="X314" t="n">
        <v>64.91</v>
      </c>
      <c r="Y314">
        <f>VLOOKUP(D314,$AB$2:$AC$7,2,FALSE)</f>
        <v/>
      </c>
      <c r="Z314">
        <f>IF(A314&lt;Y314,"Yes","No")</f>
        <v/>
      </c>
    </row>
    <row r="315">
      <c r="A315" t="n">
        <v>2019</v>
      </c>
      <c r="B315" t="inlineStr">
        <is>
          <t>Q4</t>
        </is>
      </c>
      <c r="C315" t="inlineStr">
        <is>
          <t>North America</t>
        </is>
      </c>
      <c r="D315" t="inlineStr">
        <is>
          <t>Model Y</t>
        </is>
      </c>
      <c r="E315" t="n">
        <v>384</v>
      </c>
      <c r="F315" t="n">
        <v>72529.17</v>
      </c>
      <c r="G315" t="n">
        <v>45</v>
      </c>
      <c r="H315" t="inlineStr">
        <is>
          <t>Performance</t>
        </is>
      </c>
      <c r="I315" t="inlineStr">
        <is>
          <t>RWD</t>
        </is>
      </c>
      <c r="J315" t="inlineStr">
        <is>
          <t>Blue</t>
        </is>
      </c>
      <c r="K315" t="n">
        <v>602</v>
      </c>
      <c r="L315" t="n">
        <v>37</v>
      </c>
      <c r="M315" t="n">
        <v>23.15</v>
      </c>
      <c r="N315" t="n">
        <v>857.76</v>
      </c>
      <c r="O315" t="n">
        <v>3.69</v>
      </c>
      <c r="P315" t="n">
        <v>4</v>
      </c>
      <c r="Q315" t="n">
        <v>1</v>
      </c>
      <c r="R315" t="n">
        <v>2022.3</v>
      </c>
      <c r="S315" t="b">
        <v>1</v>
      </c>
      <c r="T315" t="n">
        <v>4367601</v>
      </c>
      <c r="U315" t="n">
        <v>6</v>
      </c>
      <c r="V315" t="n">
        <v>0.0607</v>
      </c>
      <c r="W315" t="n">
        <v>1.83</v>
      </c>
      <c r="X315" t="n">
        <v>66.37</v>
      </c>
      <c r="Y315">
        <f>VLOOKUP(D315,$AB$2:$AC$7,2,FALSE)</f>
        <v/>
      </c>
      <c r="Z315">
        <f>IF(A315&lt;Y315,"Yes","No")</f>
        <v/>
      </c>
    </row>
    <row r="316">
      <c r="A316" t="n">
        <v>2012</v>
      </c>
      <c r="B316" t="inlineStr">
        <is>
          <t>Q2</t>
        </is>
      </c>
      <c r="C316" t="inlineStr">
        <is>
          <t>Australia</t>
        </is>
      </c>
      <c r="D316" t="inlineStr">
        <is>
          <t>Model S</t>
        </is>
      </c>
      <c r="E316" t="n">
        <v>2066</v>
      </c>
      <c r="F316" t="n">
        <v>100301.54</v>
      </c>
      <c r="G316" t="n">
        <v>43</v>
      </c>
      <c r="H316" t="inlineStr">
        <is>
          <t>Standard</t>
        </is>
      </c>
      <c r="I316" t="inlineStr">
        <is>
          <t>RWD</t>
        </is>
      </c>
      <c r="J316" t="inlineStr">
        <is>
          <t>Red</t>
        </is>
      </c>
      <c r="K316" t="n">
        <v>495</v>
      </c>
      <c r="L316" t="n">
        <v>73</v>
      </c>
      <c r="M316" t="n">
        <v>24.78</v>
      </c>
      <c r="N316" t="n">
        <v>1537.07</v>
      </c>
      <c r="O316" t="n">
        <v>4.06</v>
      </c>
      <c r="P316" t="n">
        <v>4</v>
      </c>
      <c r="Q316" t="n">
        <v>2</v>
      </c>
      <c r="R316" t="n">
        <v>2021.1</v>
      </c>
      <c r="S316" t="b">
        <v>1</v>
      </c>
      <c r="T316" t="n">
        <v>3960715</v>
      </c>
      <c r="U316" t="n">
        <v>12</v>
      </c>
      <c r="V316" t="n">
        <v>0.0532</v>
      </c>
      <c r="W316" t="n">
        <v>1.76</v>
      </c>
      <c r="X316" t="n">
        <v>68.08</v>
      </c>
      <c r="Y316">
        <f>VLOOKUP(D316,$AB$2:$AC$7,2,FALSE)</f>
        <v/>
      </c>
      <c r="Z316">
        <f>IF(A316&lt;Y316,"Yes","No")</f>
        <v/>
      </c>
    </row>
    <row r="317">
      <c r="A317" t="n">
        <v>2022</v>
      </c>
      <c r="B317" t="inlineStr">
        <is>
          <t>Q1</t>
        </is>
      </c>
      <c r="C317" t="inlineStr">
        <is>
          <t>Asia</t>
        </is>
      </c>
      <c r="D317" t="inlineStr">
        <is>
          <t>Model S</t>
        </is>
      </c>
      <c r="E317" t="n">
        <v>3761</v>
      </c>
      <c r="F317" t="n">
        <v>62617.81</v>
      </c>
      <c r="G317" t="n">
        <v>46</v>
      </c>
      <c r="H317" t="inlineStr">
        <is>
          <t>Performance</t>
        </is>
      </c>
      <c r="I317" t="inlineStr">
        <is>
          <t>AWD</t>
        </is>
      </c>
      <c r="J317" t="inlineStr">
        <is>
          <t>Black</t>
        </is>
      </c>
      <c r="K317" t="n">
        <v>374</v>
      </c>
      <c r="L317" t="n">
        <v>81</v>
      </c>
      <c r="M317" t="n">
        <v>20.72</v>
      </c>
      <c r="N317" t="n">
        <v>4311.39</v>
      </c>
      <c r="O317" t="n">
        <v>3.58</v>
      </c>
      <c r="P317" t="n">
        <v>4</v>
      </c>
      <c r="Q317" t="n">
        <v>3</v>
      </c>
      <c r="R317" t="n">
        <v>2020.7</v>
      </c>
      <c r="S317" t="b">
        <v>0</v>
      </c>
      <c r="T317" t="n">
        <v>1593262</v>
      </c>
      <c r="U317" t="n">
        <v>5</v>
      </c>
      <c r="V317" t="n">
        <v>0.0969</v>
      </c>
      <c r="W317" t="n">
        <v>2.23</v>
      </c>
      <c r="X317" t="n">
        <v>62.68</v>
      </c>
      <c r="Y317">
        <f>VLOOKUP(D317,$AB$2:$AC$7,2,FALSE)</f>
        <v/>
      </c>
      <c r="Z317">
        <f>IF(A317&lt;Y317,"Yes","No")</f>
        <v/>
      </c>
    </row>
    <row r="318">
      <c r="A318" t="n">
        <v>2015</v>
      </c>
      <c r="B318" t="inlineStr">
        <is>
          <t>Q2</t>
        </is>
      </c>
      <c r="C318" t="inlineStr">
        <is>
          <t>Australia</t>
        </is>
      </c>
      <c r="D318" t="inlineStr">
        <is>
          <t>Model Y</t>
        </is>
      </c>
      <c r="E318" t="n">
        <v>2384</v>
      </c>
      <c r="F318" t="n">
        <v>90009.28</v>
      </c>
      <c r="G318" t="n">
        <v>41</v>
      </c>
      <c r="H318" t="inlineStr">
        <is>
          <t>Standard</t>
        </is>
      </c>
      <c r="I318" t="inlineStr">
        <is>
          <t>AWD</t>
        </is>
      </c>
      <c r="J318" t="inlineStr">
        <is>
          <t>White</t>
        </is>
      </c>
      <c r="K318" t="n">
        <v>601</v>
      </c>
      <c r="L318" t="n">
        <v>81</v>
      </c>
      <c r="M318" t="n">
        <v>18.19</v>
      </c>
      <c r="N318" t="n">
        <v>5036.69</v>
      </c>
      <c r="O318" t="n">
        <v>3.97</v>
      </c>
      <c r="P318" t="n">
        <v>5</v>
      </c>
      <c r="Q318" t="n">
        <v>2</v>
      </c>
      <c r="R318" t="n">
        <v>2020.6</v>
      </c>
      <c r="S318" t="b">
        <v>1</v>
      </c>
      <c r="T318" t="n">
        <v>4207255</v>
      </c>
      <c r="U318" t="n">
        <v>9</v>
      </c>
      <c r="V318" t="n">
        <v>0.0897</v>
      </c>
      <c r="W318" t="n">
        <v>1.45</v>
      </c>
      <c r="X318" t="n">
        <v>76.89</v>
      </c>
      <c r="Y318">
        <f>VLOOKUP(D318,$AB$2:$AC$7,2,FALSE)</f>
        <v/>
      </c>
      <c r="Z318">
        <f>IF(A318&lt;Y318,"Yes","No")</f>
        <v/>
      </c>
    </row>
    <row r="319">
      <c r="A319" t="n">
        <v>2018</v>
      </c>
      <c r="B319" t="inlineStr">
        <is>
          <t>Q1</t>
        </is>
      </c>
      <c r="C319" t="inlineStr">
        <is>
          <t>Australia</t>
        </is>
      </c>
      <c r="D319" t="inlineStr">
        <is>
          <t>Model X</t>
        </is>
      </c>
      <c r="E319" t="n">
        <v>1576</v>
      </c>
      <c r="F319" t="n">
        <v>71899</v>
      </c>
      <c r="G319" t="n">
        <v>27</v>
      </c>
      <c r="H319" t="inlineStr">
        <is>
          <t>Standard</t>
        </is>
      </c>
      <c r="I319" t="inlineStr">
        <is>
          <t>AWD</t>
        </is>
      </c>
      <c r="J319" t="inlineStr">
        <is>
          <t>Silver</t>
        </is>
      </c>
      <c r="K319" t="n">
        <v>524</v>
      </c>
      <c r="L319" t="n">
        <v>59</v>
      </c>
      <c r="M319" t="n">
        <v>21.12</v>
      </c>
      <c r="N319" t="n">
        <v>2829.27</v>
      </c>
      <c r="O319" t="n">
        <v>4.57</v>
      </c>
      <c r="P319" t="n">
        <v>8</v>
      </c>
      <c r="Q319" t="n">
        <v>0</v>
      </c>
      <c r="R319" t="n">
        <v>2022.8</v>
      </c>
      <c r="S319" t="b">
        <v>0</v>
      </c>
      <c r="T319" t="n">
        <v>764236</v>
      </c>
      <c r="U319" t="n">
        <v>9</v>
      </c>
      <c r="V319" t="n">
        <v>0.037</v>
      </c>
      <c r="W319" t="n">
        <v>2.47</v>
      </c>
      <c r="X319" t="n">
        <v>80.53</v>
      </c>
      <c r="Y319">
        <f>VLOOKUP(D319,$AB$2:$AC$7,2,FALSE)</f>
        <v/>
      </c>
      <c r="Z319">
        <f>IF(A319&lt;Y319,"Yes","No")</f>
        <v/>
      </c>
    </row>
    <row r="320">
      <c r="A320" t="n">
        <v>2016</v>
      </c>
      <c r="B320" t="inlineStr">
        <is>
          <t>Q2</t>
        </is>
      </c>
      <c r="C320" t="inlineStr">
        <is>
          <t>South America</t>
        </is>
      </c>
      <c r="D320" t="inlineStr">
        <is>
          <t>Model Y</t>
        </is>
      </c>
      <c r="E320" t="n">
        <v>2470</v>
      </c>
      <c r="F320" t="n">
        <v>83325.53</v>
      </c>
      <c r="G320" t="n">
        <v>35</v>
      </c>
      <c r="H320" t="inlineStr">
        <is>
          <t>Standard</t>
        </is>
      </c>
      <c r="I320" t="inlineStr">
        <is>
          <t>AWD</t>
        </is>
      </c>
      <c r="J320" t="inlineStr">
        <is>
          <t>Silver</t>
        </is>
      </c>
      <c r="K320" t="n">
        <v>405</v>
      </c>
      <c r="L320" t="n">
        <v>62</v>
      </c>
      <c r="M320" t="n">
        <v>18.1</v>
      </c>
      <c r="N320" t="n">
        <v>1701.75</v>
      </c>
      <c r="O320" t="n">
        <v>4.49</v>
      </c>
      <c r="P320" t="n">
        <v>6</v>
      </c>
      <c r="Q320" t="n">
        <v>2</v>
      </c>
      <c r="R320" t="n">
        <v>2022.1</v>
      </c>
      <c r="S320" t="b">
        <v>1</v>
      </c>
      <c r="T320" t="n">
        <v>4323199</v>
      </c>
      <c r="U320" t="n">
        <v>2</v>
      </c>
      <c r="V320" t="n">
        <v>0.0203</v>
      </c>
      <c r="W320" t="n">
        <v>1.82</v>
      </c>
      <c r="X320" t="n">
        <v>65.39</v>
      </c>
      <c r="Y320">
        <f>VLOOKUP(D320,$AB$2:$AC$7,2,FALSE)</f>
        <v/>
      </c>
      <c r="Z320">
        <f>IF(A320&lt;Y320,"Yes","No")</f>
        <v/>
      </c>
    </row>
    <row r="321">
      <c r="A321" t="n">
        <v>2014</v>
      </c>
      <c r="B321" t="inlineStr">
        <is>
          <t>Q4</t>
        </is>
      </c>
      <c r="C321" t="inlineStr">
        <is>
          <t>North America</t>
        </is>
      </c>
      <c r="D321" t="inlineStr">
        <is>
          <t>Model S</t>
        </is>
      </c>
      <c r="E321" t="n">
        <v>3459</v>
      </c>
      <c r="F321" t="n">
        <v>109524.2</v>
      </c>
      <c r="G321" t="n">
        <v>19</v>
      </c>
      <c r="H321" t="inlineStr">
        <is>
          <t>Long Range</t>
        </is>
      </c>
      <c r="I321" t="inlineStr">
        <is>
          <t>RWD</t>
        </is>
      </c>
      <c r="J321" t="inlineStr">
        <is>
          <t>Green</t>
        </is>
      </c>
      <c r="K321" t="n">
        <v>580</v>
      </c>
      <c r="L321" t="n">
        <v>69</v>
      </c>
      <c r="M321" t="n">
        <v>22.69</v>
      </c>
      <c r="N321" t="n">
        <v>4090.85</v>
      </c>
      <c r="O321" t="n">
        <v>4.88</v>
      </c>
      <c r="P321" t="n">
        <v>5</v>
      </c>
      <c r="Q321" t="n">
        <v>1</v>
      </c>
      <c r="R321" t="n">
        <v>2021.2</v>
      </c>
      <c r="S321" t="b">
        <v>0</v>
      </c>
      <c r="T321" t="n">
        <v>991966</v>
      </c>
      <c r="U321" t="n">
        <v>8</v>
      </c>
      <c r="V321" t="n">
        <v>0.0581</v>
      </c>
      <c r="W321" t="n">
        <v>0.51</v>
      </c>
      <c r="X321" t="n">
        <v>63.5</v>
      </c>
      <c r="Y321">
        <f>VLOOKUP(D321,$AB$2:$AC$7,2,FALSE)</f>
        <v/>
      </c>
      <c r="Z321">
        <f>IF(A321&lt;Y321,"Yes","No")</f>
        <v/>
      </c>
    </row>
    <row r="322">
      <c r="A322" t="n">
        <v>2014</v>
      </c>
      <c r="B322" t="inlineStr">
        <is>
          <t>Q4</t>
        </is>
      </c>
      <c r="C322" t="inlineStr">
        <is>
          <t>Australia</t>
        </is>
      </c>
      <c r="D322" t="inlineStr">
        <is>
          <t>Semi</t>
        </is>
      </c>
      <c r="E322" t="n">
        <v>3368</v>
      </c>
      <c r="F322" t="n">
        <v>108846.34</v>
      </c>
      <c r="G322" t="n">
        <v>47</v>
      </c>
      <c r="H322" t="inlineStr">
        <is>
          <t>Performance</t>
        </is>
      </c>
      <c r="I322" t="inlineStr">
        <is>
          <t>RWD</t>
        </is>
      </c>
      <c r="J322" t="inlineStr">
        <is>
          <t>White</t>
        </is>
      </c>
      <c r="K322" t="n">
        <v>666</v>
      </c>
      <c r="L322" t="n">
        <v>82</v>
      </c>
      <c r="M322" t="n">
        <v>24.69</v>
      </c>
      <c r="N322" t="n">
        <v>4113.87</v>
      </c>
      <c r="O322" t="n">
        <v>4.51</v>
      </c>
      <c r="P322" t="n">
        <v>8</v>
      </c>
      <c r="Q322" t="n">
        <v>2</v>
      </c>
      <c r="R322" t="n">
        <v>2020.3</v>
      </c>
      <c r="S322" t="b">
        <v>1</v>
      </c>
      <c r="T322" t="n">
        <v>216399</v>
      </c>
      <c r="U322" t="n">
        <v>5</v>
      </c>
      <c r="V322" t="n">
        <v>0.0201</v>
      </c>
      <c r="W322" t="n">
        <v>0.53</v>
      </c>
      <c r="X322" t="n">
        <v>89.12</v>
      </c>
      <c r="Y322">
        <f>VLOOKUP(D322,$AB$2:$AC$7,2,FALSE)</f>
        <v/>
      </c>
      <c r="Z322">
        <f>IF(A322&lt;Y322,"Yes","No")</f>
        <v/>
      </c>
    </row>
    <row r="323">
      <c r="A323" t="n">
        <v>2012</v>
      </c>
      <c r="B323" t="inlineStr">
        <is>
          <t>Q2</t>
        </is>
      </c>
      <c r="C323" t="inlineStr">
        <is>
          <t>Australia</t>
        </is>
      </c>
      <c r="D323" t="inlineStr">
        <is>
          <t>Semi</t>
        </is>
      </c>
      <c r="E323" t="n">
        <v>1239</v>
      </c>
      <c r="F323" t="n">
        <v>90227.89</v>
      </c>
      <c r="G323" t="n">
        <v>27</v>
      </c>
      <c r="H323" t="inlineStr">
        <is>
          <t>Performance</t>
        </is>
      </c>
      <c r="I323" t="inlineStr">
        <is>
          <t>AWD</t>
        </is>
      </c>
      <c r="J323" t="inlineStr">
        <is>
          <t>Red</t>
        </is>
      </c>
      <c r="K323" t="n">
        <v>504</v>
      </c>
      <c r="L323" t="n">
        <v>79</v>
      </c>
      <c r="M323" t="n">
        <v>18.56</v>
      </c>
      <c r="N323" t="n">
        <v>1794.04</v>
      </c>
      <c r="O323" t="n">
        <v>3.53</v>
      </c>
      <c r="P323" t="n">
        <v>5</v>
      </c>
      <c r="Q323" t="n">
        <v>1</v>
      </c>
      <c r="R323" t="n">
        <v>2023.8</v>
      </c>
      <c r="S323" t="b">
        <v>0</v>
      </c>
      <c r="T323" t="n">
        <v>264649</v>
      </c>
      <c r="U323" t="n">
        <v>9</v>
      </c>
      <c r="V323" t="n">
        <v>0.06270000000000001</v>
      </c>
      <c r="W323" t="n">
        <v>0.9</v>
      </c>
      <c r="X323" t="n">
        <v>77.08</v>
      </c>
      <c r="Y323">
        <f>VLOOKUP(D323,$AB$2:$AC$7,2,FALSE)</f>
        <v/>
      </c>
      <c r="Z323">
        <f>IF(A323&lt;Y323,"Yes","No")</f>
        <v/>
      </c>
    </row>
    <row r="324">
      <c r="A324" t="n">
        <v>2018</v>
      </c>
      <c r="B324" t="inlineStr">
        <is>
          <t>Q1</t>
        </is>
      </c>
      <c r="C324" t="inlineStr">
        <is>
          <t>Asia</t>
        </is>
      </c>
      <c r="D324" t="inlineStr">
        <is>
          <t>Model S</t>
        </is>
      </c>
      <c r="E324" t="n">
        <v>891</v>
      </c>
      <c r="F324" t="n">
        <v>88584.84</v>
      </c>
      <c r="G324" t="n">
        <v>45</v>
      </c>
      <c r="H324" t="inlineStr">
        <is>
          <t>Long Range</t>
        </is>
      </c>
      <c r="I324" t="inlineStr">
        <is>
          <t>RWD</t>
        </is>
      </c>
      <c r="J324" t="inlineStr">
        <is>
          <t>Blue</t>
        </is>
      </c>
      <c r="K324" t="n">
        <v>646</v>
      </c>
      <c r="L324" t="n">
        <v>68</v>
      </c>
      <c r="M324" t="n">
        <v>21.77</v>
      </c>
      <c r="N324" t="n">
        <v>2225.76</v>
      </c>
      <c r="O324" t="n">
        <v>3.56</v>
      </c>
      <c r="P324" t="n">
        <v>8</v>
      </c>
      <c r="Q324" t="n">
        <v>3</v>
      </c>
      <c r="R324" t="n">
        <v>2024.1</v>
      </c>
      <c r="S324" t="b">
        <v>0</v>
      </c>
      <c r="T324" t="n">
        <v>2045366</v>
      </c>
      <c r="U324" t="n">
        <v>2</v>
      </c>
      <c r="V324" t="n">
        <v>0.0575</v>
      </c>
      <c r="W324" t="n">
        <v>1.34</v>
      </c>
      <c r="X324" t="n">
        <v>69.48</v>
      </c>
      <c r="Y324">
        <f>VLOOKUP(D324,$AB$2:$AC$7,2,FALSE)</f>
        <v/>
      </c>
      <c r="Z324">
        <f>IF(A324&lt;Y324,"Yes","No")</f>
        <v/>
      </c>
    </row>
    <row r="325">
      <c r="A325" t="n">
        <v>2013</v>
      </c>
      <c r="B325" t="inlineStr">
        <is>
          <t>Q3</t>
        </is>
      </c>
      <c r="C325" t="inlineStr">
        <is>
          <t>Australia</t>
        </is>
      </c>
      <c r="D325" t="inlineStr">
        <is>
          <t>Model Y</t>
        </is>
      </c>
      <c r="E325" t="n">
        <v>1007</v>
      </c>
      <c r="F325" t="n">
        <v>77057.05</v>
      </c>
      <c r="G325" t="n">
        <v>60</v>
      </c>
      <c r="H325" t="inlineStr">
        <is>
          <t>Performance</t>
        </is>
      </c>
      <c r="I325" t="inlineStr">
        <is>
          <t>RWD</t>
        </is>
      </c>
      <c r="J325" t="inlineStr">
        <is>
          <t>Blue</t>
        </is>
      </c>
      <c r="K325" t="n">
        <v>573</v>
      </c>
      <c r="L325" t="n">
        <v>31</v>
      </c>
      <c r="M325" t="n">
        <v>14.94</v>
      </c>
      <c r="N325" t="n">
        <v>1966.09</v>
      </c>
      <c r="O325" t="n">
        <v>4.2</v>
      </c>
      <c r="P325" t="n">
        <v>8</v>
      </c>
      <c r="Q325" t="n">
        <v>1</v>
      </c>
      <c r="R325" t="n">
        <v>2024.4</v>
      </c>
      <c r="S325" t="b">
        <v>0</v>
      </c>
      <c r="T325" t="n">
        <v>4029788</v>
      </c>
      <c r="U325" t="n">
        <v>4</v>
      </c>
      <c r="V325" t="n">
        <v>0.0895</v>
      </c>
      <c r="W325" t="n">
        <v>1.95</v>
      </c>
      <c r="X325" t="n">
        <v>71.70999999999999</v>
      </c>
      <c r="Y325">
        <f>VLOOKUP(D325,$AB$2:$AC$7,2,FALSE)</f>
        <v/>
      </c>
      <c r="Z325">
        <f>IF(A325&lt;Y325,"Yes","No")</f>
        <v/>
      </c>
    </row>
    <row r="326">
      <c r="A326" t="n">
        <v>2018</v>
      </c>
      <c r="B326" t="inlineStr">
        <is>
          <t>Q3</t>
        </is>
      </c>
      <c r="C326" t="inlineStr">
        <is>
          <t>Australia</t>
        </is>
      </c>
      <c r="D326" t="inlineStr">
        <is>
          <t>Model 3</t>
        </is>
      </c>
      <c r="E326" t="n">
        <v>1747</v>
      </c>
      <c r="F326" t="n">
        <v>59008.86</v>
      </c>
      <c r="G326" t="n">
        <v>47</v>
      </c>
      <c r="H326" t="inlineStr">
        <is>
          <t>Standard</t>
        </is>
      </c>
      <c r="I326" t="inlineStr">
        <is>
          <t>RWD</t>
        </is>
      </c>
      <c r="J326" t="inlineStr">
        <is>
          <t>Black</t>
        </is>
      </c>
      <c r="K326" t="n">
        <v>438</v>
      </c>
      <c r="L326" t="n">
        <v>42</v>
      </c>
      <c r="M326" t="n">
        <v>14.88</v>
      </c>
      <c r="N326" t="n">
        <v>2593.2</v>
      </c>
      <c r="O326" t="n">
        <v>4.69</v>
      </c>
      <c r="P326" t="n">
        <v>8</v>
      </c>
      <c r="Q326" t="n">
        <v>2</v>
      </c>
      <c r="R326" t="n">
        <v>2021.4</v>
      </c>
      <c r="S326" t="b">
        <v>1</v>
      </c>
      <c r="T326" t="n">
        <v>252090</v>
      </c>
      <c r="U326" t="n">
        <v>7</v>
      </c>
      <c r="V326" t="n">
        <v>0.0893</v>
      </c>
      <c r="W326" t="n">
        <v>1.21</v>
      </c>
      <c r="X326" t="n">
        <v>64.76000000000001</v>
      </c>
      <c r="Y326">
        <f>VLOOKUP(D326,$AB$2:$AC$7,2,FALSE)</f>
        <v/>
      </c>
      <c r="Z326">
        <f>IF(A326&lt;Y326,"Yes","No")</f>
        <v/>
      </c>
    </row>
    <row r="327">
      <c r="A327" t="n">
        <v>2020</v>
      </c>
      <c r="B327" t="inlineStr">
        <is>
          <t>Q1</t>
        </is>
      </c>
      <c r="C327" t="inlineStr">
        <is>
          <t>North America</t>
        </is>
      </c>
      <c r="D327" t="inlineStr">
        <is>
          <t>Model X</t>
        </is>
      </c>
      <c r="E327" t="n">
        <v>3577</v>
      </c>
      <c r="F327" t="n">
        <v>44687.39</v>
      </c>
      <c r="G327" t="n">
        <v>14</v>
      </c>
      <c r="H327" t="inlineStr">
        <is>
          <t>Standard</t>
        </is>
      </c>
      <c r="I327" t="inlineStr">
        <is>
          <t>AWD</t>
        </is>
      </c>
      <c r="J327" t="inlineStr">
        <is>
          <t>Blue</t>
        </is>
      </c>
      <c r="K327" t="n">
        <v>482</v>
      </c>
      <c r="L327" t="n">
        <v>51</v>
      </c>
      <c r="M327" t="n">
        <v>22.42</v>
      </c>
      <c r="N327" t="n">
        <v>7292.6</v>
      </c>
      <c r="O327" t="n">
        <v>4.66</v>
      </c>
      <c r="P327" t="n">
        <v>6</v>
      </c>
      <c r="Q327" t="n">
        <v>1</v>
      </c>
      <c r="R327" t="n">
        <v>2024.1</v>
      </c>
      <c r="S327" t="b">
        <v>1</v>
      </c>
      <c r="T327" t="n">
        <v>522970</v>
      </c>
      <c r="U327" t="n">
        <v>9</v>
      </c>
      <c r="V327" t="n">
        <v>0.0819</v>
      </c>
      <c r="W327" t="n">
        <v>2.43</v>
      </c>
      <c r="X327" t="n">
        <v>82.67</v>
      </c>
      <c r="Y327">
        <f>VLOOKUP(D327,$AB$2:$AC$7,2,FALSE)</f>
        <v/>
      </c>
      <c r="Z327">
        <f>IF(A327&lt;Y327,"Yes","No")</f>
        <v/>
      </c>
    </row>
    <row r="328">
      <c r="A328" t="n">
        <v>2013</v>
      </c>
      <c r="B328" t="inlineStr">
        <is>
          <t>Q1</t>
        </is>
      </c>
      <c r="C328" t="inlineStr">
        <is>
          <t>South America</t>
        </is>
      </c>
      <c r="D328" t="inlineStr">
        <is>
          <t>Model S</t>
        </is>
      </c>
      <c r="E328" t="n">
        <v>4205</v>
      </c>
      <c r="F328" t="n">
        <v>43959.94</v>
      </c>
      <c r="G328" t="n">
        <v>40</v>
      </c>
      <c r="H328" t="inlineStr">
        <is>
          <t>Standard</t>
        </is>
      </c>
      <c r="I328" t="inlineStr">
        <is>
          <t>AWD</t>
        </is>
      </c>
      <c r="J328" t="inlineStr">
        <is>
          <t>White</t>
        </is>
      </c>
      <c r="K328" t="n">
        <v>430</v>
      </c>
      <c r="L328" t="n">
        <v>76</v>
      </c>
      <c r="M328" t="n">
        <v>16.51</v>
      </c>
      <c r="N328" t="n">
        <v>5815.67</v>
      </c>
      <c r="O328" t="n">
        <v>4.26</v>
      </c>
      <c r="P328" t="n">
        <v>4</v>
      </c>
      <c r="Q328" t="n">
        <v>1</v>
      </c>
      <c r="R328" t="n">
        <v>2022.6</v>
      </c>
      <c r="S328" t="b">
        <v>1</v>
      </c>
      <c r="T328" t="n">
        <v>1131660</v>
      </c>
      <c r="U328" t="n">
        <v>5</v>
      </c>
      <c r="V328" t="n">
        <v>0.0495</v>
      </c>
      <c r="W328" t="n">
        <v>1.33</v>
      </c>
      <c r="X328" t="n">
        <v>83.06999999999999</v>
      </c>
      <c r="Y328">
        <f>VLOOKUP(D328,$AB$2:$AC$7,2,FALSE)</f>
        <v/>
      </c>
      <c r="Z328">
        <f>IF(A328&lt;Y328,"Yes","No")</f>
        <v/>
      </c>
    </row>
    <row r="329">
      <c r="A329" t="n">
        <v>2015</v>
      </c>
      <c r="B329" t="inlineStr">
        <is>
          <t>Q4</t>
        </is>
      </c>
      <c r="C329" t="inlineStr">
        <is>
          <t>Asia</t>
        </is>
      </c>
      <c r="D329" t="inlineStr">
        <is>
          <t>Model X</t>
        </is>
      </c>
      <c r="E329" t="n">
        <v>4187</v>
      </c>
      <c r="F329" t="n">
        <v>49557.25</v>
      </c>
      <c r="G329" t="n">
        <v>17</v>
      </c>
      <c r="H329" t="inlineStr">
        <is>
          <t>Long Range</t>
        </is>
      </c>
      <c r="I329" t="inlineStr">
        <is>
          <t>RWD</t>
        </is>
      </c>
      <c r="J329" t="inlineStr">
        <is>
          <t>White</t>
        </is>
      </c>
      <c r="K329" t="n">
        <v>672</v>
      </c>
      <c r="L329" t="n">
        <v>72</v>
      </c>
      <c r="M329" t="n">
        <v>15.95</v>
      </c>
      <c r="N329" t="n">
        <v>8400.85</v>
      </c>
      <c r="O329" t="n">
        <v>4.29</v>
      </c>
      <c r="P329" t="n">
        <v>5</v>
      </c>
      <c r="Q329" t="n">
        <v>1</v>
      </c>
      <c r="R329" t="n">
        <v>2023.7</v>
      </c>
      <c r="S329" t="b">
        <v>0</v>
      </c>
      <c r="T329" t="n">
        <v>3948299</v>
      </c>
      <c r="U329" t="n">
        <v>10</v>
      </c>
      <c r="V329" t="n">
        <v>0.0815</v>
      </c>
      <c r="W329" t="n">
        <v>1.22</v>
      </c>
      <c r="X329" t="n">
        <v>60.89</v>
      </c>
      <c r="Y329">
        <f>VLOOKUP(D329,$AB$2:$AC$7,2,FALSE)</f>
        <v/>
      </c>
      <c r="Z329">
        <f>IF(A329&lt;Y329,"Yes","No")</f>
        <v/>
      </c>
    </row>
    <row r="330">
      <c r="A330" t="n">
        <v>2014</v>
      </c>
      <c r="B330" t="inlineStr">
        <is>
          <t>Q1</t>
        </is>
      </c>
      <c r="C330" t="inlineStr">
        <is>
          <t>South America</t>
        </is>
      </c>
      <c r="D330" t="inlineStr">
        <is>
          <t>Model S</t>
        </is>
      </c>
      <c r="E330" t="n">
        <v>744</v>
      </c>
      <c r="F330" t="n">
        <v>63755.81</v>
      </c>
      <c r="G330" t="n">
        <v>25</v>
      </c>
      <c r="H330" t="inlineStr">
        <is>
          <t>Standard</t>
        </is>
      </c>
      <c r="I330" t="inlineStr">
        <is>
          <t>RWD</t>
        </is>
      </c>
      <c r="J330" t="inlineStr">
        <is>
          <t>Red</t>
        </is>
      </c>
      <c r="K330" t="n">
        <v>551</v>
      </c>
      <c r="L330" t="n">
        <v>78</v>
      </c>
      <c r="M330" t="n">
        <v>13.45</v>
      </c>
      <c r="N330" t="n">
        <v>1744.71</v>
      </c>
      <c r="O330" t="n">
        <v>3.73</v>
      </c>
      <c r="P330" t="n">
        <v>4</v>
      </c>
      <c r="Q330" t="n">
        <v>2</v>
      </c>
      <c r="R330" t="n">
        <v>2023.7</v>
      </c>
      <c r="S330" t="b">
        <v>0</v>
      </c>
      <c r="T330" t="n">
        <v>2731466</v>
      </c>
      <c r="U330" t="n">
        <v>7</v>
      </c>
      <c r="V330" t="n">
        <v>0.0107</v>
      </c>
      <c r="W330" t="n">
        <v>1.06</v>
      </c>
      <c r="X330" t="n">
        <v>75.83</v>
      </c>
      <c r="Y330">
        <f>VLOOKUP(D330,$AB$2:$AC$7,2,FALSE)</f>
        <v/>
      </c>
      <c r="Z330">
        <f>IF(A330&lt;Y330,"Yes","No")</f>
        <v/>
      </c>
    </row>
    <row r="331">
      <c r="A331" t="n">
        <v>2014</v>
      </c>
      <c r="B331" t="inlineStr">
        <is>
          <t>Q4</t>
        </is>
      </c>
      <c r="C331" t="inlineStr">
        <is>
          <t>Australia</t>
        </is>
      </c>
      <c r="D331" t="inlineStr">
        <is>
          <t>Semi</t>
        </is>
      </c>
      <c r="E331" t="n">
        <v>1730</v>
      </c>
      <c r="F331" t="n">
        <v>110444.28</v>
      </c>
      <c r="G331" t="n">
        <v>39</v>
      </c>
      <c r="H331" t="inlineStr">
        <is>
          <t>Performance</t>
        </is>
      </c>
      <c r="I331" t="inlineStr">
        <is>
          <t>RWD</t>
        </is>
      </c>
      <c r="J331" t="inlineStr">
        <is>
          <t>Green</t>
        </is>
      </c>
      <c r="K331" t="n">
        <v>526</v>
      </c>
      <c r="L331" t="n">
        <v>86</v>
      </c>
      <c r="M331" t="n">
        <v>22.74</v>
      </c>
      <c r="N331" t="n">
        <v>3109.7</v>
      </c>
      <c r="O331" t="n">
        <v>4.66</v>
      </c>
      <c r="P331" t="n">
        <v>6</v>
      </c>
      <c r="Q331" t="n">
        <v>0</v>
      </c>
      <c r="R331" t="n">
        <v>2020.9</v>
      </c>
      <c r="S331" t="b">
        <v>0</v>
      </c>
      <c r="T331" t="n">
        <v>3371502</v>
      </c>
      <c r="U331" t="n">
        <v>4</v>
      </c>
      <c r="V331" t="n">
        <v>0.0568</v>
      </c>
      <c r="W331" t="n">
        <v>1.58</v>
      </c>
      <c r="X331" t="n">
        <v>66.41</v>
      </c>
      <c r="Y331">
        <f>VLOOKUP(D331,$AB$2:$AC$7,2,FALSE)</f>
        <v/>
      </c>
      <c r="Z331">
        <f>IF(A331&lt;Y331,"Yes","No")</f>
        <v/>
      </c>
    </row>
    <row r="332">
      <c r="A332" t="n">
        <v>2020</v>
      </c>
      <c r="B332" t="inlineStr">
        <is>
          <t>Q3</t>
        </is>
      </c>
      <c r="C332" t="inlineStr">
        <is>
          <t>South America</t>
        </is>
      </c>
      <c r="D332" t="inlineStr">
        <is>
          <t>Model X</t>
        </is>
      </c>
      <c r="E332" t="n">
        <v>1360</v>
      </c>
      <c r="F332" t="n">
        <v>36990.85</v>
      </c>
      <c r="G332" t="n">
        <v>56</v>
      </c>
      <c r="H332" t="inlineStr">
        <is>
          <t>Performance</t>
        </is>
      </c>
      <c r="I332" t="inlineStr">
        <is>
          <t>RWD</t>
        </is>
      </c>
      <c r="J332" t="inlineStr">
        <is>
          <t>Black</t>
        </is>
      </c>
      <c r="K332" t="n">
        <v>505</v>
      </c>
      <c r="L332" t="n">
        <v>76</v>
      </c>
      <c r="M332" t="n">
        <v>18.07</v>
      </c>
      <c r="N332" t="n">
        <v>2054.35</v>
      </c>
      <c r="O332" t="n">
        <v>4.6</v>
      </c>
      <c r="P332" t="n">
        <v>6</v>
      </c>
      <c r="Q332" t="n">
        <v>2</v>
      </c>
      <c r="R332" t="n">
        <v>2024.6</v>
      </c>
      <c r="S332" t="b">
        <v>1</v>
      </c>
      <c r="T332" t="n">
        <v>500412</v>
      </c>
      <c r="U332" t="n">
        <v>12</v>
      </c>
      <c r="V332" t="n">
        <v>0.09470000000000001</v>
      </c>
      <c r="W332" t="n">
        <v>1.4</v>
      </c>
      <c r="X332" t="n">
        <v>77.17</v>
      </c>
      <c r="Y332">
        <f>VLOOKUP(D332,$AB$2:$AC$7,2,FALSE)</f>
        <v/>
      </c>
      <c r="Z332">
        <f>IF(A332&lt;Y332,"Yes","No")</f>
        <v/>
      </c>
    </row>
    <row r="333">
      <c r="A333" t="n">
        <v>2012</v>
      </c>
      <c r="B333" t="inlineStr">
        <is>
          <t>Q4</t>
        </is>
      </c>
      <c r="C333" t="inlineStr">
        <is>
          <t>Asia</t>
        </is>
      </c>
      <c r="D333" t="inlineStr">
        <is>
          <t>Model 3</t>
        </is>
      </c>
      <c r="E333" t="n">
        <v>4814</v>
      </c>
      <c r="F333" t="n">
        <v>83075.75999999999</v>
      </c>
      <c r="G333" t="n">
        <v>57</v>
      </c>
      <c r="H333" t="inlineStr">
        <is>
          <t>Performance</t>
        </is>
      </c>
      <c r="I333" t="inlineStr">
        <is>
          <t>AWD</t>
        </is>
      </c>
      <c r="J333" t="inlineStr">
        <is>
          <t>White</t>
        </is>
      </c>
      <c r="K333" t="n">
        <v>503</v>
      </c>
      <c r="L333" t="n">
        <v>48</v>
      </c>
      <c r="M333" t="n">
        <v>21</v>
      </c>
      <c r="N333" t="n">
        <v>10254.58</v>
      </c>
      <c r="O333" t="n">
        <v>4.36</v>
      </c>
      <c r="P333" t="n">
        <v>5</v>
      </c>
      <c r="Q333" t="n">
        <v>3</v>
      </c>
      <c r="R333" t="n">
        <v>2024.12</v>
      </c>
      <c r="S333" t="b">
        <v>1</v>
      </c>
      <c r="T333" t="n">
        <v>982707</v>
      </c>
      <c r="U333" t="n">
        <v>7</v>
      </c>
      <c r="V333" t="n">
        <v>0.0565</v>
      </c>
      <c r="W333" t="n">
        <v>0.89</v>
      </c>
      <c r="X333" t="n">
        <v>83.36</v>
      </c>
      <c r="Y333">
        <f>VLOOKUP(D333,$AB$2:$AC$7,2,FALSE)</f>
        <v/>
      </c>
      <c r="Z333">
        <f>IF(A333&lt;Y333,"Yes","No")</f>
        <v/>
      </c>
    </row>
    <row r="334">
      <c r="A334" t="n">
        <v>2019</v>
      </c>
      <c r="B334" t="inlineStr">
        <is>
          <t>Q1</t>
        </is>
      </c>
      <c r="C334" t="inlineStr">
        <is>
          <t>Europe</t>
        </is>
      </c>
      <c r="D334" t="inlineStr">
        <is>
          <t>Semi</t>
        </is>
      </c>
      <c r="E334" t="n">
        <v>3537</v>
      </c>
      <c r="F334" t="n">
        <v>105417.2</v>
      </c>
      <c r="G334" t="n">
        <v>5</v>
      </c>
      <c r="H334" t="inlineStr">
        <is>
          <t>Standard</t>
        </is>
      </c>
      <c r="I334" t="inlineStr">
        <is>
          <t>AWD</t>
        </is>
      </c>
      <c r="J334" t="inlineStr">
        <is>
          <t>Blue</t>
        </is>
      </c>
      <c r="K334" t="n">
        <v>416</v>
      </c>
      <c r="L334" t="n">
        <v>60</v>
      </c>
      <c r="M334" t="n">
        <v>15.58</v>
      </c>
      <c r="N334" t="n">
        <v>2320.79</v>
      </c>
      <c r="O334" t="n">
        <v>4.52</v>
      </c>
      <c r="P334" t="n">
        <v>8</v>
      </c>
      <c r="Q334" t="n">
        <v>3</v>
      </c>
      <c r="R334" t="n">
        <v>2022.1</v>
      </c>
      <c r="S334" t="b">
        <v>0</v>
      </c>
      <c r="T334" t="n">
        <v>3651922</v>
      </c>
      <c r="U334" t="n">
        <v>9</v>
      </c>
      <c r="V334" t="n">
        <v>0.07199999999999999</v>
      </c>
      <c r="W334" t="n">
        <v>2.4</v>
      </c>
      <c r="X334" t="n">
        <v>81.95</v>
      </c>
      <c r="Y334">
        <f>VLOOKUP(D334,$AB$2:$AC$7,2,FALSE)</f>
        <v/>
      </c>
      <c r="Z334">
        <f>IF(A334&lt;Y334,"Yes","No")</f>
        <v/>
      </c>
    </row>
    <row r="335">
      <c r="A335" t="n">
        <v>2018</v>
      </c>
      <c r="B335" t="inlineStr">
        <is>
          <t>Q2</t>
        </is>
      </c>
      <c r="C335" t="inlineStr">
        <is>
          <t>Europe</t>
        </is>
      </c>
      <c r="D335" t="inlineStr">
        <is>
          <t>Cybertruck</t>
        </is>
      </c>
      <c r="E335" t="n">
        <v>1091</v>
      </c>
      <c r="F335" t="n">
        <v>76204.97</v>
      </c>
      <c r="G335" t="n">
        <v>29</v>
      </c>
      <c r="H335" t="inlineStr">
        <is>
          <t>Standard</t>
        </is>
      </c>
      <c r="I335" t="inlineStr">
        <is>
          <t>AWD</t>
        </is>
      </c>
      <c r="J335" t="inlineStr">
        <is>
          <t>Green</t>
        </is>
      </c>
      <c r="K335" t="n">
        <v>458</v>
      </c>
      <c r="L335" t="n">
        <v>59</v>
      </c>
      <c r="M335" t="n">
        <v>18.68</v>
      </c>
      <c r="N335" t="n">
        <v>2174.35</v>
      </c>
      <c r="O335" t="n">
        <v>4.92</v>
      </c>
      <c r="P335" t="n">
        <v>6</v>
      </c>
      <c r="Q335" t="n">
        <v>0</v>
      </c>
      <c r="R335" t="n">
        <v>2024.7</v>
      </c>
      <c r="S335" t="b">
        <v>1</v>
      </c>
      <c r="T335" t="n">
        <v>1113901</v>
      </c>
      <c r="U335" t="n">
        <v>7</v>
      </c>
      <c r="V335" t="n">
        <v>0.0615</v>
      </c>
      <c r="W335" t="n">
        <v>0.58</v>
      </c>
      <c r="X335" t="n">
        <v>64.59999999999999</v>
      </c>
      <c r="Y335">
        <f>VLOOKUP(D335,$AB$2:$AC$7,2,FALSE)</f>
        <v/>
      </c>
      <c r="Z335">
        <f>IF(A335&lt;Y335,"Yes","No")</f>
        <v/>
      </c>
    </row>
    <row r="336">
      <c r="A336" t="n">
        <v>2017</v>
      </c>
      <c r="B336" t="inlineStr">
        <is>
          <t>Q3</t>
        </is>
      </c>
      <c r="C336" t="inlineStr">
        <is>
          <t>Asia</t>
        </is>
      </c>
      <c r="D336" t="inlineStr">
        <is>
          <t>Model X</t>
        </is>
      </c>
      <c r="E336" t="n">
        <v>2458</v>
      </c>
      <c r="F336" t="n">
        <v>76303.67</v>
      </c>
      <c r="G336" t="n">
        <v>50</v>
      </c>
      <c r="H336" t="inlineStr">
        <is>
          <t>Standard</t>
        </is>
      </c>
      <c r="I336" t="inlineStr">
        <is>
          <t>AWD</t>
        </is>
      </c>
      <c r="J336" t="inlineStr">
        <is>
          <t>Silver</t>
        </is>
      </c>
      <c r="K336" t="n">
        <v>565</v>
      </c>
      <c r="L336" t="n">
        <v>33</v>
      </c>
      <c r="M336" t="n">
        <v>24.24</v>
      </c>
      <c r="N336" t="n">
        <v>2729.19</v>
      </c>
      <c r="O336" t="n">
        <v>3.93</v>
      </c>
      <c r="P336" t="n">
        <v>5</v>
      </c>
      <c r="Q336" t="n">
        <v>3</v>
      </c>
      <c r="R336" t="n">
        <v>2020.2</v>
      </c>
      <c r="S336" t="b">
        <v>0</v>
      </c>
      <c r="T336" t="n">
        <v>666772</v>
      </c>
      <c r="U336" t="n">
        <v>2</v>
      </c>
      <c r="V336" t="n">
        <v>0.0476</v>
      </c>
      <c r="W336" t="n">
        <v>1.65</v>
      </c>
      <c r="X336" t="n">
        <v>76.97</v>
      </c>
      <c r="Y336">
        <f>VLOOKUP(D336,$AB$2:$AC$7,2,FALSE)</f>
        <v/>
      </c>
      <c r="Z336">
        <f>IF(A336&lt;Y336,"Yes","No")</f>
        <v/>
      </c>
    </row>
    <row r="337">
      <c r="A337" t="n">
        <v>2017</v>
      </c>
      <c r="B337" t="inlineStr">
        <is>
          <t>Q4</t>
        </is>
      </c>
      <c r="C337" t="inlineStr">
        <is>
          <t>Australia</t>
        </is>
      </c>
      <c r="D337" t="inlineStr">
        <is>
          <t>Semi</t>
        </is>
      </c>
      <c r="E337" t="n">
        <v>1137</v>
      </c>
      <c r="F337" t="n">
        <v>99765.85000000001</v>
      </c>
      <c r="G337" t="n">
        <v>32</v>
      </c>
      <c r="H337" t="inlineStr">
        <is>
          <t>Performance</t>
        </is>
      </c>
      <c r="I337" t="inlineStr">
        <is>
          <t>RWD</t>
        </is>
      </c>
      <c r="J337" t="inlineStr">
        <is>
          <t>Blue</t>
        </is>
      </c>
      <c r="K337" t="n">
        <v>691</v>
      </c>
      <c r="L337" t="n">
        <v>58</v>
      </c>
      <c r="M337" t="n">
        <v>14.79</v>
      </c>
      <c r="N337" t="n">
        <v>2223.66</v>
      </c>
      <c r="O337" t="n">
        <v>3.63</v>
      </c>
      <c r="P337" t="n">
        <v>8</v>
      </c>
      <c r="Q337" t="n">
        <v>3</v>
      </c>
      <c r="R337" t="n">
        <v>2021.7</v>
      </c>
      <c r="S337" t="b">
        <v>0</v>
      </c>
      <c r="T337" t="n">
        <v>4638190</v>
      </c>
      <c r="U337" t="n">
        <v>2</v>
      </c>
      <c r="V337" t="n">
        <v>0.09619999999999999</v>
      </c>
      <c r="W337" t="n">
        <v>2.28</v>
      </c>
      <c r="X337" t="n">
        <v>82.08</v>
      </c>
      <c r="Y337">
        <f>VLOOKUP(D337,$AB$2:$AC$7,2,FALSE)</f>
        <v/>
      </c>
      <c r="Z337">
        <f>IF(A337&lt;Y337,"Yes","No")</f>
        <v/>
      </c>
    </row>
    <row r="338">
      <c r="A338" t="n">
        <v>2022</v>
      </c>
      <c r="B338" t="inlineStr">
        <is>
          <t>Q1</t>
        </is>
      </c>
      <c r="C338" t="inlineStr">
        <is>
          <t>Europe</t>
        </is>
      </c>
      <c r="D338" t="inlineStr">
        <is>
          <t>Semi</t>
        </is>
      </c>
      <c r="E338" t="n">
        <v>253</v>
      </c>
      <c r="F338" t="n">
        <v>83619.56</v>
      </c>
      <c r="G338" t="n">
        <v>50</v>
      </c>
      <c r="H338" t="inlineStr">
        <is>
          <t>Performance</t>
        </is>
      </c>
      <c r="I338" t="inlineStr">
        <is>
          <t>RWD</t>
        </is>
      </c>
      <c r="J338" t="inlineStr">
        <is>
          <t>Silver</t>
        </is>
      </c>
      <c r="K338" t="n">
        <v>680</v>
      </c>
      <c r="L338" t="n">
        <v>37</v>
      </c>
      <c r="M338" t="n">
        <v>20.73</v>
      </c>
      <c r="N338" t="n">
        <v>169.59</v>
      </c>
      <c r="O338" t="n">
        <v>4.93</v>
      </c>
      <c r="P338" t="n">
        <v>4</v>
      </c>
      <c r="Q338" t="n">
        <v>1</v>
      </c>
      <c r="R338" t="n">
        <v>2023.9</v>
      </c>
      <c r="S338" t="b">
        <v>1</v>
      </c>
      <c r="T338" t="n">
        <v>1109008</v>
      </c>
      <c r="U338" t="n">
        <v>12</v>
      </c>
      <c r="V338" t="n">
        <v>0.09429999999999999</v>
      </c>
      <c r="W338" t="n">
        <v>0.86</v>
      </c>
      <c r="X338" t="n">
        <v>60.57</v>
      </c>
      <c r="Y338">
        <f>VLOOKUP(D338,$AB$2:$AC$7,2,FALSE)</f>
        <v/>
      </c>
      <c r="Z338">
        <f>IF(A338&lt;Y338,"Yes","No")</f>
        <v/>
      </c>
    </row>
    <row r="339">
      <c r="A339" t="n">
        <v>2024</v>
      </c>
      <c r="B339" t="inlineStr">
        <is>
          <t>Q2</t>
        </is>
      </c>
      <c r="C339" t="inlineStr">
        <is>
          <t>Europe</t>
        </is>
      </c>
      <c r="D339" t="inlineStr">
        <is>
          <t>Semi</t>
        </is>
      </c>
      <c r="E339" t="n">
        <v>4797</v>
      </c>
      <c r="F339" t="n">
        <v>72759.5</v>
      </c>
      <c r="G339" t="n">
        <v>51</v>
      </c>
      <c r="H339" t="inlineStr">
        <is>
          <t>Performance</t>
        </is>
      </c>
      <c r="I339" t="inlineStr">
        <is>
          <t>RWD</t>
        </is>
      </c>
      <c r="J339" t="inlineStr">
        <is>
          <t>Blue</t>
        </is>
      </c>
      <c r="K339" t="n">
        <v>651</v>
      </c>
      <c r="L339" t="n">
        <v>32</v>
      </c>
      <c r="M339" t="n">
        <v>18.9</v>
      </c>
      <c r="N339" t="n">
        <v>11357.85</v>
      </c>
      <c r="O339" t="n">
        <v>4.01</v>
      </c>
      <c r="P339" t="n">
        <v>5</v>
      </c>
      <c r="Q339" t="n">
        <v>3</v>
      </c>
      <c r="R339" t="n">
        <v>2020.9</v>
      </c>
      <c r="S339" t="b">
        <v>0</v>
      </c>
      <c r="T339" t="n">
        <v>3304540</v>
      </c>
      <c r="U339" t="n">
        <v>6</v>
      </c>
      <c r="V339" t="n">
        <v>0.0182</v>
      </c>
      <c r="W339" t="n">
        <v>2.46</v>
      </c>
      <c r="X339" t="n">
        <v>76.25</v>
      </c>
      <c r="Y339">
        <f>VLOOKUP(D339,$AB$2:$AC$7,2,FALSE)</f>
        <v/>
      </c>
      <c r="Z339">
        <f>IF(A339&lt;Y339,"Yes","No")</f>
        <v/>
      </c>
    </row>
    <row r="340">
      <c r="A340" t="n">
        <v>2016</v>
      </c>
      <c r="B340" t="inlineStr">
        <is>
          <t>Q2</t>
        </is>
      </c>
      <c r="C340" t="inlineStr">
        <is>
          <t>Europe</t>
        </is>
      </c>
      <c r="D340" t="inlineStr">
        <is>
          <t>Model X</t>
        </is>
      </c>
      <c r="E340" t="n">
        <v>784</v>
      </c>
      <c r="F340" t="n">
        <v>48109.33</v>
      </c>
      <c r="G340" t="n">
        <v>60</v>
      </c>
      <c r="H340" t="inlineStr">
        <is>
          <t>Long Range</t>
        </is>
      </c>
      <c r="I340" t="inlineStr">
        <is>
          <t>AWD</t>
        </is>
      </c>
      <c r="J340" t="inlineStr">
        <is>
          <t>Red</t>
        </is>
      </c>
      <c r="K340" t="n">
        <v>664</v>
      </c>
      <c r="L340" t="n">
        <v>50</v>
      </c>
      <c r="M340" t="n">
        <v>15.18</v>
      </c>
      <c r="N340" t="n">
        <v>1510.46</v>
      </c>
      <c r="O340" t="n">
        <v>3.95</v>
      </c>
      <c r="P340" t="n">
        <v>4</v>
      </c>
      <c r="Q340" t="n">
        <v>2</v>
      </c>
      <c r="R340" t="n">
        <v>2021.7</v>
      </c>
      <c r="S340" t="b">
        <v>0</v>
      </c>
      <c r="T340" t="n">
        <v>2263709</v>
      </c>
      <c r="U340" t="n">
        <v>8</v>
      </c>
      <c r="V340" t="n">
        <v>0.09470000000000001</v>
      </c>
      <c r="W340" t="n">
        <v>2.3</v>
      </c>
      <c r="X340" t="n">
        <v>61.56</v>
      </c>
      <c r="Y340">
        <f>VLOOKUP(D340,$AB$2:$AC$7,2,FALSE)</f>
        <v/>
      </c>
      <c r="Z340">
        <f>IF(A340&lt;Y340,"Yes","No")</f>
        <v/>
      </c>
    </row>
    <row r="341">
      <c r="A341" t="n">
        <v>2015</v>
      </c>
      <c r="B341" t="inlineStr">
        <is>
          <t>Q2</t>
        </is>
      </c>
      <c r="C341" t="inlineStr">
        <is>
          <t>Australia</t>
        </is>
      </c>
      <c r="D341" t="inlineStr">
        <is>
          <t>Cybertruck</t>
        </is>
      </c>
      <c r="E341" t="n">
        <v>4182</v>
      </c>
      <c r="F341" t="n">
        <v>67729.14</v>
      </c>
      <c r="G341" t="n">
        <v>7</v>
      </c>
      <c r="H341" t="inlineStr">
        <is>
          <t>Long Range</t>
        </is>
      </c>
      <c r="I341" t="inlineStr">
        <is>
          <t>AWD</t>
        </is>
      </c>
      <c r="J341" t="inlineStr">
        <is>
          <t>White</t>
        </is>
      </c>
      <c r="K341" t="n">
        <v>587</v>
      </c>
      <c r="L341" t="n">
        <v>65</v>
      </c>
      <c r="M341" t="n">
        <v>17.88</v>
      </c>
      <c r="N341" t="n">
        <v>6140.61</v>
      </c>
      <c r="O341" t="n">
        <v>4.11</v>
      </c>
      <c r="P341" t="n">
        <v>5</v>
      </c>
      <c r="Q341" t="n">
        <v>0</v>
      </c>
      <c r="R341" t="n">
        <v>2022.9</v>
      </c>
      <c r="S341" t="b">
        <v>1</v>
      </c>
      <c r="T341" t="n">
        <v>2166249</v>
      </c>
      <c r="U341" t="n">
        <v>10</v>
      </c>
      <c r="V341" t="n">
        <v>0.06859999999999999</v>
      </c>
      <c r="W341" t="n">
        <v>0.75</v>
      </c>
      <c r="X341" t="n">
        <v>77.05</v>
      </c>
      <c r="Y341">
        <f>VLOOKUP(D341,$AB$2:$AC$7,2,FALSE)</f>
        <v/>
      </c>
      <c r="Z341">
        <f>IF(A341&lt;Y341,"Yes","No")</f>
        <v/>
      </c>
    </row>
    <row r="342">
      <c r="A342" t="n">
        <v>2019</v>
      </c>
      <c r="B342" t="inlineStr">
        <is>
          <t>Q1</t>
        </is>
      </c>
      <c r="C342" t="inlineStr">
        <is>
          <t>South America</t>
        </is>
      </c>
      <c r="D342" t="inlineStr">
        <is>
          <t>Model 3</t>
        </is>
      </c>
      <c r="E342" t="n">
        <v>1216</v>
      </c>
      <c r="F342" t="n">
        <v>66730.94</v>
      </c>
      <c r="G342" t="n">
        <v>10</v>
      </c>
      <c r="H342" t="inlineStr">
        <is>
          <t>Standard</t>
        </is>
      </c>
      <c r="I342" t="inlineStr">
        <is>
          <t>RWD</t>
        </is>
      </c>
      <c r="J342" t="inlineStr">
        <is>
          <t>Silver</t>
        </is>
      </c>
      <c r="K342" t="n">
        <v>581</v>
      </c>
      <c r="L342" t="n">
        <v>32</v>
      </c>
      <c r="M342" t="n">
        <v>13.01</v>
      </c>
      <c r="N342" t="n">
        <v>1738.03</v>
      </c>
      <c r="O342" t="n">
        <v>4.74</v>
      </c>
      <c r="P342" t="n">
        <v>6</v>
      </c>
      <c r="Q342" t="n">
        <v>1</v>
      </c>
      <c r="R342" t="n">
        <v>2020.1</v>
      </c>
      <c r="S342" t="b">
        <v>0</v>
      </c>
      <c r="T342" t="n">
        <v>2392631</v>
      </c>
      <c r="U342" t="n">
        <v>11</v>
      </c>
      <c r="V342" t="n">
        <v>0.0326</v>
      </c>
      <c r="W342" t="n">
        <v>1.86</v>
      </c>
      <c r="X342" t="n">
        <v>89.98</v>
      </c>
      <c r="Y342">
        <f>VLOOKUP(D342,$AB$2:$AC$7,2,FALSE)</f>
        <v/>
      </c>
      <c r="Z342">
        <f>IF(A342&lt;Y342,"Yes","No")</f>
        <v/>
      </c>
    </row>
    <row r="343">
      <c r="A343" t="n">
        <v>2022</v>
      </c>
      <c r="B343" t="inlineStr">
        <is>
          <t>Q2</t>
        </is>
      </c>
      <c r="C343" t="inlineStr">
        <is>
          <t>South America</t>
        </is>
      </c>
      <c r="D343" t="inlineStr">
        <is>
          <t>Cybertruck</t>
        </is>
      </c>
      <c r="E343" t="n">
        <v>2354</v>
      </c>
      <c r="F343" t="n">
        <v>38866.2</v>
      </c>
      <c r="G343" t="n">
        <v>47</v>
      </c>
      <c r="H343" t="inlineStr">
        <is>
          <t>Performance</t>
        </is>
      </c>
      <c r="I343" t="inlineStr">
        <is>
          <t>AWD</t>
        </is>
      </c>
      <c r="J343" t="inlineStr">
        <is>
          <t>White</t>
        </is>
      </c>
      <c r="K343" t="n">
        <v>395</v>
      </c>
      <c r="L343" t="n">
        <v>55</v>
      </c>
      <c r="M343" t="n">
        <v>21.38</v>
      </c>
      <c r="N343" t="n">
        <v>5086.99</v>
      </c>
      <c r="O343" t="n">
        <v>4.59</v>
      </c>
      <c r="P343" t="n">
        <v>6</v>
      </c>
      <c r="Q343" t="n">
        <v>3</v>
      </c>
      <c r="R343" t="n">
        <v>2021.1</v>
      </c>
      <c r="S343" t="b">
        <v>0</v>
      </c>
      <c r="T343" t="n">
        <v>2974232</v>
      </c>
      <c r="U343" t="n">
        <v>12</v>
      </c>
      <c r="V343" t="n">
        <v>0.0335</v>
      </c>
      <c r="W343" t="n">
        <v>2.01</v>
      </c>
      <c r="X343" t="n">
        <v>73.58</v>
      </c>
      <c r="Y343">
        <f>VLOOKUP(D343,$AB$2:$AC$7,2,FALSE)</f>
        <v/>
      </c>
      <c r="Z343">
        <f>IF(A343&lt;Y343,"Yes","No")</f>
        <v/>
      </c>
    </row>
    <row r="344">
      <c r="A344" t="n">
        <v>2015</v>
      </c>
      <c r="B344" t="inlineStr">
        <is>
          <t>Q3</t>
        </is>
      </c>
      <c r="C344" t="inlineStr">
        <is>
          <t>Asia</t>
        </is>
      </c>
      <c r="D344" t="inlineStr">
        <is>
          <t>Model 3</t>
        </is>
      </c>
      <c r="E344" t="n">
        <v>3816</v>
      </c>
      <c r="F344" t="n">
        <v>116514.38</v>
      </c>
      <c r="G344" t="n">
        <v>21</v>
      </c>
      <c r="H344" t="inlineStr">
        <is>
          <t>Standard</t>
        </is>
      </c>
      <c r="I344" t="inlineStr">
        <is>
          <t>AWD</t>
        </is>
      </c>
      <c r="J344" t="inlineStr">
        <is>
          <t>Green</t>
        </is>
      </c>
      <c r="K344" t="n">
        <v>351</v>
      </c>
      <c r="L344" t="n">
        <v>68</v>
      </c>
      <c r="M344" t="n">
        <v>18.72</v>
      </c>
      <c r="N344" t="n">
        <v>8787.83</v>
      </c>
      <c r="O344" t="n">
        <v>4.51</v>
      </c>
      <c r="P344" t="n">
        <v>8</v>
      </c>
      <c r="Q344" t="n">
        <v>3</v>
      </c>
      <c r="R344" t="n">
        <v>2023.9</v>
      </c>
      <c r="S344" t="b">
        <v>1</v>
      </c>
      <c r="T344" t="n">
        <v>750311</v>
      </c>
      <c r="U344" t="n">
        <v>10</v>
      </c>
      <c r="V344" t="n">
        <v>0.0128</v>
      </c>
      <c r="W344" t="n">
        <v>2.16</v>
      </c>
      <c r="X344" t="n">
        <v>80.15000000000001</v>
      </c>
      <c r="Y344">
        <f>VLOOKUP(D344,$AB$2:$AC$7,2,FALSE)</f>
        <v/>
      </c>
      <c r="Z344">
        <f>IF(A344&lt;Y344,"Yes","No")</f>
        <v/>
      </c>
    </row>
    <row r="345">
      <c r="A345" t="n">
        <v>2022</v>
      </c>
      <c r="B345" t="inlineStr">
        <is>
          <t>Q1</t>
        </is>
      </c>
      <c r="C345" t="inlineStr">
        <is>
          <t>Asia</t>
        </is>
      </c>
      <c r="D345" t="inlineStr">
        <is>
          <t>Model Y</t>
        </is>
      </c>
      <c r="E345" t="n">
        <v>4975</v>
      </c>
      <c r="F345" t="n">
        <v>65427.09</v>
      </c>
      <c r="G345" t="n">
        <v>11</v>
      </c>
      <c r="H345" t="inlineStr">
        <is>
          <t>Performance</t>
        </is>
      </c>
      <c r="I345" t="inlineStr">
        <is>
          <t>AWD</t>
        </is>
      </c>
      <c r="J345" t="inlineStr">
        <is>
          <t>Red</t>
        </is>
      </c>
      <c r="K345" t="n">
        <v>586</v>
      </c>
      <c r="L345" t="n">
        <v>53</v>
      </c>
      <c r="M345" t="n">
        <v>24.23</v>
      </c>
      <c r="N345" t="n">
        <v>6911.05</v>
      </c>
      <c r="O345" t="n">
        <v>3.83</v>
      </c>
      <c r="P345" t="n">
        <v>4</v>
      </c>
      <c r="Q345" t="n">
        <v>2</v>
      </c>
      <c r="R345" t="n">
        <v>2022.4</v>
      </c>
      <c r="S345" t="b">
        <v>1</v>
      </c>
      <c r="T345" t="n">
        <v>2643245</v>
      </c>
      <c r="U345" t="n">
        <v>5</v>
      </c>
      <c r="V345" t="n">
        <v>0.0311</v>
      </c>
      <c r="W345" t="n">
        <v>1.49</v>
      </c>
      <c r="X345" t="n">
        <v>70.89</v>
      </c>
      <c r="Y345">
        <f>VLOOKUP(D345,$AB$2:$AC$7,2,FALSE)</f>
        <v/>
      </c>
      <c r="Z345">
        <f>IF(A345&lt;Y345,"Yes","No")</f>
        <v/>
      </c>
    </row>
    <row r="346">
      <c r="A346" t="n">
        <v>2016</v>
      </c>
      <c r="B346" t="inlineStr">
        <is>
          <t>Q4</t>
        </is>
      </c>
      <c r="C346" t="inlineStr">
        <is>
          <t>South America</t>
        </is>
      </c>
      <c r="D346" t="inlineStr">
        <is>
          <t>Model 3</t>
        </is>
      </c>
      <c r="E346" t="n">
        <v>108</v>
      </c>
      <c r="F346" t="n">
        <v>51667.38</v>
      </c>
      <c r="G346" t="n">
        <v>52</v>
      </c>
      <c r="H346" t="inlineStr">
        <is>
          <t>Performance</t>
        </is>
      </c>
      <c r="I346" t="inlineStr">
        <is>
          <t>RWD</t>
        </is>
      </c>
      <c r="J346" t="inlineStr">
        <is>
          <t>Red</t>
        </is>
      </c>
      <c r="K346" t="n">
        <v>492</v>
      </c>
      <c r="L346" t="n">
        <v>66</v>
      </c>
      <c r="M346" t="n">
        <v>19</v>
      </c>
      <c r="N346" t="n">
        <v>90.81999999999999</v>
      </c>
      <c r="O346" t="n">
        <v>3.79</v>
      </c>
      <c r="P346" t="n">
        <v>5</v>
      </c>
      <c r="Q346" t="n">
        <v>0</v>
      </c>
      <c r="R346" t="n">
        <v>2024.3</v>
      </c>
      <c r="S346" t="b">
        <v>1</v>
      </c>
      <c r="T346" t="n">
        <v>1168967</v>
      </c>
      <c r="U346" t="n">
        <v>6</v>
      </c>
      <c r="V346" t="n">
        <v>0.094</v>
      </c>
      <c r="W346" t="n">
        <v>2.21</v>
      </c>
      <c r="X346" t="n">
        <v>86.43000000000001</v>
      </c>
      <c r="Y346">
        <f>VLOOKUP(D346,$AB$2:$AC$7,2,FALSE)</f>
        <v/>
      </c>
      <c r="Z346">
        <f>IF(A346&lt;Y346,"Yes","No")</f>
        <v/>
      </c>
    </row>
    <row r="347">
      <c r="A347" t="n">
        <v>2023</v>
      </c>
      <c r="B347" t="inlineStr">
        <is>
          <t>Q3</t>
        </is>
      </c>
      <c r="C347" t="inlineStr">
        <is>
          <t>Europe</t>
        </is>
      </c>
      <c r="D347" t="inlineStr">
        <is>
          <t>Semi</t>
        </is>
      </c>
      <c r="E347" t="n">
        <v>239</v>
      </c>
      <c r="F347" t="n">
        <v>119315.87</v>
      </c>
      <c r="G347" t="n">
        <v>44</v>
      </c>
      <c r="H347" t="inlineStr">
        <is>
          <t>Performance</t>
        </is>
      </c>
      <c r="I347" t="inlineStr">
        <is>
          <t>RWD</t>
        </is>
      </c>
      <c r="J347" t="inlineStr">
        <is>
          <t>Green</t>
        </is>
      </c>
      <c r="K347" t="n">
        <v>636</v>
      </c>
      <c r="L347" t="n">
        <v>86</v>
      </c>
      <c r="M347" t="n">
        <v>18.45</v>
      </c>
      <c r="N347" t="n">
        <v>567.8099999999999</v>
      </c>
      <c r="O347" t="n">
        <v>4.46</v>
      </c>
      <c r="P347" t="n">
        <v>4</v>
      </c>
      <c r="Q347" t="n">
        <v>2</v>
      </c>
      <c r="R347" t="n">
        <v>2023.7</v>
      </c>
      <c r="S347" t="b">
        <v>0</v>
      </c>
      <c r="T347" t="n">
        <v>1121042</v>
      </c>
      <c r="U347" t="n">
        <v>12</v>
      </c>
      <c r="V347" t="n">
        <v>0.0566</v>
      </c>
      <c r="W347" t="n">
        <v>1.49</v>
      </c>
      <c r="X347" t="n">
        <v>75.52</v>
      </c>
      <c r="Y347">
        <f>VLOOKUP(D347,$AB$2:$AC$7,2,FALSE)</f>
        <v/>
      </c>
      <c r="Z347">
        <f>IF(A347&lt;Y347,"Yes","No")</f>
        <v/>
      </c>
    </row>
    <row r="348">
      <c r="A348" t="n">
        <v>2012</v>
      </c>
      <c r="B348" t="inlineStr">
        <is>
          <t>Q2</t>
        </is>
      </c>
      <c r="C348" t="inlineStr">
        <is>
          <t>North America</t>
        </is>
      </c>
      <c r="D348" t="inlineStr">
        <is>
          <t>Model X</t>
        </is>
      </c>
      <c r="E348" t="n">
        <v>3491</v>
      </c>
      <c r="F348" t="n">
        <v>80254.87</v>
      </c>
      <c r="G348" t="n">
        <v>20</v>
      </c>
      <c r="H348" t="inlineStr">
        <is>
          <t>Standard</t>
        </is>
      </c>
      <c r="I348" t="inlineStr">
        <is>
          <t>RWD</t>
        </is>
      </c>
      <c r="J348" t="inlineStr">
        <is>
          <t>Black</t>
        </is>
      </c>
      <c r="K348" t="n">
        <v>521</v>
      </c>
      <c r="L348" t="n">
        <v>35</v>
      </c>
      <c r="M348" t="n">
        <v>23.56</v>
      </c>
      <c r="N348" t="n">
        <v>7384.67</v>
      </c>
      <c r="O348" t="n">
        <v>4.99</v>
      </c>
      <c r="P348" t="n">
        <v>5</v>
      </c>
      <c r="Q348" t="n">
        <v>3</v>
      </c>
      <c r="R348" t="n">
        <v>2020.4</v>
      </c>
      <c r="S348" t="b">
        <v>1</v>
      </c>
      <c r="T348" t="n">
        <v>1479771</v>
      </c>
      <c r="U348" t="n">
        <v>7</v>
      </c>
      <c r="V348" t="n">
        <v>0.038</v>
      </c>
      <c r="W348" t="n">
        <v>1.75</v>
      </c>
      <c r="X348" t="n">
        <v>62.9</v>
      </c>
      <c r="Y348">
        <f>VLOOKUP(D348,$AB$2:$AC$7,2,FALSE)</f>
        <v/>
      </c>
      <c r="Z348">
        <f>IF(A348&lt;Y348,"Yes","No")</f>
        <v/>
      </c>
    </row>
    <row r="349">
      <c r="A349" t="n">
        <v>2019</v>
      </c>
      <c r="B349" t="inlineStr">
        <is>
          <t>Q4</t>
        </is>
      </c>
      <c r="C349" t="inlineStr">
        <is>
          <t>North America</t>
        </is>
      </c>
      <c r="D349" t="inlineStr">
        <is>
          <t>Cybertruck</t>
        </is>
      </c>
      <c r="E349" t="n">
        <v>2788</v>
      </c>
      <c r="F349" t="n">
        <v>106443.14</v>
      </c>
      <c r="G349" t="n">
        <v>15</v>
      </c>
      <c r="H349" t="inlineStr">
        <is>
          <t>Standard</t>
        </is>
      </c>
      <c r="I349" t="inlineStr">
        <is>
          <t>RWD</t>
        </is>
      </c>
      <c r="J349" t="inlineStr">
        <is>
          <t>Black</t>
        </is>
      </c>
      <c r="K349" t="n">
        <v>524</v>
      </c>
      <c r="L349" t="n">
        <v>83</v>
      </c>
      <c r="M349" t="n">
        <v>13.65</v>
      </c>
      <c r="N349" t="n">
        <v>3254.09</v>
      </c>
      <c r="O349" t="n">
        <v>4.69</v>
      </c>
      <c r="P349" t="n">
        <v>4</v>
      </c>
      <c r="Q349" t="n">
        <v>3</v>
      </c>
      <c r="R349" t="n">
        <v>2020.11</v>
      </c>
      <c r="S349" t="b">
        <v>0</v>
      </c>
      <c r="T349" t="n">
        <v>4956454</v>
      </c>
      <c r="U349" t="n">
        <v>3</v>
      </c>
      <c r="V349" t="n">
        <v>0.0177</v>
      </c>
      <c r="W349" t="n">
        <v>0.62</v>
      </c>
      <c r="X349" t="n">
        <v>61</v>
      </c>
      <c r="Y349">
        <f>VLOOKUP(D349,$AB$2:$AC$7,2,FALSE)</f>
        <v/>
      </c>
      <c r="Z349">
        <f>IF(A349&lt;Y349,"Yes","No")</f>
        <v/>
      </c>
    </row>
    <row r="350">
      <c r="A350" t="n">
        <v>2017</v>
      </c>
      <c r="B350" t="inlineStr">
        <is>
          <t>Q1</t>
        </is>
      </c>
      <c r="C350" t="inlineStr">
        <is>
          <t>Europe</t>
        </is>
      </c>
      <c r="D350" t="inlineStr">
        <is>
          <t>Model S</t>
        </is>
      </c>
      <c r="E350" t="n">
        <v>3670</v>
      </c>
      <c r="F350" t="n">
        <v>39657.05</v>
      </c>
      <c r="G350" t="n">
        <v>39</v>
      </c>
      <c r="H350" t="inlineStr">
        <is>
          <t>Performance</t>
        </is>
      </c>
      <c r="I350" t="inlineStr">
        <is>
          <t>RWD</t>
        </is>
      </c>
      <c r="J350" t="inlineStr">
        <is>
          <t>Red</t>
        </is>
      </c>
      <c r="K350" t="n">
        <v>402</v>
      </c>
      <c r="L350" t="n">
        <v>73</v>
      </c>
      <c r="M350" t="n">
        <v>13.67</v>
      </c>
      <c r="N350" t="n">
        <v>2218.17</v>
      </c>
      <c r="O350" t="n">
        <v>4.77</v>
      </c>
      <c r="P350" t="n">
        <v>8</v>
      </c>
      <c r="Q350" t="n">
        <v>0</v>
      </c>
      <c r="R350" t="n">
        <v>2024.7</v>
      </c>
      <c r="S350" t="b">
        <v>1</v>
      </c>
      <c r="T350" t="n">
        <v>188974</v>
      </c>
      <c r="U350" t="n">
        <v>9</v>
      </c>
      <c r="V350" t="n">
        <v>0.0446</v>
      </c>
      <c r="W350" t="n">
        <v>2.09</v>
      </c>
      <c r="X350" t="n">
        <v>86.40000000000001</v>
      </c>
      <c r="Y350">
        <f>VLOOKUP(D350,$AB$2:$AC$7,2,FALSE)</f>
        <v/>
      </c>
      <c r="Z350">
        <f>IF(A350&lt;Y350,"Yes","No")</f>
        <v/>
      </c>
    </row>
    <row r="351">
      <c r="A351" t="n">
        <v>2021</v>
      </c>
      <c r="B351" t="inlineStr">
        <is>
          <t>Q1</t>
        </is>
      </c>
      <c r="C351" t="inlineStr">
        <is>
          <t>Asia</t>
        </is>
      </c>
      <c r="D351" t="inlineStr">
        <is>
          <t>Semi</t>
        </is>
      </c>
      <c r="E351" t="n">
        <v>262</v>
      </c>
      <c r="F351" t="n">
        <v>73596.52</v>
      </c>
      <c r="G351" t="n">
        <v>21</v>
      </c>
      <c r="H351" t="inlineStr">
        <is>
          <t>Performance</t>
        </is>
      </c>
      <c r="I351" t="inlineStr">
        <is>
          <t>AWD</t>
        </is>
      </c>
      <c r="J351" t="inlineStr">
        <is>
          <t>Red</t>
        </is>
      </c>
      <c r="K351" t="n">
        <v>402</v>
      </c>
      <c r="L351" t="n">
        <v>30</v>
      </c>
      <c r="M351" t="n">
        <v>20.14</v>
      </c>
      <c r="N351" t="n">
        <v>166.39</v>
      </c>
      <c r="O351" t="n">
        <v>4.68</v>
      </c>
      <c r="P351" t="n">
        <v>5</v>
      </c>
      <c r="Q351" t="n">
        <v>1</v>
      </c>
      <c r="R351" t="n">
        <v>2024.5</v>
      </c>
      <c r="S351" t="b">
        <v>0</v>
      </c>
      <c r="T351" t="n">
        <v>3631662</v>
      </c>
      <c r="U351" t="n">
        <v>9</v>
      </c>
      <c r="V351" t="n">
        <v>0.0752</v>
      </c>
      <c r="W351" t="n">
        <v>1.39</v>
      </c>
      <c r="X351" t="n">
        <v>67.29000000000001</v>
      </c>
      <c r="Y351">
        <f>VLOOKUP(D351,$AB$2:$AC$7,2,FALSE)</f>
        <v/>
      </c>
      <c r="Z351">
        <f>IF(A351&lt;Y351,"Yes","No")</f>
        <v/>
      </c>
    </row>
    <row r="352">
      <c r="A352" t="n">
        <v>2024</v>
      </c>
      <c r="B352" t="inlineStr">
        <is>
          <t>Q1</t>
        </is>
      </c>
      <c r="C352" t="inlineStr">
        <is>
          <t>North America</t>
        </is>
      </c>
      <c r="D352" t="inlineStr">
        <is>
          <t>Model 3</t>
        </is>
      </c>
      <c r="E352" t="n">
        <v>2603</v>
      </c>
      <c r="F352" t="n">
        <v>84684.39999999999</v>
      </c>
      <c r="G352" t="n">
        <v>32</v>
      </c>
      <c r="H352" t="inlineStr">
        <is>
          <t>Performance</t>
        </is>
      </c>
      <c r="I352" t="inlineStr">
        <is>
          <t>RWD</t>
        </is>
      </c>
      <c r="J352" t="inlineStr">
        <is>
          <t>White</t>
        </is>
      </c>
      <c r="K352" t="n">
        <v>648</v>
      </c>
      <c r="L352" t="n">
        <v>86</v>
      </c>
      <c r="M352" t="n">
        <v>19.49</v>
      </c>
      <c r="N352" t="n">
        <v>2059.62</v>
      </c>
      <c r="O352" t="n">
        <v>4.2</v>
      </c>
      <c r="P352" t="n">
        <v>6</v>
      </c>
      <c r="Q352" t="n">
        <v>2</v>
      </c>
      <c r="R352" t="n">
        <v>2022.1</v>
      </c>
      <c r="S352" t="b">
        <v>1</v>
      </c>
      <c r="T352" t="n">
        <v>580815</v>
      </c>
      <c r="U352" t="n">
        <v>5</v>
      </c>
      <c r="V352" t="n">
        <v>0.0556</v>
      </c>
      <c r="W352" t="n">
        <v>2.17</v>
      </c>
      <c r="X352" t="n">
        <v>85.76000000000001</v>
      </c>
      <c r="Y352">
        <f>VLOOKUP(D352,$AB$2:$AC$7,2,FALSE)</f>
        <v/>
      </c>
      <c r="Z352">
        <f>IF(A352&lt;Y352,"Yes","No")</f>
        <v/>
      </c>
    </row>
    <row r="353">
      <c r="A353" t="n">
        <v>2018</v>
      </c>
      <c r="B353" t="inlineStr">
        <is>
          <t>Q3</t>
        </is>
      </c>
      <c r="C353" t="inlineStr">
        <is>
          <t>Europe</t>
        </is>
      </c>
      <c r="D353" t="inlineStr">
        <is>
          <t>Model 3</t>
        </is>
      </c>
      <c r="E353" t="n">
        <v>1698</v>
      </c>
      <c r="F353" t="n">
        <v>101747.42</v>
      </c>
      <c r="G353" t="n">
        <v>21</v>
      </c>
      <c r="H353" t="inlineStr">
        <is>
          <t>Standard</t>
        </is>
      </c>
      <c r="I353" t="inlineStr">
        <is>
          <t>RWD</t>
        </is>
      </c>
      <c r="J353" t="inlineStr">
        <is>
          <t>Green</t>
        </is>
      </c>
      <c r="K353" t="n">
        <v>589</v>
      </c>
      <c r="L353" t="n">
        <v>68</v>
      </c>
      <c r="M353" t="n">
        <v>21.31</v>
      </c>
      <c r="N353" t="n">
        <v>3742.42</v>
      </c>
      <c r="O353" t="n">
        <v>4.35</v>
      </c>
      <c r="P353" t="n">
        <v>6</v>
      </c>
      <c r="Q353" t="n">
        <v>2</v>
      </c>
      <c r="R353" t="n">
        <v>2023.6</v>
      </c>
      <c r="S353" t="b">
        <v>1</v>
      </c>
      <c r="T353" t="n">
        <v>979527</v>
      </c>
      <c r="U353" t="n">
        <v>9</v>
      </c>
      <c r="V353" t="n">
        <v>0.0888</v>
      </c>
      <c r="W353" t="n">
        <v>2.32</v>
      </c>
      <c r="X353" t="n">
        <v>74.88</v>
      </c>
      <c r="Y353">
        <f>VLOOKUP(D353,$AB$2:$AC$7,2,FALSE)</f>
        <v/>
      </c>
      <c r="Z353">
        <f>IF(A353&lt;Y353,"Yes","No")</f>
        <v/>
      </c>
    </row>
    <row r="354">
      <c r="A354" t="n">
        <v>2012</v>
      </c>
      <c r="B354" t="inlineStr">
        <is>
          <t>Q2</t>
        </is>
      </c>
      <c r="C354" t="inlineStr">
        <is>
          <t>Europe</t>
        </is>
      </c>
      <c r="D354" t="inlineStr">
        <is>
          <t>Model Y</t>
        </is>
      </c>
      <c r="E354" t="n">
        <v>1796</v>
      </c>
      <c r="F354" t="n">
        <v>55316.62</v>
      </c>
      <c r="G354" t="n">
        <v>47</v>
      </c>
      <c r="H354" t="inlineStr">
        <is>
          <t>Long Range</t>
        </is>
      </c>
      <c r="I354" t="inlineStr">
        <is>
          <t>RWD</t>
        </is>
      </c>
      <c r="J354" t="inlineStr">
        <is>
          <t>Black</t>
        </is>
      </c>
      <c r="K354" t="n">
        <v>554</v>
      </c>
      <c r="L354" t="n">
        <v>41</v>
      </c>
      <c r="M354" t="n">
        <v>22.91</v>
      </c>
      <c r="N354" t="n">
        <v>922.16</v>
      </c>
      <c r="O354" t="n">
        <v>3.51</v>
      </c>
      <c r="P354" t="n">
        <v>6</v>
      </c>
      <c r="Q354" t="n">
        <v>0</v>
      </c>
      <c r="R354" t="n">
        <v>2024.2</v>
      </c>
      <c r="S354" t="b">
        <v>1</v>
      </c>
      <c r="T354" t="n">
        <v>2537529</v>
      </c>
      <c r="U354" t="n">
        <v>9</v>
      </c>
      <c r="V354" t="n">
        <v>0.0275</v>
      </c>
      <c r="W354" t="n">
        <v>1.67</v>
      </c>
      <c r="X354" t="n">
        <v>82.97</v>
      </c>
      <c r="Y354">
        <f>VLOOKUP(D354,$AB$2:$AC$7,2,FALSE)</f>
        <v/>
      </c>
      <c r="Z354">
        <f>IF(A354&lt;Y354,"Yes","No")</f>
        <v/>
      </c>
    </row>
    <row r="355">
      <c r="A355" t="n">
        <v>2012</v>
      </c>
      <c r="B355" t="inlineStr">
        <is>
          <t>Q1</t>
        </is>
      </c>
      <c r="C355" t="inlineStr">
        <is>
          <t>Europe</t>
        </is>
      </c>
      <c r="D355" t="inlineStr">
        <is>
          <t>Model 3</t>
        </is>
      </c>
      <c r="E355" t="n">
        <v>2377</v>
      </c>
      <c r="F355" t="n">
        <v>49802.46</v>
      </c>
      <c r="G355" t="n">
        <v>56</v>
      </c>
      <c r="H355" t="inlineStr">
        <is>
          <t>Long Range</t>
        </is>
      </c>
      <c r="I355" t="inlineStr">
        <is>
          <t>AWD</t>
        </is>
      </c>
      <c r="J355" t="inlineStr">
        <is>
          <t>White</t>
        </is>
      </c>
      <c r="K355" t="n">
        <v>633</v>
      </c>
      <c r="L355" t="n">
        <v>45</v>
      </c>
      <c r="M355" t="n">
        <v>15.14</v>
      </c>
      <c r="N355" t="n">
        <v>1290.67</v>
      </c>
      <c r="O355" t="n">
        <v>4.76</v>
      </c>
      <c r="P355" t="n">
        <v>4</v>
      </c>
      <c r="Q355" t="n">
        <v>0</v>
      </c>
      <c r="R355" t="n">
        <v>2021.7</v>
      </c>
      <c r="S355" t="b">
        <v>1</v>
      </c>
      <c r="T355" t="n">
        <v>2938564</v>
      </c>
      <c r="U355" t="n">
        <v>5</v>
      </c>
      <c r="V355" t="n">
        <v>0.0375</v>
      </c>
      <c r="W355" t="n">
        <v>0.98</v>
      </c>
      <c r="X355" t="n">
        <v>84.28</v>
      </c>
      <c r="Y355">
        <f>VLOOKUP(D355,$AB$2:$AC$7,2,FALSE)</f>
        <v/>
      </c>
      <c r="Z355">
        <f>IF(A355&lt;Y355,"Yes","No")</f>
        <v/>
      </c>
    </row>
    <row r="356">
      <c r="A356" t="n">
        <v>2022</v>
      </c>
      <c r="B356" t="inlineStr">
        <is>
          <t>Q2</t>
        </is>
      </c>
      <c r="C356" t="inlineStr">
        <is>
          <t>South America</t>
        </is>
      </c>
      <c r="D356" t="inlineStr">
        <is>
          <t>Cybertruck</t>
        </is>
      </c>
      <c r="E356" t="n">
        <v>3603</v>
      </c>
      <c r="F356" t="n">
        <v>109662.97</v>
      </c>
      <c r="G356" t="n">
        <v>4</v>
      </c>
      <c r="H356" t="inlineStr">
        <is>
          <t>Standard</t>
        </is>
      </c>
      <c r="I356" t="inlineStr">
        <is>
          <t>AWD</t>
        </is>
      </c>
      <c r="J356" t="inlineStr">
        <is>
          <t>Black</t>
        </is>
      </c>
      <c r="K356" t="n">
        <v>447</v>
      </c>
      <c r="L356" t="n">
        <v>42</v>
      </c>
      <c r="M356" t="n">
        <v>19.39</v>
      </c>
      <c r="N356" t="n">
        <v>6805.01</v>
      </c>
      <c r="O356" t="n">
        <v>3.98</v>
      </c>
      <c r="P356" t="n">
        <v>8</v>
      </c>
      <c r="Q356" t="n">
        <v>1</v>
      </c>
      <c r="R356" t="n">
        <v>2020.1</v>
      </c>
      <c r="S356" t="b">
        <v>1</v>
      </c>
      <c r="T356" t="n">
        <v>4591834</v>
      </c>
      <c r="U356" t="n">
        <v>6</v>
      </c>
      <c r="V356" t="n">
        <v>0.08110000000000001</v>
      </c>
      <c r="W356" t="n">
        <v>1.16</v>
      </c>
      <c r="X356" t="n">
        <v>61.6</v>
      </c>
      <c r="Y356">
        <f>VLOOKUP(D356,$AB$2:$AC$7,2,FALSE)</f>
        <v/>
      </c>
      <c r="Z356">
        <f>IF(A356&lt;Y356,"Yes","No")</f>
        <v/>
      </c>
    </row>
    <row r="357">
      <c r="A357" t="n">
        <v>2024</v>
      </c>
      <c r="B357" t="inlineStr">
        <is>
          <t>Q3</t>
        </is>
      </c>
      <c r="C357" t="inlineStr">
        <is>
          <t>Europe</t>
        </is>
      </c>
      <c r="D357" t="inlineStr">
        <is>
          <t>Cybertruck</t>
        </is>
      </c>
      <c r="E357" t="n">
        <v>4834</v>
      </c>
      <c r="F357" t="n">
        <v>110295.91</v>
      </c>
      <c r="G357" t="n">
        <v>13</v>
      </c>
      <c r="H357" t="inlineStr">
        <is>
          <t>Performance</t>
        </is>
      </c>
      <c r="I357" t="inlineStr">
        <is>
          <t>AWD</t>
        </is>
      </c>
      <c r="J357" t="inlineStr">
        <is>
          <t>Blue</t>
        </is>
      </c>
      <c r="K357" t="n">
        <v>689</v>
      </c>
      <c r="L357" t="n">
        <v>69</v>
      </c>
      <c r="M357" t="n">
        <v>13.78</v>
      </c>
      <c r="N357" t="n">
        <v>7334.28</v>
      </c>
      <c r="O357" t="n">
        <v>4.63</v>
      </c>
      <c r="P357" t="n">
        <v>6</v>
      </c>
      <c r="Q357" t="n">
        <v>3</v>
      </c>
      <c r="R357" t="n">
        <v>2024.8</v>
      </c>
      <c r="S357" t="b">
        <v>1</v>
      </c>
      <c r="T357" t="n">
        <v>2799648</v>
      </c>
      <c r="U357" t="n">
        <v>7</v>
      </c>
      <c r="V357" t="n">
        <v>0.0573</v>
      </c>
      <c r="W357" t="n">
        <v>1.47</v>
      </c>
      <c r="X357" t="n">
        <v>88.67</v>
      </c>
      <c r="Y357">
        <f>VLOOKUP(D357,$AB$2:$AC$7,2,FALSE)</f>
        <v/>
      </c>
      <c r="Z357">
        <f>IF(A357&lt;Y357,"Yes","No")</f>
        <v/>
      </c>
    </row>
    <row r="358">
      <c r="A358" t="n">
        <v>2019</v>
      </c>
      <c r="B358" t="inlineStr">
        <is>
          <t>Q3</t>
        </is>
      </c>
      <c r="C358" t="inlineStr">
        <is>
          <t>South America</t>
        </is>
      </c>
      <c r="D358" t="inlineStr">
        <is>
          <t>Model Y</t>
        </is>
      </c>
      <c r="E358" t="n">
        <v>4833</v>
      </c>
      <c r="F358" t="n">
        <v>90227.67</v>
      </c>
      <c r="G358" t="n">
        <v>13</v>
      </c>
      <c r="H358" t="inlineStr">
        <is>
          <t>Standard</t>
        </is>
      </c>
      <c r="I358" t="inlineStr">
        <is>
          <t>AWD</t>
        </is>
      </c>
      <c r="J358" t="inlineStr">
        <is>
          <t>Blue</t>
        </is>
      </c>
      <c r="K358" t="n">
        <v>470</v>
      </c>
      <c r="L358" t="n">
        <v>55</v>
      </c>
      <c r="M358" t="n">
        <v>15.62</v>
      </c>
      <c r="N358" t="n">
        <v>6524.77</v>
      </c>
      <c r="O358" t="n">
        <v>4.07</v>
      </c>
      <c r="P358" t="n">
        <v>5</v>
      </c>
      <c r="Q358" t="n">
        <v>2</v>
      </c>
      <c r="R358" t="n">
        <v>2022.9</v>
      </c>
      <c r="S358" t="b">
        <v>1</v>
      </c>
      <c r="T358" t="n">
        <v>1226844</v>
      </c>
      <c r="U358" t="n">
        <v>3</v>
      </c>
      <c r="V358" t="n">
        <v>0.0366</v>
      </c>
      <c r="W358" t="n">
        <v>1.54</v>
      </c>
      <c r="X358" t="n">
        <v>66.91</v>
      </c>
      <c r="Y358">
        <f>VLOOKUP(D358,$AB$2:$AC$7,2,FALSE)</f>
        <v/>
      </c>
      <c r="Z358">
        <f>IF(A358&lt;Y358,"Yes","No")</f>
        <v/>
      </c>
    </row>
    <row r="359">
      <c r="A359" t="n">
        <v>2012</v>
      </c>
      <c r="B359" t="inlineStr">
        <is>
          <t>Q4</t>
        </is>
      </c>
      <c r="C359" t="inlineStr">
        <is>
          <t>South America</t>
        </is>
      </c>
      <c r="D359" t="inlineStr">
        <is>
          <t>Cybertruck</t>
        </is>
      </c>
      <c r="E359" t="n">
        <v>2805</v>
      </c>
      <c r="F359" t="n">
        <v>71218.7</v>
      </c>
      <c r="G359" t="n">
        <v>29</v>
      </c>
      <c r="H359" t="inlineStr">
        <is>
          <t>Long Range</t>
        </is>
      </c>
      <c r="I359" t="inlineStr">
        <is>
          <t>RWD</t>
        </is>
      </c>
      <c r="J359" t="inlineStr">
        <is>
          <t>White</t>
        </is>
      </c>
      <c r="K359" t="n">
        <v>604</v>
      </c>
      <c r="L359" t="n">
        <v>50</v>
      </c>
      <c r="M359" t="n">
        <v>16.28</v>
      </c>
      <c r="N359" t="n">
        <v>1541.17</v>
      </c>
      <c r="O359" t="n">
        <v>4.16</v>
      </c>
      <c r="P359" t="n">
        <v>6</v>
      </c>
      <c r="Q359" t="n">
        <v>0</v>
      </c>
      <c r="R359" t="n">
        <v>2022.2</v>
      </c>
      <c r="S359" t="b">
        <v>0</v>
      </c>
      <c r="T359" t="n">
        <v>4309109</v>
      </c>
      <c r="U359" t="n">
        <v>10</v>
      </c>
      <c r="V359" t="n">
        <v>0.0592</v>
      </c>
      <c r="W359" t="n">
        <v>0.66</v>
      </c>
      <c r="X359" t="n">
        <v>68.29000000000001</v>
      </c>
      <c r="Y359">
        <f>VLOOKUP(D359,$AB$2:$AC$7,2,FALSE)</f>
        <v/>
      </c>
      <c r="Z359">
        <f>IF(A359&lt;Y359,"Yes","No")</f>
        <v/>
      </c>
    </row>
    <row r="360">
      <c r="A360" t="n">
        <v>2015</v>
      </c>
      <c r="B360" t="inlineStr">
        <is>
          <t>Q1</t>
        </is>
      </c>
      <c r="C360" t="inlineStr">
        <is>
          <t>North America</t>
        </is>
      </c>
      <c r="D360" t="inlineStr">
        <is>
          <t>Model S</t>
        </is>
      </c>
      <c r="E360" t="n">
        <v>3001</v>
      </c>
      <c r="F360" t="n">
        <v>38253.92</v>
      </c>
      <c r="G360" t="n">
        <v>12</v>
      </c>
      <c r="H360" t="inlineStr">
        <is>
          <t>Long Range</t>
        </is>
      </c>
      <c r="I360" t="inlineStr">
        <is>
          <t>AWD</t>
        </is>
      </c>
      <c r="J360" t="inlineStr">
        <is>
          <t>Green</t>
        </is>
      </c>
      <c r="K360" t="n">
        <v>518</v>
      </c>
      <c r="L360" t="n">
        <v>46</v>
      </c>
      <c r="M360" t="n">
        <v>16.63</v>
      </c>
      <c r="N360" t="n">
        <v>6395.52</v>
      </c>
      <c r="O360" t="n">
        <v>4.53</v>
      </c>
      <c r="P360" t="n">
        <v>6</v>
      </c>
      <c r="Q360" t="n">
        <v>1</v>
      </c>
      <c r="R360" t="n">
        <v>2024.3</v>
      </c>
      <c r="S360" t="b">
        <v>0</v>
      </c>
      <c r="T360" t="n">
        <v>171587</v>
      </c>
      <c r="U360" t="n">
        <v>6</v>
      </c>
      <c r="V360" t="n">
        <v>0.0354</v>
      </c>
      <c r="W360" t="n">
        <v>1.19</v>
      </c>
      <c r="X360" t="n">
        <v>89.91</v>
      </c>
      <c r="Y360">
        <f>VLOOKUP(D360,$AB$2:$AC$7,2,FALSE)</f>
        <v/>
      </c>
      <c r="Z360">
        <f>IF(A360&lt;Y360,"Yes","No")</f>
        <v/>
      </c>
    </row>
    <row r="361">
      <c r="A361" t="n">
        <v>2018</v>
      </c>
      <c r="B361" t="inlineStr">
        <is>
          <t>Q1</t>
        </is>
      </c>
      <c r="C361" t="inlineStr">
        <is>
          <t>Australia</t>
        </is>
      </c>
      <c r="D361" t="inlineStr">
        <is>
          <t>Semi</t>
        </is>
      </c>
      <c r="E361" t="n">
        <v>4249</v>
      </c>
      <c r="F361" t="n">
        <v>119088.34</v>
      </c>
      <c r="G361" t="n">
        <v>60</v>
      </c>
      <c r="H361" t="inlineStr">
        <is>
          <t>Standard</t>
        </is>
      </c>
      <c r="I361" t="inlineStr">
        <is>
          <t>RWD</t>
        </is>
      </c>
      <c r="J361" t="inlineStr">
        <is>
          <t>Black</t>
        </is>
      </c>
      <c r="K361" t="n">
        <v>466</v>
      </c>
      <c r="L361" t="n">
        <v>76</v>
      </c>
      <c r="M361" t="n">
        <v>21.99</v>
      </c>
      <c r="N361" t="n">
        <v>6156.28</v>
      </c>
      <c r="O361" t="n">
        <v>4.27</v>
      </c>
      <c r="P361" t="n">
        <v>8</v>
      </c>
      <c r="Q361" t="n">
        <v>3</v>
      </c>
      <c r="R361" t="n">
        <v>2022.2</v>
      </c>
      <c r="S361" t="b">
        <v>0</v>
      </c>
      <c r="T361" t="n">
        <v>1675771</v>
      </c>
      <c r="U361" t="n">
        <v>8</v>
      </c>
      <c r="V361" t="n">
        <v>0.0793</v>
      </c>
      <c r="W361" t="n">
        <v>1.9</v>
      </c>
      <c r="X361" t="n">
        <v>66.29000000000001</v>
      </c>
      <c r="Y361">
        <f>VLOOKUP(D361,$AB$2:$AC$7,2,FALSE)</f>
        <v/>
      </c>
      <c r="Z361">
        <f>IF(A361&lt;Y361,"Yes","No")</f>
        <v/>
      </c>
    </row>
    <row r="362">
      <c r="A362" t="n">
        <v>2019</v>
      </c>
      <c r="B362" t="inlineStr">
        <is>
          <t>Q1</t>
        </is>
      </c>
      <c r="C362" t="inlineStr">
        <is>
          <t>Asia</t>
        </is>
      </c>
      <c r="D362" t="inlineStr">
        <is>
          <t>Model 3</t>
        </is>
      </c>
      <c r="E362" t="n">
        <v>4780</v>
      </c>
      <c r="F362" t="n">
        <v>109268.77</v>
      </c>
      <c r="G362" t="n">
        <v>19</v>
      </c>
      <c r="H362" t="inlineStr">
        <is>
          <t>Performance</t>
        </is>
      </c>
      <c r="I362" t="inlineStr">
        <is>
          <t>AWD</t>
        </is>
      </c>
      <c r="J362" t="inlineStr">
        <is>
          <t>Blue</t>
        </is>
      </c>
      <c r="K362" t="n">
        <v>687</v>
      </c>
      <c r="L362" t="n">
        <v>83</v>
      </c>
      <c r="M362" t="n">
        <v>17.26</v>
      </c>
      <c r="N362" t="n">
        <v>4545.69</v>
      </c>
      <c r="O362" t="n">
        <v>4.14</v>
      </c>
      <c r="P362" t="n">
        <v>8</v>
      </c>
      <c r="Q362" t="n">
        <v>2</v>
      </c>
      <c r="R362" t="n">
        <v>2022.1</v>
      </c>
      <c r="S362" t="b">
        <v>1</v>
      </c>
      <c r="T362" t="n">
        <v>4861184</v>
      </c>
      <c r="U362" t="n">
        <v>2</v>
      </c>
      <c r="V362" t="n">
        <v>0.093</v>
      </c>
      <c r="W362" t="n">
        <v>0.8100000000000001</v>
      </c>
      <c r="X362" t="n">
        <v>88.58</v>
      </c>
      <c r="Y362">
        <f>VLOOKUP(D362,$AB$2:$AC$7,2,FALSE)</f>
        <v/>
      </c>
      <c r="Z362">
        <f>IF(A362&lt;Y362,"Yes","No")</f>
        <v/>
      </c>
    </row>
    <row r="363">
      <c r="A363" t="n">
        <v>2017</v>
      </c>
      <c r="B363" t="inlineStr">
        <is>
          <t>Q4</t>
        </is>
      </c>
      <c r="C363" t="inlineStr">
        <is>
          <t>Australia</t>
        </is>
      </c>
      <c r="D363" t="inlineStr">
        <is>
          <t>Model 3</t>
        </is>
      </c>
      <c r="E363" t="n">
        <v>3250</v>
      </c>
      <c r="F363" t="n">
        <v>40415.29</v>
      </c>
      <c r="G363" t="n">
        <v>24</v>
      </c>
      <c r="H363" t="inlineStr">
        <is>
          <t>Standard</t>
        </is>
      </c>
      <c r="I363" t="inlineStr">
        <is>
          <t>RWD</t>
        </is>
      </c>
      <c r="J363" t="inlineStr">
        <is>
          <t>Red</t>
        </is>
      </c>
      <c r="K363" t="n">
        <v>518</v>
      </c>
      <c r="L363" t="n">
        <v>66</v>
      </c>
      <c r="M363" t="n">
        <v>24.54</v>
      </c>
      <c r="N363" t="n">
        <v>5778.52</v>
      </c>
      <c r="O363" t="n">
        <v>3.96</v>
      </c>
      <c r="P363" t="n">
        <v>5</v>
      </c>
      <c r="Q363" t="n">
        <v>0</v>
      </c>
      <c r="R363" t="n">
        <v>2024.3</v>
      </c>
      <c r="S363" t="b">
        <v>1</v>
      </c>
      <c r="T363" t="n">
        <v>4198785</v>
      </c>
      <c r="U363" t="n">
        <v>2</v>
      </c>
      <c r="V363" t="n">
        <v>0.0268</v>
      </c>
      <c r="W363" t="n">
        <v>0.64</v>
      </c>
      <c r="X363" t="n">
        <v>88.89</v>
      </c>
      <c r="Y363">
        <f>VLOOKUP(D363,$AB$2:$AC$7,2,FALSE)</f>
        <v/>
      </c>
      <c r="Z363">
        <f>IF(A363&lt;Y363,"Yes","No")</f>
        <v/>
      </c>
    </row>
    <row r="364">
      <c r="A364" t="n">
        <v>2016</v>
      </c>
      <c r="B364" t="inlineStr">
        <is>
          <t>Q2</t>
        </is>
      </c>
      <c r="C364" t="inlineStr">
        <is>
          <t>Europe</t>
        </is>
      </c>
      <c r="D364" t="inlineStr">
        <is>
          <t>Model X</t>
        </is>
      </c>
      <c r="E364" t="n">
        <v>4345</v>
      </c>
      <c r="F364" t="n">
        <v>40948.25</v>
      </c>
      <c r="G364" t="n">
        <v>3</v>
      </c>
      <c r="H364" t="inlineStr">
        <is>
          <t>Long Range</t>
        </is>
      </c>
      <c r="I364" t="inlineStr">
        <is>
          <t>AWD</t>
        </is>
      </c>
      <c r="J364" t="inlineStr">
        <is>
          <t>Black</t>
        </is>
      </c>
      <c r="K364" t="n">
        <v>517</v>
      </c>
      <c r="L364" t="n">
        <v>85</v>
      </c>
      <c r="M364" t="n">
        <v>23.92</v>
      </c>
      <c r="N364" t="n">
        <v>5571.2</v>
      </c>
      <c r="O364" t="n">
        <v>4.98</v>
      </c>
      <c r="P364" t="n">
        <v>5</v>
      </c>
      <c r="Q364" t="n">
        <v>3</v>
      </c>
      <c r="R364" t="n">
        <v>2023.12</v>
      </c>
      <c r="S364" t="b">
        <v>1</v>
      </c>
      <c r="T364" t="n">
        <v>3363108</v>
      </c>
      <c r="U364" t="n">
        <v>5</v>
      </c>
      <c r="V364" t="n">
        <v>0.0217</v>
      </c>
      <c r="W364" t="n">
        <v>0.91</v>
      </c>
      <c r="X364" t="n">
        <v>72.97</v>
      </c>
      <c r="Y364">
        <f>VLOOKUP(D364,$AB$2:$AC$7,2,FALSE)</f>
        <v/>
      </c>
      <c r="Z364">
        <f>IF(A364&lt;Y364,"Yes","No")</f>
        <v/>
      </c>
    </row>
    <row r="365">
      <c r="A365" t="n">
        <v>2023</v>
      </c>
      <c r="B365" t="inlineStr">
        <is>
          <t>Q4</t>
        </is>
      </c>
      <c r="C365" t="inlineStr">
        <is>
          <t>Europe</t>
        </is>
      </c>
      <c r="D365" t="inlineStr">
        <is>
          <t>Cybertruck</t>
        </is>
      </c>
      <c r="E365" t="n">
        <v>4761</v>
      </c>
      <c r="F365" t="n">
        <v>114828.11</v>
      </c>
      <c r="G365" t="n">
        <v>37</v>
      </c>
      <c r="H365" t="inlineStr">
        <is>
          <t>Standard</t>
        </is>
      </c>
      <c r="I365" t="inlineStr">
        <is>
          <t>RWD</t>
        </is>
      </c>
      <c r="J365" t="inlineStr">
        <is>
          <t>White</t>
        </is>
      </c>
      <c r="K365" t="n">
        <v>453</v>
      </c>
      <c r="L365" t="n">
        <v>30</v>
      </c>
      <c r="M365" t="n">
        <v>24.89</v>
      </c>
      <c r="N365" t="n">
        <v>6624.76</v>
      </c>
      <c r="O365" t="n">
        <v>4.74</v>
      </c>
      <c r="P365" t="n">
        <v>5</v>
      </c>
      <c r="Q365" t="n">
        <v>2</v>
      </c>
      <c r="R365" t="n">
        <v>2024.8</v>
      </c>
      <c r="S365" t="b">
        <v>0</v>
      </c>
      <c r="T365" t="n">
        <v>3981370</v>
      </c>
      <c r="U365" t="n">
        <v>11</v>
      </c>
      <c r="V365" t="n">
        <v>0.0135</v>
      </c>
      <c r="W365" t="n">
        <v>0.68</v>
      </c>
      <c r="X365" t="n">
        <v>79.39</v>
      </c>
      <c r="Y365">
        <f>VLOOKUP(D365,$AB$2:$AC$7,2,FALSE)</f>
        <v/>
      </c>
      <c r="Z365">
        <f>IF(A365&lt;Y365,"Yes","No")</f>
        <v/>
      </c>
    </row>
    <row r="366">
      <c r="A366" t="n">
        <v>2019</v>
      </c>
      <c r="B366" t="inlineStr">
        <is>
          <t>Q3</t>
        </is>
      </c>
      <c r="C366" t="inlineStr">
        <is>
          <t>Asia</t>
        </is>
      </c>
      <c r="D366" t="inlineStr">
        <is>
          <t>Model Y</t>
        </is>
      </c>
      <c r="E366" t="n">
        <v>1484</v>
      </c>
      <c r="F366" t="n">
        <v>70279.48</v>
      </c>
      <c r="G366" t="n">
        <v>11</v>
      </c>
      <c r="H366" t="inlineStr">
        <is>
          <t>Performance</t>
        </is>
      </c>
      <c r="I366" t="inlineStr">
        <is>
          <t>RWD</t>
        </is>
      </c>
      <c r="J366" t="inlineStr">
        <is>
          <t>Blue</t>
        </is>
      </c>
      <c r="K366" t="n">
        <v>546</v>
      </c>
      <c r="L366" t="n">
        <v>88</v>
      </c>
      <c r="M366" t="n">
        <v>20.91</v>
      </c>
      <c r="N366" t="n">
        <v>2815.21</v>
      </c>
      <c r="O366" t="n">
        <v>3.64</v>
      </c>
      <c r="P366" t="n">
        <v>4</v>
      </c>
      <c r="Q366" t="n">
        <v>1</v>
      </c>
      <c r="R366" t="n">
        <v>2021.5</v>
      </c>
      <c r="S366" t="b">
        <v>0</v>
      </c>
      <c r="T366" t="n">
        <v>659888</v>
      </c>
      <c r="U366" t="n">
        <v>5</v>
      </c>
      <c r="V366" t="n">
        <v>0.09180000000000001</v>
      </c>
      <c r="W366" t="n">
        <v>1.32</v>
      </c>
      <c r="X366" t="n">
        <v>82.86</v>
      </c>
      <c r="Y366">
        <f>VLOOKUP(D366,$AB$2:$AC$7,2,FALSE)</f>
        <v/>
      </c>
      <c r="Z366">
        <f>IF(A366&lt;Y366,"Yes","No")</f>
        <v/>
      </c>
    </row>
    <row r="367">
      <c r="A367" t="n">
        <v>2013</v>
      </c>
      <c r="B367" t="inlineStr">
        <is>
          <t>Q3</t>
        </is>
      </c>
      <c r="C367" t="inlineStr">
        <is>
          <t>North America</t>
        </is>
      </c>
      <c r="D367" t="inlineStr">
        <is>
          <t>Model S</t>
        </is>
      </c>
      <c r="E367" t="n">
        <v>4182</v>
      </c>
      <c r="F367" t="n">
        <v>100155.82</v>
      </c>
      <c r="G367" t="n">
        <v>20</v>
      </c>
      <c r="H367" t="inlineStr">
        <is>
          <t>Long Range</t>
        </is>
      </c>
      <c r="I367" t="inlineStr">
        <is>
          <t>RWD</t>
        </is>
      </c>
      <c r="J367" t="inlineStr">
        <is>
          <t>Black</t>
        </is>
      </c>
      <c r="K367" t="n">
        <v>479</v>
      </c>
      <c r="L367" t="n">
        <v>43</v>
      </c>
      <c r="M367" t="n">
        <v>19.07</v>
      </c>
      <c r="N367" t="n">
        <v>5956.57</v>
      </c>
      <c r="O367" t="n">
        <v>3.61</v>
      </c>
      <c r="P367" t="n">
        <v>8</v>
      </c>
      <c r="Q367" t="n">
        <v>3</v>
      </c>
      <c r="R367" t="n">
        <v>2022.12</v>
      </c>
      <c r="S367" t="b">
        <v>0</v>
      </c>
      <c r="T367" t="n">
        <v>1730775</v>
      </c>
      <c r="U367" t="n">
        <v>8</v>
      </c>
      <c r="V367" t="n">
        <v>0.0134</v>
      </c>
      <c r="W367" t="n">
        <v>1</v>
      </c>
      <c r="X367" t="n">
        <v>81.27</v>
      </c>
      <c r="Y367">
        <f>VLOOKUP(D367,$AB$2:$AC$7,2,FALSE)</f>
        <v/>
      </c>
      <c r="Z367">
        <f>IF(A367&lt;Y367,"Yes","No")</f>
        <v/>
      </c>
    </row>
    <row r="368">
      <c r="A368" t="n">
        <v>2014</v>
      </c>
      <c r="B368" t="inlineStr">
        <is>
          <t>Q3</t>
        </is>
      </c>
      <c r="C368" t="inlineStr">
        <is>
          <t>Australia</t>
        </is>
      </c>
      <c r="D368" t="inlineStr">
        <is>
          <t>Model Y</t>
        </is>
      </c>
      <c r="E368" t="n">
        <v>3829</v>
      </c>
      <c r="F368" t="n">
        <v>40800.16</v>
      </c>
      <c r="G368" t="n">
        <v>35</v>
      </c>
      <c r="H368" t="inlineStr">
        <is>
          <t>Performance</t>
        </is>
      </c>
      <c r="I368" t="inlineStr">
        <is>
          <t>AWD</t>
        </is>
      </c>
      <c r="J368" t="inlineStr">
        <is>
          <t>Green</t>
        </is>
      </c>
      <c r="K368" t="n">
        <v>574</v>
      </c>
      <c r="L368" t="n">
        <v>38</v>
      </c>
      <c r="M368" t="n">
        <v>18.65</v>
      </c>
      <c r="N368" t="n">
        <v>4052.17</v>
      </c>
      <c r="O368" t="n">
        <v>3.74</v>
      </c>
      <c r="P368" t="n">
        <v>4</v>
      </c>
      <c r="Q368" t="n">
        <v>0</v>
      </c>
      <c r="R368" t="n">
        <v>2021.5</v>
      </c>
      <c r="S368" t="b">
        <v>1</v>
      </c>
      <c r="T368" t="n">
        <v>4585001</v>
      </c>
      <c r="U368" t="n">
        <v>8</v>
      </c>
      <c r="V368" t="n">
        <v>0.0252</v>
      </c>
      <c r="W368" t="n">
        <v>1.84</v>
      </c>
      <c r="X368" t="n">
        <v>60.34</v>
      </c>
      <c r="Y368">
        <f>VLOOKUP(D368,$AB$2:$AC$7,2,FALSE)</f>
        <v/>
      </c>
      <c r="Z368">
        <f>IF(A368&lt;Y368,"Yes","No")</f>
        <v/>
      </c>
    </row>
    <row r="369">
      <c r="A369" t="n">
        <v>2016</v>
      </c>
      <c r="B369" t="inlineStr">
        <is>
          <t>Q2</t>
        </is>
      </c>
      <c r="C369" t="inlineStr">
        <is>
          <t>Australia</t>
        </is>
      </c>
      <c r="D369" t="inlineStr">
        <is>
          <t>Model X</t>
        </is>
      </c>
      <c r="E369" t="n">
        <v>1507</v>
      </c>
      <c r="F369" t="n">
        <v>53417.16</v>
      </c>
      <c r="G369" t="n">
        <v>2</v>
      </c>
      <c r="H369" t="inlineStr">
        <is>
          <t>Performance</t>
        </is>
      </c>
      <c r="I369" t="inlineStr">
        <is>
          <t>AWD</t>
        </is>
      </c>
      <c r="J369" t="inlineStr">
        <is>
          <t>Blue</t>
        </is>
      </c>
      <c r="K369" t="n">
        <v>374</v>
      </c>
      <c r="L369" t="n">
        <v>83</v>
      </c>
      <c r="M369" t="n">
        <v>20.62</v>
      </c>
      <c r="N369" t="n">
        <v>2329.44</v>
      </c>
      <c r="O369" t="n">
        <v>4.49</v>
      </c>
      <c r="P369" t="n">
        <v>4</v>
      </c>
      <c r="Q369" t="n">
        <v>3</v>
      </c>
      <c r="R369" t="n">
        <v>2022.8</v>
      </c>
      <c r="S369" t="b">
        <v>1</v>
      </c>
      <c r="T369" t="n">
        <v>139139</v>
      </c>
      <c r="U369" t="n">
        <v>2</v>
      </c>
      <c r="V369" t="n">
        <v>0.0795</v>
      </c>
      <c r="W369" t="n">
        <v>2.03</v>
      </c>
      <c r="X369" t="n">
        <v>87.86</v>
      </c>
      <c r="Y369">
        <f>VLOOKUP(D369,$AB$2:$AC$7,2,FALSE)</f>
        <v/>
      </c>
      <c r="Z369">
        <f>IF(A369&lt;Y369,"Yes","No")</f>
        <v/>
      </c>
    </row>
    <row r="370">
      <c r="A370" t="n">
        <v>2017</v>
      </c>
      <c r="B370" t="inlineStr">
        <is>
          <t>Q2</t>
        </is>
      </c>
      <c r="C370" t="inlineStr">
        <is>
          <t>Europe</t>
        </is>
      </c>
      <c r="D370" t="inlineStr">
        <is>
          <t>Model S</t>
        </is>
      </c>
      <c r="E370" t="n">
        <v>181</v>
      </c>
      <c r="F370" t="n">
        <v>70843.03</v>
      </c>
      <c r="G370" t="n">
        <v>0</v>
      </c>
      <c r="H370" t="inlineStr">
        <is>
          <t>Long Range</t>
        </is>
      </c>
      <c r="I370" t="inlineStr">
        <is>
          <t>AWD</t>
        </is>
      </c>
      <c r="J370" t="inlineStr">
        <is>
          <t>Green</t>
        </is>
      </c>
      <c r="K370" t="n">
        <v>692</v>
      </c>
      <c r="L370" t="n">
        <v>34</v>
      </c>
      <c r="M370" t="n">
        <v>15.65</v>
      </c>
      <c r="N370" t="n">
        <v>409.89</v>
      </c>
      <c r="O370" t="n">
        <v>4.7</v>
      </c>
      <c r="P370" t="n">
        <v>5</v>
      </c>
      <c r="Q370" t="n">
        <v>1</v>
      </c>
      <c r="R370" t="n">
        <v>2020.7</v>
      </c>
      <c r="S370" t="b">
        <v>1</v>
      </c>
      <c r="T370" t="n">
        <v>2844261</v>
      </c>
      <c r="U370" t="n">
        <v>7</v>
      </c>
      <c r="V370" t="n">
        <v>0.0606</v>
      </c>
      <c r="W370" t="n">
        <v>0.88</v>
      </c>
      <c r="X370" t="n">
        <v>66.20999999999999</v>
      </c>
      <c r="Y370">
        <f>VLOOKUP(D370,$AB$2:$AC$7,2,FALSE)</f>
        <v/>
      </c>
      <c r="Z370">
        <f>IF(A370&lt;Y370,"Yes","No")</f>
        <v/>
      </c>
    </row>
    <row r="371">
      <c r="A371" t="n">
        <v>2020</v>
      </c>
      <c r="B371" t="inlineStr">
        <is>
          <t>Q4</t>
        </is>
      </c>
      <c r="C371" t="inlineStr">
        <is>
          <t>Australia</t>
        </is>
      </c>
      <c r="D371" t="inlineStr">
        <is>
          <t>Model S</t>
        </is>
      </c>
      <c r="E371" t="n">
        <v>1953</v>
      </c>
      <c r="F371" t="n">
        <v>53171.3</v>
      </c>
      <c r="G371" t="n">
        <v>22</v>
      </c>
      <c r="H371" t="inlineStr">
        <is>
          <t>Long Range</t>
        </is>
      </c>
      <c r="I371" t="inlineStr">
        <is>
          <t>AWD</t>
        </is>
      </c>
      <c r="J371" t="inlineStr">
        <is>
          <t>Red</t>
        </is>
      </c>
      <c r="K371" t="n">
        <v>555</v>
      </c>
      <c r="L371" t="n">
        <v>71</v>
      </c>
      <c r="M371" t="n">
        <v>16.79</v>
      </c>
      <c r="N371" t="n">
        <v>2496.66</v>
      </c>
      <c r="O371" t="n">
        <v>4.19</v>
      </c>
      <c r="P371" t="n">
        <v>4</v>
      </c>
      <c r="Q371" t="n">
        <v>2</v>
      </c>
      <c r="R371" t="n">
        <v>2024.6</v>
      </c>
      <c r="S371" t="b">
        <v>1</v>
      </c>
      <c r="T371" t="n">
        <v>664815</v>
      </c>
      <c r="U371" t="n">
        <v>5</v>
      </c>
      <c r="V371" t="n">
        <v>0.047</v>
      </c>
      <c r="W371" t="n">
        <v>2.04</v>
      </c>
      <c r="X371" t="n">
        <v>74.98999999999999</v>
      </c>
      <c r="Y371">
        <f>VLOOKUP(D371,$AB$2:$AC$7,2,FALSE)</f>
        <v/>
      </c>
      <c r="Z371">
        <f>IF(A371&lt;Y371,"Yes","No")</f>
        <v/>
      </c>
    </row>
    <row r="372">
      <c r="A372" t="n">
        <v>2013</v>
      </c>
      <c r="B372" t="inlineStr">
        <is>
          <t>Q2</t>
        </is>
      </c>
      <c r="C372" t="inlineStr">
        <is>
          <t>Asia</t>
        </is>
      </c>
      <c r="D372" t="inlineStr">
        <is>
          <t>Model S</t>
        </is>
      </c>
      <c r="E372" t="n">
        <v>4964</v>
      </c>
      <c r="F372" t="n">
        <v>62570.11</v>
      </c>
      <c r="G372" t="n">
        <v>40</v>
      </c>
      <c r="H372" t="inlineStr">
        <is>
          <t>Performance</t>
        </is>
      </c>
      <c r="I372" t="inlineStr">
        <is>
          <t>RWD</t>
        </is>
      </c>
      <c r="J372" t="inlineStr">
        <is>
          <t>Green</t>
        </is>
      </c>
      <c r="K372" t="n">
        <v>418</v>
      </c>
      <c r="L372" t="n">
        <v>51</v>
      </c>
      <c r="M372" t="n">
        <v>15.1</v>
      </c>
      <c r="N372" t="n">
        <v>10044.32</v>
      </c>
      <c r="O372" t="n">
        <v>4.53</v>
      </c>
      <c r="P372" t="n">
        <v>8</v>
      </c>
      <c r="Q372" t="n">
        <v>0</v>
      </c>
      <c r="R372" t="n">
        <v>2022.1</v>
      </c>
      <c r="S372" t="b">
        <v>0</v>
      </c>
      <c r="T372" t="n">
        <v>3307563</v>
      </c>
      <c r="U372" t="n">
        <v>10</v>
      </c>
      <c r="V372" t="n">
        <v>0.0677</v>
      </c>
      <c r="W372" t="n">
        <v>0.96</v>
      </c>
      <c r="X372" t="n">
        <v>77.62</v>
      </c>
      <c r="Y372">
        <f>VLOOKUP(D372,$AB$2:$AC$7,2,FALSE)</f>
        <v/>
      </c>
      <c r="Z372">
        <f>IF(A372&lt;Y372,"Yes","No")</f>
        <v/>
      </c>
    </row>
    <row r="373">
      <c r="A373" t="n">
        <v>2012</v>
      </c>
      <c r="B373" t="inlineStr">
        <is>
          <t>Q2</t>
        </is>
      </c>
      <c r="C373" t="inlineStr">
        <is>
          <t>North America</t>
        </is>
      </c>
      <c r="D373" t="inlineStr">
        <is>
          <t>Cybertruck</t>
        </is>
      </c>
      <c r="E373" t="n">
        <v>1066</v>
      </c>
      <c r="F373" t="n">
        <v>61252.13</v>
      </c>
      <c r="G373" t="n">
        <v>47</v>
      </c>
      <c r="H373" t="inlineStr">
        <is>
          <t>Long Range</t>
        </is>
      </c>
      <c r="I373" t="inlineStr">
        <is>
          <t>AWD</t>
        </is>
      </c>
      <c r="J373" t="inlineStr">
        <is>
          <t>Silver</t>
        </is>
      </c>
      <c r="K373" t="n">
        <v>390</v>
      </c>
      <c r="L373" t="n">
        <v>33</v>
      </c>
      <c r="M373" t="n">
        <v>14.65</v>
      </c>
      <c r="N373" t="n">
        <v>1596.28</v>
      </c>
      <c r="O373" t="n">
        <v>3.8</v>
      </c>
      <c r="P373" t="n">
        <v>8</v>
      </c>
      <c r="Q373" t="n">
        <v>1</v>
      </c>
      <c r="R373" t="n">
        <v>2020.4</v>
      </c>
      <c r="S373" t="b">
        <v>0</v>
      </c>
      <c r="T373" t="n">
        <v>2857250</v>
      </c>
      <c r="U373" t="n">
        <v>4</v>
      </c>
      <c r="V373" t="n">
        <v>0.035</v>
      </c>
      <c r="W373" t="n">
        <v>1.79</v>
      </c>
      <c r="X373" t="n">
        <v>82.81</v>
      </c>
      <c r="Y373">
        <f>VLOOKUP(D373,$AB$2:$AC$7,2,FALSE)</f>
        <v/>
      </c>
      <c r="Z373">
        <f>IF(A373&lt;Y373,"Yes","No")</f>
        <v/>
      </c>
    </row>
    <row r="374">
      <c r="A374" t="n">
        <v>2020</v>
      </c>
      <c r="B374" t="inlineStr">
        <is>
          <t>Q4</t>
        </is>
      </c>
      <c r="C374" t="inlineStr">
        <is>
          <t>Asia</t>
        </is>
      </c>
      <c r="D374" t="inlineStr">
        <is>
          <t>Model S</t>
        </is>
      </c>
      <c r="E374" t="n">
        <v>1926</v>
      </c>
      <c r="F374" t="n">
        <v>106989.46</v>
      </c>
      <c r="G374" t="n">
        <v>21</v>
      </c>
      <c r="H374" t="inlineStr">
        <is>
          <t>Long Range</t>
        </is>
      </c>
      <c r="I374" t="inlineStr">
        <is>
          <t>AWD</t>
        </is>
      </c>
      <c r="J374" t="inlineStr">
        <is>
          <t>Black</t>
        </is>
      </c>
      <c r="K374" t="n">
        <v>626</v>
      </c>
      <c r="L374" t="n">
        <v>33</v>
      </c>
      <c r="M374" t="n">
        <v>23.88</v>
      </c>
      <c r="N374" t="n">
        <v>3524.6</v>
      </c>
      <c r="O374" t="n">
        <v>3.87</v>
      </c>
      <c r="P374" t="n">
        <v>5</v>
      </c>
      <c r="Q374" t="n">
        <v>3</v>
      </c>
      <c r="R374" t="n">
        <v>2024.6</v>
      </c>
      <c r="S374" t="b">
        <v>1</v>
      </c>
      <c r="T374" t="n">
        <v>3810792</v>
      </c>
      <c r="U374" t="n">
        <v>12</v>
      </c>
      <c r="V374" t="n">
        <v>0.0105</v>
      </c>
      <c r="W374" t="n">
        <v>2.24</v>
      </c>
      <c r="X374" t="n">
        <v>62.1</v>
      </c>
      <c r="Y374">
        <f>VLOOKUP(D374,$AB$2:$AC$7,2,FALSE)</f>
        <v/>
      </c>
      <c r="Z374">
        <f>IF(A374&lt;Y374,"Yes","No")</f>
        <v/>
      </c>
    </row>
    <row r="375">
      <c r="A375" t="n">
        <v>2015</v>
      </c>
      <c r="B375" t="inlineStr">
        <is>
          <t>Q1</t>
        </is>
      </c>
      <c r="C375" t="inlineStr">
        <is>
          <t>Europe</t>
        </is>
      </c>
      <c r="D375" t="inlineStr">
        <is>
          <t>Model 3</t>
        </is>
      </c>
      <c r="E375" t="n">
        <v>1078</v>
      </c>
      <c r="F375" t="n">
        <v>42799.55</v>
      </c>
      <c r="G375" t="n">
        <v>37</v>
      </c>
      <c r="H375" t="inlineStr">
        <is>
          <t>Performance</t>
        </is>
      </c>
      <c r="I375" t="inlineStr">
        <is>
          <t>AWD</t>
        </is>
      </c>
      <c r="J375" t="inlineStr">
        <is>
          <t>Black</t>
        </is>
      </c>
      <c r="K375" t="n">
        <v>609</v>
      </c>
      <c r="L375" t="n">
        <v>35</v>
      </c>
      <c r="M375" t="n">
        <v>18.11</v>
      </c>
      <c r="N375" t="n">
        <v>1546.01</v>
      </c>
      <c r="O375" t="n">
        <v>3.75</v>
      </c>
      <c r="P375" t="n">
        <v>5</v>
      </c>
      <c r="Q375" t="n">
        <v>1</v>
      </c>
      <c r="R375" t="n">
        <v>2023.3</v>
      </c>
      <c r="S375" t="b">
        <v>1</v>
      </c>
      <c r="T375" t="n">
        <v>2642593</v>
      </c>
      <c r="U375" t="n">
        <v>6</v>
      </c>
      <c r="V375" t="n">
        <v>0.0619</v>
      </c>
      <c r="W375" t="n">
        <v>2.44</v>
      </c>
      <c r="X375" t="n">
        <v>66.04000000000001</v>
      </c>
      <c r="Y375">
        <f>VLOOKUP(D375,$AB$2:$AC$7,2,FALSE)</f>
        <v/>
      </c>
      <c r="Z375">
        <f>IF(A375&lt;Y375,"Yes","No")</f>
        <v/>
      </c>
    </row>
    <row r="376">
      <c r="A376" t="n">
        <v>2024</v>
      </c>
      <c r="B376" t="inlineStr">
        <is>
          <t>Q4</t>
        </is>
      </c>
      <c r="C376" t="inlineStr">
        <is>
          <t>North America</t>
        </is>
      </c>
      <c r="D376" t="inlineStr">
        <is>
          <t>Model X</t>
        </is>
      </c>
      <c r="E376" t="n">
        <v>3312</v>
      </c>
      <c r="F376" t="n">
        <v>67105.99000000001</v>
      </c>
      <c r="G376" t="n">
        <v>30</v>
      </c>
      <c r="H376" t="inlineStr">
        <is>
          <t>Long Range</t>
        </is>
      </c>
      <c r="I376" t="inlineStr">
        <is>
          <t>RWD</t>
        </is>
      </c>
      <c r="J376" t="inlineStr">
        <is>
          <t>Silver</t>
        </is>
      </c>
      <c r="K376" t="n">
        <v>662</v>
      </c>
      <c r="L376" t="n">
        <v>77</v>
      </c>
      <c r="M376" t="n">
        <v>18.2</v>
      </c>
      <c r="N376" t="n">
        <v>2688.54</v>
      </c>
      <c r="O376" t="n">
        <v>4.93</v>
      </c>
      <c r="P376" t="n">
        <v>8</v>
      </c>
      <c r="Q376" t="n">
        <v>0</v>
      </c>
      <c r="R376" t="n">
        <v>2023.7</v>
      </c>
      <c r="S376" t="b">
        <v>1</v>
      </c>
      <c r="T376" t="n">
        <v>2618524</v>
      </c>
      <c r="U376" t="n">
        <v>11</v>
      </c>
      <c r="V376" t="n">
        <v>0.0583</v>
      </c>
      <c r="W376" t="n">
        <v>1.61</v>
      </c>
      <c r="X376" t="n">
        <v>65.27</v>
      </c>
      <c r="Y376">
        <f>VLOOKUP(D376,$AB$2:$AC$7,2,FALSE)</f>
        <v/>
      </c>
      <c r="Z376">
        <f>IF(A376&lt;Y376,"Yes","No")</f>
        <v/>
      </c>
    </row>
    <row r="377">
      <c r="A377" t="n">
        <v>2018</v>
      </c>
      <c r="B377" t="inlineStr">
        <is>
          <t>Q4</t>
        </is>
      </c>
      <c r="C377" t="inlineStr">
        <is>
          <t>Asia</t>
        </is>
      </c>
      <c r="D377" t="inlineStr">
        <is>
          <t>Model Y</t>
        </is>
      </c>
      <c r="E377" t="n">
        <v>2370</v>
      </c>
      <c r="F377" t="n">
        <v>66887.49000000001</v>
      </c>
      <c r="G377" t="n">
        <v>38</v>
      </c>
      <c r="H377" t="inlineStr">
        <is>
          <t>Long Range</t>
        </is>
      </c>
      <c r="I377" t="inlineStr">
        <is>
          <t>AWD</t>
        </is>
      </c>
      <c r="J377" t="inlineStr">
        <is>
          <t>White</t>
        </is>
      </c>
      <c r="K377" t="n">
        <v>419</v>
      </c>
      <c r="L377" t="n">
        <v>75</v>
      </c>
      <c r="M377" t="n">
        <v>18.63</v>
      </c>
      <c r="N377" t="n">
        <v>1918.39</v>
      </c>
      <c r="O377" t="n">
        <v>3.78</v>
      </c>
      <c r="P377" t="n">
        <v>4</v>
      </c>
      <c r="Q377" t="n">
        <v>2</v>
      </c>
      <c r="R377" t="n">
        <v>2023.7</v>
      </c>
      <c r="S377" t="b">
        <v>0</v>
      </c>
      <c r="T377" t="n">
        <v>3410561</v>
      </c>
      <c r="U377" t="n">
        <v>7</v>
      </c>
      <c r="V377" t="n">
        <v>0.0446</v>
      </c>
      <c r="W377" t="n">
        <v>1.12</v>
      </c>
      <c r="X377" t="n">
        <v>89.63</v>
      </c>
      <c r="Y377">
        <f>VLOOKUP(D377,$AB$2:$AC$7,2,FALSE)</f>
        <v/>
      </c>
      <c r="Z377">
        <f>IF(A377&lt;Y377,"Yes","No")</f>
        <v/>
      </c>
    </row>
    <row r="378">
      <c r="A378" t="n">
        <v>2013</v>
      </c>
      <c r="B378" t="inlineStr">
        <is>
          <t>Q4</t>
        </is>
      </c>
      <c r="C378" t="inlineStr">
        <is>
          <t>North America</t>
        </is>
      </c>
      <c r="D378" t="inlineStr">
        <is>
          <t>Model S</t>
        </is>
      </c>
      <c r="E378" t="n">
        <v>3202</v>
      </c>
      <c r="F378" t="n">
        <v>114231.01</v>
      </c>
      <c r="G378" t="n">
        <v>10</v>
      </c>
      <c r="H378" t="inlineStr">
        <is>
          <t>Standard</t>
        </is>
      </c>
      <c r="I378" t="inlineStr">
        <is>
          <t>RWD</t>
        </is>
      </c>
      <c r="J378" t="inlineStr">
        <is>
          <t>White</t>
        </is>
      </c>
      <c r="K378" t="n">
        <v>528</v>
      </c>
      <c r="L378" t="n">
        <v>62</v>
      </c>
      <c r="M378" t="n">
        <v>21.51</v>
      </c>
      <c r="N378" t="n">
        <v>5667.41</v>
      </c>
      <c r="O378" t="n">
        <v>4.05</v>
      </c>
      <c r="P378" t="n">
        <v>4</v>
      </c>
      <c r="Q378" t="n">
        <v>3</v>
      </c>
      <c r="R378" t="n">
        <v>2023.12</v>
      </c>
      <c r="S378" t="b">
        <v>1</v>
      </c>
      <c r="T378" t="n">
        <v>2133003</v>
      </c>
      <c r="U378" t="n">
        <v>9</v>
      </c>
      <c r="V378" t="n">
        <v>0.0131</v>
      </c>
      <c r="W378" t="n">
        <v>2.13</v>
      </c>
      <c r="X378" t="n">
        <v>78.93000000000001</v>
      </c>
      <c r="Y378">
        <f>VLOOKUP(D378,$AB$2:$AC$7,2,FALSE)</f>
        <v/>
      </c>
      <c r="Z378">
        <f>IF(A378&lt;Y378,"Yes","No")</f>
        <v/>
      </c>
    </row>
    <row r="379">
      <c r="A379" t="n">
        <v>2022</v>
      </c>
      <c r="B379" t="inlineStr">
        <is>
          <t>Q1</t>
        </is>
      </c>
      <c r="C379" t="inlineStr">
        <is>
          <t>Europe</t>
        </is>
      </c>
      <c r="D379" t="inlineStr">
        <is>
          <t>Model X</t>
        </is>
      </c>
      <c r="E379" t="n">
        <v>3781</v>
      </c>
      <c r="F379" t="n">
        <v>115262.54</v>
      </c>
      <c r="G379" t="n">
        <v>9</v>
      </c>
      <c r="H379" t="inlineStr">
        <is>
          <t>Long Range</t>
        </is>
      </c>
      <c r="I379" t="inlineStr">
        <is>
          <t>AWD</t>
        </is>
      </c>
      <c r="J379" t="inlineStr">
        <is>
          <t>Silver</t>
        </is>
      </c>
      <c r="K379" t="n">
        <v>646</v>
      </c>
      <c r="L379" t="n">
        <v>90</v>
      </c>
      <c r="M379" t="n">
        <v>20.95</v>
      </c>
      <c r="N379" t="n">
        <v>3111.21</v>
      </c>
      <c r="O379" t="n">
        <v>3.68</v>
      </c>
      <c r="P379" t="n">
        <v>4</v>
      </c>
      <c r="Q379" t="n">
        <v>3</v>
      </c>
      <c r="R379" t="n">
        <v>2023.12</v>
      </c>
      <c r="S379" t="b">
        <v>1</v>
      </c>
      <c r="T379" t="n">
        <v>4449803</v>
      </c>
      <c r="U379" t="n">
        <v>5</v>
      </c>
      <c r="V379" t="n">
        <v>0.0888</v>
      </c>
      <c r="W379" t="n">
        <v>0.83</v>
      </c>
      <c r="X379" t="n">
        <v>72.81</v>
      </c>
      <c r="Y379">
        <f>VLOOKUP(D379,$AB$2:$AC$7,2,FALSE)</f>
        <v/>
      </c>
      <c r="Z379">
        <f>IF(A379&lt;Y379,"Yes","No")</f>
        <v/>
      </c>
    </row>
    <row r="380">
      <c r="A380" t="n">
        <v>2023</v>
      </c>
      <c r="B380" t="inlineStr">
        <is>
          <t>Q3</t>
        </is>
      </c>
      <c r="C380" t="inlineStr">
        <is>
          <t>South America</t>
        </is>
      </c>
      <c r="D380" t="inlineStr">
        <is>
          <t>Cybertruck</t>
        </is>
      </c>
      <c r="E380" t="n">
        <v>3185</v>
      </c>
      <c r="F380" t="n">
        <v>84816.78</v>
      </c>
      <c r="G380" t="n">
        <v>46</v>
      </c>
      <c r="H380" t="inlineStr">
        <is>
          <t>Long Range</t>
        </is>
      </c>
      <c r="I380" t="inlineStr">
        <is>
          <t>AWD</t>
        </is>
      </c>
      <c r="J380" t="inlineStr">
        <is>
          <t>Red</t>
        </is>
      </c>
      <c r="K380" t="n">
        <v>675</v>
      </c>
      <c r="L380" t="n">
        <v>66</v>
      </c>
      <c r="M380" t="n">
        <v>22.32</v>
      </c>
      <c r="N380" t="n">
        <v>3786.28</v>
      </c>
      <c r="O380" t="n">
        <v>3.71</v>
      </c>
      <c r="P380" t="n">
        <v>5</v>
      </c>
      <c r="Q380" t="n">
        <v>3</v>
      </c>
      <c r="R380" t="n">
        <v>2022.1</v>
      </c>
      <c r="S380" t="b">
        <v>1</v>
      </c>
      <c r="T380" t="n">
        <v>4224873</v>
      </c>
      <c r="U380" t="n">
        <v>2</v>
      </c>
      <c r="V380" t="n">
        <v>0.0187</v>
      </c>
      <c r="W380" t="n">
        <v>2.05</v>
      </c>
      <c r="X380" t="n">
        <v>72.54000000000001</v>
      </c>
      <c r="Y380">
        <f>VLOOKUP(D380,$AB$2:$AC$7,2,FALSE)</f>
        <v/>
      </c>
      <c r="Z380">
        <f>IF(A380&lt;Y380,"Yes","No")</f>
        <v/>
      </c>
    </row>
    <row r="381">
      <c r="A381" t="n">
        <v>2018</v>
      </c>
      <c r="B381" t="inlineStr">
        <is>
          <t>Q3</t>
        </is>
      </c>
      <c r="C381" t="inlineStr">
        <is>
          <t>Australia</t>
        </is>
      </c>
      <c r="D381" t="inlineStr">
        <is>
          <t>Model 3</t>
        </is>
      </c>
      <c r="E381" t="n">
        <v>1495</v>
      </c>
      <c r="F381" t="n">
        <v>66845.37</v>
      </c>
      <c r="G381" t="n">
        <v>45</v>
      </c>
      <c r="H381" t="inlineStr">
        <is>
          <t>Standard</t>
        </is>
      </c>
      <c r="I381" t="inlineStr">
        <is>
          <t>AWD</t>
        </is>
      </c>
      <c r="J381" t="inlineStr">
        <is>
          <t>Blue</t>
        </is>
      </c>
      <c r="K381" t="n">
        <v>443</v>
      </c>
      <c r="L381" t="n">
        <v>62</v>
      </c>
      <c r="M381" t="n">
        <v>24.38</v>
      </c>
      <c r="N381" t="n">
        <v>2094.98</v>
      </c>
      <c r="O381" t="n">
        <v>4.72</v>
      </c>
      <c r="P381" t="n">
        <v>5</v>
      </c>
      <c r="Q381" t="n">
        <v>1</v>
      </c>
      <c r="R381" t="n">
        <v>2020.12</v>
      </c>
      <c r="S381" t="b">
        <v>1</v>
      </c>
      <c r="T381" t="n">
        <v>1709646</v>
      </c>
      <c r="U381" t="n">
        <v>6</v>
      </c>
      <c r="V381" t="n">
        <v>0.0985</v>
      </c>
      <c r="W381" t="n">
        <v>2.24</v>
      </c>
      <c r="X381" t="n">
        <v>73.22</v>
      </c>
      <c r="Y381">
        <f>VLOOKUP(D381,$AB$2:$AC$7,2,FALSE)</f>
        <v/>
      </c>
      <c r="Z381">
        <f>IF(A381&lt;Y381,"Yes","No")</f>
        <v/>
      </c>
    </row>
    <row r="382">
      <c r="A382" t="n">
        <v>2021</v>
      </c>
      <c r="B382" t="inlineStr">
        <is>
          <t>Q1</t>
        </is>
      </c>
      <c r="C382" t="inlineStr">
        <is>
          <t>Europe</t>
        </is>
      </c>
      <c r="D382" t="inlineStr">
        <is>
          <t>Model S</t>
        </is>
      </c>
      <c r="E382" t="n">
        <v>2451</v>
      </c>
      <c r="F382" t="n">
        <v>42285.1</v>
      </c>
      <c r="G382" t="n">
        <v>7</v>
      </c>
      <c r="H382" t="inlineStr">
        <is>
          <t>Long Range</t>
        </is>
      </c>
      <c r="I382" t="inlineStr">
        <is>
          <t>AWD</t>
        </is>
      </c>
      <c r="J382" t="inlineStr">
        <is>
          <t>White</t>
        </is>
      </c>
      <c r="K382" t="n">
        <v>365</v>
      </c>
      <c r="L382" t="n">
        <v>67</v>
      </c>
      <c r="M382" t="n">
        <v>15.82</v>
      </c>
      <c r="N382" t="n">
        <v>3603.92</v>
      </c>
      <c r="O382" t="n">
        <v>4.64</v>
      </c>
      <c r="P382" t="n">
        <v>4</v>
      </c>
      <c r="Q382" t="n">
        <v>0</v>
      </c>
      <c r="R382" t="n">
        <v>2022.1</v>
      </c>
      <c r="S382" t="b">
        <v>1</v>
      </c>
      <c r="T382" t="n">
        <v>912368</v>
      </c>
      <c r="U382" t="n">
        <v>5</v>
      </c>
      <c r="V382" t="n">
        <v>0.057</v>
      </c>
      <c r="W382" t="n">
        <v>0.51</v>
      </c>
      <c r="X382" t="n">
        <v>78.09</v>
      </c>
      <c r="Y382">
        <f>VLOOKUP(D382,$AB$2:$AC$7,2,FALSE)</f>
        <v/>
      </c>
      <c r="Z382">
        <f>IF(A382&lt;Y382,"Yes","No")</f>
        <v/>
      </c>
    </row>
    <row r="383">
      <c r="A383" t="n">
        <v>2024</v>
      </c>
      <c r="B383" t="inlineStr">
        <is>
          <t>Q3</t>
        </is>
      </c>
      <c r="C383" t="inlineStr">
        <is>
          <t>Australia</t>
        </is>
      </c>
      <c r="D383" t="inlineStr">
        <is>
          <t>Model Y</t>
        </is>
      </c>
      <c r="E383" t="n">
        <v>2810</v>
      </c>
      <c r="F383" t="n">
        <v>86371.58</v>
      </c>
      <c r="G383" t="n">
        <v>21</v>
      </c>
      <c r="H383" t="inlineStr">
        <is>
          <t>Long Range</t>
        </is>
      </c>
      <c r="I383" t="inlineStr">
        <is>
          <t>RWD</t>
        </is>
      </c>
      <c r="J383" t="inlineStr">
        <is>
          <t>White</t>
        </is>
      </c>
      <c r="K383" t="n">
        <v>472</v>
      </c>
      <c r="L383" t="n">
        <v>90</v>
      </c>
      <c r="M383" t="n">
        <v>17.33</v>
      </c>
      <c r="N383" t="n">
        <v>3644.41</v>
      </c>
      <c r="O383" t="n">
        <v>4.42</v>
      </c>
      <c r="P383" t="n">
        <v>6</v>
      </c>
      <c r="Q383" t="n">
        <v>2</v>
      </c>
      <c r="R383" t="n">
        <v>2020.1</v>
      </c>
      <c r="S383" t="b">
        <v>0</v>
      </c>
      <c r="T383" t="n">
        <v>3470612</v>
      </c>
      <c r="U383" t="n">
        <v>4</v>
      </c>
      <c r="V383" t="n">
        <v>0.0123</v>
      </c>
      <c r="W383" t="n">
        <v>0.75</v>
      </c>
      <c r="X383" t="n">
        <v>75.92</v>
      </c>
      <c r="Y383">
        <f>VLOOKUP(D383,$AB$2:$AC$7,2,FALSE)</f>
        <v/>
      </c>
      <c r="Z383">
        <f>IF(A383&lt;Y383,"Yes","No")</f>
        <v/>
      </c>
    </row>
    <row r="384">
      <c r="A384" t="n">
        <v>2023</v>
      </c>
      <c r="B384" t="inlineStr">
        <is>
          <t>Q2</t>
        </is>
      </c>
      <c r="C384" t="inlineStr">
        <is>
          <t>Asia</t>
        </is>
      </c>
      <c r="D384" t="inlineStr">
        <is>
          <t>Model Y</t>
        </is>
      </c>
      <c r="E384" t="n">
        <v>3942</v>
      </c>
      <c r="F384" t="n">
        <v>78767.69</v>
      </c>
      <c r="G384" t="n">
        <v>42</v>
      </c>
      <c r="H384" t="inlineStr">
        <is>
          <t>Standard</t>
        </is>
      </c>
      <c r="I384" t="inlineStr">
        <is>
          <t>AWD</t>
        </is>
      </c>
      <c r="J384" t="inlineStr">
        <is>
          <t>Green</t>
        </is>
      </c>
      <c r="K384" t="n">
        <v>514</v>
      </c>
      <c r="L384" t="n">
        <v>31</v>
      </c>
      <c r="M384" t="n">
        <v>20.61</v>
      </c>
      <c r="N384" t="n">
        <v>8857.16</v>
      </c>
      <c r="O384" t="n">
        <v>4.95</v>
      </c>
      <c r="P384" t="n">
        <v>6</v>
      </c>
      <c r="Q384" t="n">
        <v>3</v>
      </c>
      <c r="R384" t="n">
        <v>2021.1</v>
      </c>
      <c r="S384" t="b">
        <v>0</v>
      </c>
      <c r="T384" t="n">
        <v>3456828</v>
      </c>
      <c r="U384" t="n">
        <v>11</v>
      </c>
      <c r="V384" t="n">
        <v>0.0815</v>
      </c>
      <c r="W384" t="n">
        <v>1.2</v>
      </c>
      <c r="X384" t="n">
        <v>88.17</v>
      </c>
      <c r="Y384">
        <f>VLOOKUP(D384,$AB$2:$AC$7,2,FALSE)</f>
        <v/>
      </c>
      <c r="Z384">
        <f>IF(A384&lt;Y384,"Yes","No")</f>
        <v/>
      </c>
    </row>
    <row r="385">
      <c r="A385" t="n">
        <v>2019</v>
      </c>
      <c r="B385" t="inlineStr">
        <is>
          <t>Q1</t>
        </is>
      </c>
      <c r="C385" t="inlineStr">
        <is>
          <t>Australia</t>
        </is>
      </c>
      <c r="D385" t="inlineStr">
        <is>
          <t>Model X</t>
        </is>
      </c>
      <c r="E385" t="n">
        <v>1648</v>
      </c>
      <c r="F385" t="n">
        <v>95515.07000000001</v>
      </c>
      <c r="G385" t="n">
        <v>55</v>
      </c>
      <c r="H385" t="inlineStr">
        <is>
          <t>Performance</t>
        </is>
      </c>
      <c r="I385" t="inlineStr">
        <is>
          <t>AWD</t>
        </is>
      </c>
      <c r="J385" t="inlineStr">
        <is>
          <t>Black</t>
        </is>
      </c>
      <c r="K385" t="n">
        <v>604</v>
      </c>
      <c r="L385" t="n">
        <v>80</v>
      </c>
      <c r="M385" t="n">
        <v>14.05</v>
      </c>
      <c r="N385" t="n">
        <v>3567.44</v>
      </c>
      <c r="O385" t="n">
        <v>4.99</v>
      </c>
      <c r="P385" t="n">
        <v>8</v>
      </c>
      <c r="Q385" t="n">
        <v>1</v>
      </c>
      <c r="R385" t="n">
        <v>2023.2</v>
      </c>
      <c r="S385" t="b">
        <v>0</v>
      </c>
      <c r="T385" t="n">
        <v>4635451</v>
      </c>
      <c r="U385" t="n">
        <v>5</v>
      </c>
      <c r="V385" t="n">
        <v>0.0319</v>
      </c>
      <c r="W385" t="n">
        <v>0.84</v>
      </c>
      <c r="X385" t="n">
        <v>88.33</v>
      </c>
      <c r="Y385">
        <f>VLOOKUP(D385,$AB$2:$AC$7,2,FALSE)</f>
        <v/>
      </c>
      <c r="Z385">
        <f>IF(A385&lt;Y385,"Yes","No")</f>
        <v/>
      </c>
    </row>
    <row r="386">
      <c r="A386" t="n">
        <v>2023</v>
      </c>
      <c r="B386" t="inlineStr">
        <is>
          <t>Q1</t>
        </is>
      </c>
      <c r="C386" t="inlineStr">
        <is>
          <t>North America</t>
        </is>
      </c>
      <c r="D386" t="inlineStr">
        <is>
          <t>Model Y</t>
        </is>
      </c>
      <c r="E386" t="n">
        <v>289</v>
      </c>
      <c r="F386" t="n">
        <v>48620</v>
      </c>
      <c r="G386" t="n">
        <v>59</v>
      </c>
      <c r="H386" t="inlineStr">
        <is>
          <t>Long Range</t>
        </is>
      </c>
      <c r="I386" t="inlineStr">
        <is>
          <t>RWD</t>
        </is>
      </c>
      <c r="J386" t="inlineStr">
        <is>
          <t>White</t>
        </is>
      </c>
      <c r="K386" t="n">
        <v>462</v>
      </c>
      <c r="L386" t="n">
        <v>76</v>
      </c>
      <c r="M386" t="n">
        <v>16.09</v>
      </c>
      <c r="N386" t="n">
        <v>419.8</v>
      </c>
      <c r="O386" t="n">
        <v>4.85</v>
      </c>
      <c r="P386" t="n">
        <v>4</v>
      </c>
      <c r="Q386" t="n">
        <v>1</v>
      </c>
      <c r="R386" t="n">
        <v>2024.11</v>
      </c>
      <c r="S386" t="b">
        <v>0</v>
      </c>
      <c r="T386" t="n">
        <v>858680</v>
      </c>
      <c r="U386" t="n">
        <v>7</v>
      </c>
      <c r="V386" t="n">
        <v>0.0885</v>
      </c>
      <c r="W386" t="n">
        <v>2.36</v>
      </c>
      <c r="X386" t="n">
        <v>82.98999999999999</v>
      </c>
      <c r="Y386">
        <f>VLOOKUP(D386,$AB$2:$AC$7,2,FALSE)</f>
        <v/>
      </c>
      <c r="Z386">
        <f>IF(A386&lt;Y386,"Yes","No")</f>
        <v/>
      </c>
    </row>
    <row r="387">
      <c r="A387" t="n">
        <v>2021</v>
      </c>
      <c r="B387" t="inlineStr">
        <is>
          <t>Q1</t>
        </is>
      </c>
      <c r="C387" t="inlineStr">
        <is>
          <t>Asia</t>
        </is>
      </c>
      <c r="D387" t="inlineStr">
        <is>
          <t>Model Y</t>
        </is>
      </c>
      <c r="E387" t="n">
        <v>3176</v>
      </c>
      <c r="F387" t="n">
        <v>90583.17</v>
      </c>
      <c r="G387" t="n">
        <v>50</v>
      </c>
      <c r="H387" t="inlineStr">
        <is>
          <t>Performance</t>
        </is>
      </c>
      <c r="I387" t="inlineStr">
        <is>
          <t>RWD</t>
        </is>
      </c>
      <c r="J387" t="inlineStr">
        <is>
          <t>Black</t>
        </is>
      </c>
      <c r="K387" t="n">
        <v>464</v>
      </c>
      <c r="L387" t="n">
        <v>46</v>
      </c>
      <c r="M387" t="n">
        <v>14.39</v>
      </c>
      <c r="N387" t="n">
        <v>2144.95</v>
      </c>
      <c r="O387" t="n">
        <v>3.63</v>
      </c>
      <c r="P387" t="n">
        <v>5</v>
      </c>
      <c r="Q387" t="n">
        <v>0</v>
      </c>
      <c r="R387" t="n">
        <v>2024.6</v>
      </c>
      <c r="S387" t="b">
        <v>1</v>
      </c>
      <c r="T387" t="n">
        <v>2728757</v>
      </c>
      <c r="U387" t="n">
        <v>8</v>
      </c>
      <c r="V387" t="n">
        <v>0.0619</v>
      </c>
      <c r="W387" t="n">
        <v>0.5</v>
      </c>
      <c r="X387" t="n">
        <v>61.86</v>
      </c>
      <c r="Y387">
        <f>VLOOKUP(D387,$AB$2:$AC$7,2,FALSE)</f>
        <v/>
      </c>
      <c r="Z387">
        <f>IF(A387&lt;Y387,"Yes","No")</f>
        <v/>
      </c>
    </row>
    <row r="388">
      <c r="A388" t="n">
        <v>2020</v>
      </c>
      <c r="B388" t="inlineStr">
        <is>
          <t>Q2</t>
        </is>
      </c>
      <c r="C388" t="inlineStr">
        <is>
          <t>Australia</t>
        </is>
      </c>
      <c r="D388" t="inlineStr">
        <is>
          <t>Model Y</t>
        </is>
      </c>
      <c r="E388" t="n">
        <v>2668</v>
      </c>
      <c r="F388" t="n">
        <v>100558.88</v>
      </c>
      <c r="G388" t="n">
        <v>51</v>
      </c>
      <c r="H388" t="inlineStr">
        <is>
          <t>Performance</t>
        </is>
      </c>
      <c r="I388" t="inlineStr">
        <is>
          <t>AWD</t>
        </is>
      </c>
      <c r="J388" t="inlineStr">
        <is>
          <t>Silver</t>
        </is>
      </c>
      <c r="K388" t="n">
        <v>689</v>
      </c>
      <c r="L388" t="n">
        <v>68</v>
      </c>
      <c r="M388" t="n">
        <v>20.09</v>
      </c>
      <c r="N388" t="n">
        <v>1902.74</v>
      </c>
      <c r="O388" t="n">
        <v>3.51</v>
      </c>
      <c r="P388" t="n">
        <v>8</v>
      </c>
      <c r="Q388" t="n">
        <v>2</v>
      </c>
      <c r="R388" t="n">
        <v>2021.5</v>
      </c>
      <c r="S388" t="b">
        <v>1</v>
      </c>
      <c r="T388" t="n">
        <v>4292900</v>
      </c>
      <c r="U388" t="n">
        <v>12</v>
      </c>
      <c r="V388" t="n">
        <v>0.051</v>
      </c>
      <c r="W388" t="n">
        <v>1.7</v>
      </c>
      <c r="X388" t="n">
        <v>64.38</v>
      </c>
      <c r="Y388">
        <f>VLOOKUP(D388,$AB$2:$AC$7,2,FALSE)</f>
        <v/>
      </c>
      <c r="Z388">
        <f>IF(A388&lt;Y388,"Yes","No")</f>
        <v/>
      </c>
    </row>
    <row r="389">
      <c r="A389" t="n">
        <v>2022</v>
      </c>
      <c r="B389" t="inlineStr">
        <is>
          <t>Q1</t>
        </is>
      </c>
      <c r="C389" t="inlineStr">
        <is>
          <t>South America</t>
        </is>
      </c>
      <c r="D389" t="inlineStr">
        <is>
          <t>Model X</t>
        </is>
      </c>
      <c r="E389" t="n">
        <v>2580</v>
      </c>
      <c r="F389" t="n">
        <v>77702.13</v>
      </c>
      <c r="G389" t="n">
        <v>44</v>
      </c>
      <c r="H389" t="inlineStr">
        <is>
          <t>Standard</t>
        </is>
      </c>
      <c r="I389" t="inlineStr">
        <is>
          <t>RWD</t>
        </is>
      </c>
      <c r="J389" t="inlineStr">
        <is>
          <t>Green</t>
        </is>
      </c>
      <c r="K389" t="n">
        <v>643</v>
      </c>
      <c r="L389" t="n">
        <v>60</v>
      </c>
      <c r="M389" t="n">
        <v>20.57</v>
      </c>
      <c r="N389" t="n">
        <v>2403.04</v>
      </c>
      <c r="O389" t="n">
        <v>3.94</v>
      </c>
      <c r="P389" t="n">
        <v>8</v>
      </c>
      <c r="Q389" t="n">
        <v>0</v>
      </c>
      <c r="R389" t="n">
        <v>2022.3</v>
      </c>
      <c r="S389" t="b">
        <v>1</v>
      </c>
      <c r="T389" t="n">
        <v>1988038</v>
      </c>
      <c r="U389" t="n">
        <v>2</v>
      </c>
      <c r="V389" t="n">
        <v>0.0931</v>
      </c>
      <c r="W389" t="n">
        <v>2.05</v>
      </c>
      <c r="X389" t="n">
        <v>85.7</v>
      </c>
      <c r="Y389">
        <f>VLOOKUP(D389,$AB$2:$AC$7,2,FALSE)</f>
        <v/>
      </c>
      <c r="Z389">
        <f>IF(A389&lt;Y389,"Yes","No")</f>
        <v/>
      </c>
    </row>
    <row r="390">
      <c r="A390" t="n">
        <v>2023</v>
      </c>
      <c r="B390" t="inlineStr">
        <is>
          <t>Q4</t>
        </is>
      </c>
      <c r="C390" t="inlineStr">
        <is>
          <t>Asia</t>
        </is>
      </c>
      <c r="D390" t="inlineStr">
        <is>
          <t>Semi</t>
        </is>
      </c>
      <c r="E390" t="n">
        <v>1354</v>
      </c>
      <c r="F390" t="n">
        <v>119240.37</v>
      </c>
      <c r="G390" t="n">
        <v>35</v>
      </c>
      <c r="H390" t="inlineStr">
        <is>
          <t>Long Range</t>
        </is>
      </c>
      <c r="I390" t="inlineStr">
        <is>
          <t>RWD</t>
        </is>
      </c>
      <c r="J390" t="inlineStr">
        <is>
          <t>Blue</t>
        </is>
      </c>
      <c r="K390" t="n">
        <v>697</v>
      </c>
      <c r="L390" t="n">
        <v>60</v>
      </c>
      <c r="M390" t="n">
        <v>24.88</v>
      </c>
      <c r="N390" t="n">
        <v>2728.89</v>
      </c>
      <c r="O390" t="n">
        <v>4.09</v>
      </c>
      <c r="P390" t="n">
        <v>6</v>
      </c>
      <c r="Q390" t="n">
        <v>2</v>
      </c>
      <c r="R390" t="n">
        <v>2021.12</v>
      </c>
      <c r="S390" t="b">
        <v>0</v>
      </c>
      <c r="T390" t="n">
        <v>916375</v>
      </c>
      <c r="U390" t="n">
        <v>4</v>
      </c>
      <c r="V390" t="n">
        <v>0.0391</v>
      </c>
      <c r="W390" t="n">
        <v>2.08</v>
      </c>
      <c r="X390" t="n">
        <v>85.98</v>
      </c>
      <c r="Y390">
        <f>VLOOKUP(D390,$AB$2:$AC$7,2,FALSE)</f>
        <v/>
      </c>
      <c r="Z390">
        <f>IF(A390&lt;Y390,"Yes","No")</f>
        <v/>
      </c>
    </row>
    <row r="391">
      <c r="A391" t="n">
        <v>2012</v>
      </c>
      <c r="B391" t="inlineStr">
        <is>
          <t>Q3</t>
        </is>
      </c>
      <c r="C391" t="inlineStr">
        <is>
          <t>Australia</t>
        </is>
      </c>
      <c r="D391" t="inlineStr">
        <is>
          <t>Semi</t>
        </is>
      </c>
      <c r="E391" t="n">
        <v>1390</v>
      </c>
      <c r="F391" t="n">
        <v>84058.38</v>
      </c>
      <c r="G391" t="n">
        <v>28</v>
      </c>
      <c r="H391" t="inlineStr">
        <is>
          <t>Performance</t>
        </is>
      </c>
      <c r="I391" t="inlineStr">
        <is>
          <t>RWD</t>
        </is>
      </c>
      <c r="J391" t="inlineStr">
        <is>
          <t>White</t>
        </is>
      </c>
      <c r="K391" t="n">
        <v>424</v>
      </c>
      <c r="L391" t="n">
        <v>43</v>
      </c>
      <c r="M391" t="n">
        <v>15.62</v>
      </c>
      <c r="N391" t="n">
        <v>2775.5</v>
      </c>
      <c r="O391" t="n">
        <v>4.6</v>
      </c>
      <c r="P391" t="n">
        <v>4</v>
      </c>
      <c r="Q391" t="n">
        <v>2</v>
      </c>
      <c r="R391" t="n">
        <v>2024.2</v>
      </c>
      <c r="S391" t="b">
        <v>1</v>
      </c>
      <c r="T391" t="n">
        <v>3258778</v>
      </c>
      <c r="U391" t="n">
        <v>8</v>
      </c>
      <c r="V391" t="n">
        <v>0.0712</v>
      </c>
      <c r="W391" t="n">
        <v>0.84</v>
      </c>
      <c r="X391" t="n">
        <v>61.69</v>
      </c>
      <c r="Y391">
        <f>VLOOKUP(D391,$AB$2:$AC$7,2,FALSE)</f>
        <v/>
      </c>
      <c r="Z391">
        <f>IF(A391&lt;Y391,"Yes","No")</f>
        <v/>
      </c>
    </row>
    <row r="392">
      <c r="A392" t="n">
        <v>2017</v>
      </c>
      <c r="B392" t="inlineStr">
        <is>
          <t>Q4</t>
        </is>
      </c>
      <c r="C392" t="inlineStr">
        <is>
          <t>Europe</t>
        </is>
      </c>
      <c r="D392" t="inlineStr">
        <is>
          <t>Model S</t>
        </is>
      </c>
      <c r="E392" t="n">
        <v>1011</v>
      </c>
      <c r="F392" t="n">
        <v>118323.52</v>
      </c>
      <c r="G392" t="n">
        <v>41</v>
      </c>
      <c r="H392" t="inlineStr">
        <is>
          <t>Long Range</t>
        </is>
      </c>
      <c r="I392" t="inlineStr">
        <is>
          <t>RWD</t>
        </is>
      </c>
      <c r="J392" t="inlineStr">
        <is>
          <t>Black</t>
        </is>
      </c>
      <c r="K392" t="n">
        <v>671</v>
      </c>
      <c r="L392" t="n">
        <v>76</v>
      </c>
      <c r="M392" t="n">
        <v>17.85</v>
      </c>
      <c r="N392" t="n">
        <v>574.23</v>
      </c>
      <c r="O392" t="n">
        <v>3.86</v>
      </c>
      <c r="P392" t="n">
        <v>8</v>
      </c>
      <c r="Q392" t="n">
        <v>2</v>
      </c>
      <c r="R392" t="n">
        <v>2024.3</v>
      </c>
      <c r="S392" t="b">
        <v>0</v>
      </c>
      <c r="T392" t="n">
        <v>851712</v>
      </c>
      <c r="U392" t="n">
        <v>9</v>
      </c>
      <c r="V392" t="n">
        <v>0.0878</v>
      </c>
      <c r="W392" t="n">
        <v>1.8</v>
      </c>
      <c r="X392" t="n">
        <v>68.26000000000001</v>
      </c>
      <c r="Y392">
        <f>VLOOKUP(D392,$AB$2:$AC$7,2,FALSE)</f>
        <v/>
      </c>
      <c r="Z392">
        <f>IF(A392&lt;Y392,"Yes","No")</f>
        <v/>
      </c>
    </row>
    <row r="393">
      <c r="A393" t="n">
        <v>2022</v>
      </c>
      <c r="B393" t="inlineStr">
        <is>
          <t>Q4</t>
        </is>
      </c>
      <c r="C393" t="inlineStr">
        <is>
          <t>Asia</t>
        </is>
      </c>
      <c r="D393" t="inlineStr">
        <is>
          <t>Model S</t>
        </is>
      </c>
      <c r="E393" t="n">
        <v>1033</v>
      </c>
      <c r="F393" t="n">
        <v>44913.35</v>
      </c>
      <c r="G393" t="n">
        <v>7</v>
      </c>
      <c r="H393" t="inlineStr">
        <is>
          <t>Long Range</t>
        </is>
      </c>
      <c r="I393" t="inlineStr">
        <is>
          <t>AWD</t>
        </is>
      </c>
      <c r="J393" t="inlineStr">
        <is>
          <t>Red</t>
        </is>
      </c>
      <c r="K393" t="n">
        <v>650</v>
      </c>
      <c r="L393" t="n">
        <v>66</v>
      </c>
      <c r="M393" t="n">
        <v>24.85</v>
      </c>
      <c r="N393" t="n">
        <v>1507.14</v>
      </c>
      <c r="O393" t="n">
        <v>4.54</v>
      </c>
      <c r="P393" t="n">
        <v>4</v>
      </c>
      <c r="Q393" t="n">
        <v>1</v>
      </c>
      <c r="R393" t="n">
        <v>2023.8</v>
      </c>
      <c r="S393" t="b">
        <v>0</v>
      </c>
      <c r="T393" t="n">
        <v>2602853</v>
      </c>
      <c r="U393" t="n">
        <v>11</v>
      </c>
      <c r="V393" t="n">
        <v>0.0213</v>
      </c>
      <c r="W393" t="n">
        <v>1.15</v>
      </c>
      <c r="X393" t="n">
        <v>81.41</v>
      </c>
      <c r="Y393">
        <f>VLOOKUP(D393,$AB$2:$AC$7,2,FALSE)</f>
        <v/>
      </c>
      <c r="Z393">
        <f>IF(A393&lt;Y393,"Yes","No")</f>
        <v/>
      </c>
    </row>
    <row r="394">
      <c r="A394" t="n">
        <v>2024</v>
      </c>
      <c r="B394" t="inlineStr">
        <is>
          <t>Q2</t>
        </is>
      </c>
      <c r="C394" t="inlineStr">
        <is>
          <t>Australia</t>
        </is>
      </c>
      <c r="D394" t="inlineStr">
        <is>
          <t>Semi</t>
        </is>
      </c>
      <c r="E394" t="n">
        <v>211</v>
      </c>
      <c r="F394" t="n">
        <v>68472.71000000001</v>
      </c>
      <c r="G394" t="n">
        <v>52</v>
      </c>
      <c r="H394" t="inlineStr">
        <is>
          <t>Performance</t>
        </is>
      </c>
      <c r="I394" t="inlineStr">
        <is>
          <t>RWD</t>
        </is>
      </c>
      <c r="J394" t="inlineStr">
        <is>
          <t>Red</t>
        </is>
      </c>
      <c r="K394" t="n">
        <v>615</v>
      </c>
      <c r="L394" t="n">
        <v>83</v>
      </c>
      <c r="M394" t="n">
        <v>20.02</v>
      </c>
      <c r="N394" t="n">
        <v>406.7</v>
      </c>
      <c r="O394" t="n">
        <v>4.69</v>
      </c>
      <c r="P394" t="n">
        <v>4</v>
      </c>
      <c r="Q394" t="n">
        <v>1</v>
      </c>
      <c r="R394" t="n">
        <v>2020.3</v>
      </c>
      <c r="S394" t="b">
        <v>1</v>
      </c>
      <c r="T394" t="n">
        <v>144660</v>
      </c>
      <c r="U394" t="n">
        <v>10</v>
      </c>
      <c r="V394" t="n">
        <v>0.0503</v>
      </c>
      <c r="W394" t="n">
        <v>1.13</v>
      </c>
      <c r="X394" t="n">
        <v>61.17</v>
      </c>
      <c r="Y394">
        <f>VLOOKUP(D394,$AB$2:$AC$7,2,FALSE)</f>
        <v/>
      </c>
      <c r="Z394">
        <f>IF(A394&lt;Y394,"Yes","No")</f>
        <v/>
      </c>
    </row>
    <row r="395">
      <c r="A395" t="n">
        <v>2021</v>
      </c>
      <c r="B395" t="inlineStr">
        <is>
          <t>Q2</t>
        </is>
      </c>
      <c r="C395" t="inlineStr">
        <is>
          <t>Europe</t>
        </is>
      </c>
      <c r="D395" t="inlineStr">
        <is>
          <t>Model S</t>
        </is>
      </c>
      <c r="E395" t="n">
        <v>4657</v>
      </c>
      <c r="F395" t="n">
        <v>56824.64</v>
      </c>
      <c r="G395" t="n">
        <v>48</v>
      </c>
      <c r="H395" t="inlineStr">
        <is>
          <t>Standard</t>
        </is>
      </c>
      <c r="I395" t="inlineStr">
        <is>
          <t>AWD</t>
        </is>
      </c>
      <c r="J395" t="inlineStr">
        <is>
          <t>Red</t>
        </is>
      </c>
      <c r="K395" t="n">
        <v>609</v>
      </c>
      <c r="L395" t="n">
        <v>49</v>
      </c>
      <c r="M395" t="n">
        <v>17.36</v>
      </c>
      <c r="N395" t="n">
        <v>7399.29</v>
      </c>
      <c r="O395" t="n">
        <v>4.13</v>
      </c>
      <c r="P395" t="n">
        <v>4</v>
      </c>
      <c r="Q395" t="n">
        <v>1</v>
      </c>
      <c r="R395" t="n">
        <v>2022.1</v>
      </c>
      <c r="S395" t="b">
        <v>0</v>
      </c>
      <c r="T395" t="n">
        <v>4580375</v>
      </c>
      <c r="U395" t="n">
        <v>9</v>
      </c>
      <c r="V395" t="n">
        <v>0.0226</v>
      </c>
      <c r="W395" t="n">
        <v>1.48</v>
      </c>
      <c r="X395" t="n">
        <v>69.39</v>
      </c>
      <c r="Y395">
        <f>VLOOKUP(D395,$AB$2:$AC$7,2,FALSE)</f>
        <v/>
      </c>
      <c r="Z395">
        <f>IF(A395&lt;Y395,"Yes","No")</f>
        <v/>
      </c>
    </row>
    <row r="396">
      <c r="A396" t="n">
        <v>2017</v>
      </c>
      <c r="B396" t="inlineStr">
        <is>
          <t>Q2</t>
        </is>
      </c>
      <c r="C396" t="inlineStr">
        <is>
          <t>North America</t>
        </is>
      </c>
      <c r="D396" t="inlineStr">
        <is>
          <t>Semi</t>
        </is>
      </c>
      <c r="E396" t="n">
        <v>416</v>
      </c>
      <c r="F396" t="n">
        <v>55153.53</v>
      </c>
      <c r="G396" t="n">
        <v>12</v>
      </c>
      <c r="H396" t="inlineStr">
        <is>
          <t>Standard</t>
        </is>
      </c>
      <c r="I396" t="inlineStr">
        <is>
          <t>RWD</t>
        </is>
      </c>
      <c r="J396" t="inlineStr">
        <is>
          <t>Black</t>
        </is>
      </c>
      <c r="K396" t="n">
        <v>418</v>
      </c>
      <c r="L396" t="n">
        <v>68</v>
      </c>
      <c r="M396" t="n">
        <v>19.62</v>
      </c>
      <c r="N396" t="n">
        <v>700.36</v>
      </c>
      <c r="O396" t="n">
        <v>3.92</v>
      </c>
      <c r="P396" t="n">
        <v>8</v>
      </c>
      <c r="Q396" t="n">
        <v>0</v>
      </c>
      <c r="R396" t="n">
        <v>2024.5</v>
      </c>
      <c r="S396" t="b">
        <v>0</v>
      </c>
      <c r="T396" t="n">
        <v>3302622</v>
      </c>
      <c r="U396" t="n">
        <v>12</v>
      </c>
      <c r="V396" t="n">
        <v>0.09130000000000001</v>
      </c>
      <c r="W396" t="n">
        <v>1.3</v>
      </c>
      <c r="X396" t="n">
        <v>62.5</v>
      </c>
      <c r="Y396">
        <f>VLOOKUP(D396,$AB$2:$AC$7,2,FALSE)</f>
        <v/>
      </c>
      <c r="Z396">
        <f>IF(A396&lt;Y396,"Yes","No")</f>
        <v/>
      </c>
    </row>
    <row r="397">
      <c r="A397" t="n">
        <v>2016</v>
      </c>
      <c r="B397" t="inlineStr">
        <is>
          <t>Q4</t>
        </is>
      </c>
      <c r="C397" t="inlineStr">
        <is>
          <t>Europe</t>
        </is>
      </c>
      <c r="D397" t="inlineStr">
        <is>
          <t>Cybertruck</t>
        </is>
      </c>
      <c r="E397" t="n">
        <v>1719</v>
      </c>
      <c r="F397" t="n">
        <v>40997.43</v>
      </c>
      <c r="G397" t="n">
        <v>46</v>
      </c>
      <c r="H397" t="inlineStr">
        <is>
          <t>Long Range</t>
        </is>
      </c>
      <c r="I397" t="inlineStr">
        <is>
          <t>AWD</t>
        </is>
      </c>
      <c r="J397" t="inlineStr">
        <is>
          <t>Green</t>
        </is>
      </c>
      <c r="K397" t="n">
        <v>540</v>
      </c>
      <c r="L397" t="n">
        <v>66</v>
      </c>
      <c r="M397" t="n">
        <v>20.89</v>
      </c>
      <c r="N397" t="n">
        <v>3680.41</v>
      </c>
      <c r="O397" t="n">
        <v>4.41</v>
      </c>
      <c r="P397" t="n">
        <v>8</v>
      </c>
      <c r="Q397" t="n">
        <v>1</v>
      </c>
      <c r="R397" t="n">
        <v>2022.7</v>
      </c>
      <c r="S397" t="b">
        <v>0</v>
      </c>
      <c r="T397" t="n">
        <v>317347</v>
      </c>
      <c r="U397" t="n">
        <v>11</v>
      </c>
      <c r="V397" t="n">
        <v>0.0323</v>
      </c>
      <c r="W397" t="n">
        <v>1.04</v>
      </c>
      <c r="X397" t="n">
        <v>75.94</v>
      </c>
      <c r="Y397">
        <f>VLOOKUP(D397,$AB$2:$AC$7,2,FALSE)</f>
        <v/>
      </c>
      <c r="Z397">
        <f>IF(A397&lt;Y397,"Yes","No")</f>
        <v/>
      </c>
    </row>
    <row r="398">
      <c r="A398" t="n">
        <v>2022</v>
      </c>
      <c r="B398" t="inlineStr">
        <is>
          <t>Q4</t>
        </is>
      </c>
      <c r="C398" t="inlineStr">
        <is>
          <t>North America</t>
        </is>
      </c>
      <c r="D398" t="inlineStr">
        <is>
          <t>Model X</t>
        </is>
      </c>
      <c r="E398" t="n">
        <v>778</v>
      </c>
      <c r="F398" t="n">
        <v>65839.66</v>
      </c>
      <c r="G398" t="n">
        <v>21</v>
      </c>
      <c r="H398" t="inlineStr">
        <is>
          <t>Long Range</t>
        </is>
      </c>
      <c r="I398" t="inlineStr">
        <is>
          <t>AWD</t>
        </is>
      </c>
      <c r="J398" t="inlineStr">
        <is>
          <t>Black</t>
        </is>
      </c>
      <c r="K398" t="n">
        <v>490</v>
      </c>
      <c r="L398" t="n">
        <v>30</v>
      </c>
      <c r="M398" t="n">
        <v>14.18</v>
      </c>
      <c r="N398" t="n">
        <v>1913.08</v>
      </c>
      <c r="O398" t="n">
        <v>3.83</v>
      </c>
      <c r="P398" t="n">
        <v>4</v>
      </c>
      <c r="Q398" t="n">
        <v>0</v>
      </c>
      <c r="R398" t="n">
        <v>2021.9</v>
      </c>
      <c r="S398" t="b">
        <v>0</v>
      </c>
      <c r="T398" t="n">
        <v>4207218</v>
      </c>
      <c r="U398" t="n">
        <v>3</v>
      </c>
      <c r="V398" t="n">
        <v>0.0576</v>
      </c>
      <c r="W398" t="n">
        <v>1.9</v>
      </c>
      <c r="X398" t="n">
        <v>85.95999999999999</v>
      </c>
      <c r="Y398">
        <f>VLOOKUP(D398,$AB$2:$AC$7,2,FALSE)</f>
        <v/>
      </c>
      <c r="Z398">
        <f>IF(A398&lt;Y398,"Yes","No")</f>
        <v/>
      </c>
    </row>
    <row r="399">
      <c r="A399" t="n">
        <v>2020</v>
      </c>
      <c r="B399" t="inlineStr">
        <is>
          <t>Q3</t>
        </is>
      </c>
      <c r="C399" t="inlineStr">
        <is>
          <t>South America</t>
        </is>
      </c>
      <c r="D399" t="inlineStr">
        <is>
          <t>Model S</t>
        </is>
      </c>
      <c r="E399" t="n">
        <v>442</v>
      </c>
      <c r="F399" t="n">
        <v>49513.53</v>
      </c>
      <c r="G399" t="n">
        <v>60</v>
      </c>
      <c r="H399" t="inlineStr">
        <is>
          <t>Long Range</t>
        </is>
      </c>
      <c r="I399" t="inlineStr">
        <is>
          <t>AWD</t>
        </is>
      </c>
      <c r="J399" t="inlineStr">
        <is>
          <t>White</t>
        </is>
      </c>
      <c r="K399" t="n">
        <v>697</v>
      </c>
      <c r="L399" t="n">
        <v>80</v>
      </c>
      <c r="M399" t="n">
        <v>19.38</v>
      </c>
      <c r="N399" t="n">
        <v>746.64</v>
      </c>
      <c r="O399" t="n">
        <v>4.77</v>
      </c>
      <c r="P399" t="n">
        <v>8</v>
      </c>
      <c r="Q399" t="n">
        <v>1</v>
      </c>
      <c r="R399" t="n">
        <v>2022.1</v>
      </c>
      <c r="S399" t="b">
        <v>1</v>
      </c>
      <c r="T399" t="n">
        <v>1160054</v>
      </c>
      <c r="U399" t="n">
        <v>4</v>
      </c>
      <c r="V399" t="n">
        <v>0.0441</v>
      </c>
      <c r="W399" t="n">
        <v>1.97</v>
      </c>
      <c r="X399" t="n">
        <v>61.59</v>
      </c>
      <c r="Y399">
        <f>VLOOKUP(D399,$AB$2:$AC$7,2,FALSE)</f>
        <v/>
      </c>
      <c r="Z399">
        <f>IF(A399&lt;Y399,"Yes","No")</f>
        <v/>
      </c>
    </row>
    <row r="400">
      <c r="A400" t="n">
        <v>2023</v>
      </c>
      <c r="B400" t="inlineStr">
        <is>
          <t>Q3</t>
        </is>
      </c>
      <c r="C400" t="inlineStr">
        <is>
          <t>Europe</t>
        </is>
      </c>
      <c r="D400" t="inlineStr">
        <is>
          <t>Semi</t>
        </is>
      </c>
      <c r="E400" t="n">
        <v>3476</v>
      </c>
      <c r="F400" t="n">
        <v>95076.87</v>
      </c>
      <c r="G400" t="n">
        <v>11</v>
      </c>
      <c r="H400" t="inlineStr">
        <is>
          <t>Long Range</t>
        </is>
      </c>
      <c r="I400" t="inlineStr">
        <is>
          <t>RWD</t>
        </is>
      </c>
      <c r="J400" t="inlineStr">
        <is>
          <t>Blue</t>
        </is>
      </c>
      <c r="K400" t="n">
        <v>607</v>
      </c>
      <c r="L400" t="n">
        <v>48</v>
      </c>
      <c r="M400" t="n">
        <v>16.31</v>
      </c>
      <c r="N400" t="n">
        <v>4711.82</v>
      </c>
      <c r="O400" t="n">
        <v>4.91</v>
      </c>
      <c r="P400" t="n">
        <v>5</v>
      </c>
      <c r="Q400" t="n">
        <v>2</v>
      </c>
      <c r="R400" t="n">
        <v>2020.5</v>
      </c>
      <c r="S400" t="b">
        <v>0</v>
      </c>
      <c r="T400" t="n">
        <v>2723427</v>
      </c>
      <c r="U400" t="n">
        <v>3</v>
      </c>
      <c r="V400" t="n">
        <v>0.06710000000000001</v>
      </c>
      <c r="W400" t="n">
        <v>0.65</v>
      </c>
      <c r="X400" t="n">
        <v>67.2</v>
      </c>
      <c r="Y400">
        <f>VLOOKUP(D400,$AB$2:$AC$7,2,FALSE)</f>
        <v/>
      </c>
      <c r="Z400">
        <f>IF(A400&lt;Y400,"Yes","No")</f>
        <v/>
      </c>
    </row>
    <row r="401">
      <c r="A401" t="n">
        <v>2013</v>
      </c>
      <c r="B401" t="inlineStr">
        <is>
          <t>Q2</t>
        </is>
      </c>
      <c r="C401" t="inlineStr">
        <is>
          <t>South America</t>
        </is>
      </c>
      <c r="D401" t="inlineStr">
        <is>
          <t>Model S</t>
        </is>
      </c>
      <c r="E401" t="n">
        <v>742</v>
      </c>
      <c r="F401" t="n">
        <v>98189.8</v>
      </c>
      <c r="G401" t="n">
        <v>35</v>
      </c>
      <c r="H401" t="inlineStr">
        <is>
          <t>Long Range</t>
        </is>
      </c>
      <c r="I401" t="inlineStr">
        <is>
          <t>AWD</t>
        </is>
      </c>
      <c r="J401" t="inlineStr">
        <is>
          <t>Blue</t>
        </is>
      </c>
      <c r="K401" t="n">
        <v>696</v>
      </c>
      <c r="L401" t="n">
        <v>62</v>
      </c>
      <c r="M401" t="n">
        <v>24.19</v>
      </c>
      <c r="N401" t="n">
        <v>573.46</v>
      </c>
      <c r="O401" t="n">
        <v>4.25</v>
      </c>
      <c r="P401" t="n">
        <v>4</v>
      </c>
      <c r="Q401" t="n">
        <v>3</v>
      </c>
      <c r="R401" t="n">
        <v>2020.1</v>
      </c>
      <c r="S401" t="b">
        <v>1</v>
      </c>
      <c r="T401" t="n">
        <v>161155</v>
      </c>
      <c r="U401" t="n">
        <v>8</v>
      </c>
      <c r="V401" t="n">
        <v>0.0732</v>
      </c>
      <c r="W401" t="n">
        <v>2</v>
      </c>
      <c r="X401" t="n">
        <v>67.33</v>
      </c>
      <c r="Y401">
        <f>VLOOKUP(D401,$AB$2:$AC$7,2,FALSE)</f>
        <v/>
      </c>
      <c r="Z401">
        <f>IF(A401&lt;Y401,"Yes","No")</f>
        <v/>
      </c>
    </row>
    <row r="402">
      <c r="A402" t="n">
        <v>2023</v>
      </c>
      <c r="B402" t="inlineStr">
        <is>
          <t>Q1</t>
        </is>
      </c>
      <c r="C402" t="inlineStr">
        <is>
          <t>South America</t>
        </is>
      </c>
      <c r="D402" t="inlineStr">
        <is>
          <t>Model Y</t>
        </is>
      </c>
      <c r="E402" t="n">
        <v>1430</v>
      </c>
      <c r="F402" t="n">
        <v>92334.38</v>
      </c>
      <c r="G402" t="n">
        <v>56</v>
      </c>
      <c r="H402" t="inlineStr">
        <is>
          <t>Performance</t>
        </is>
      </c>
      <c r="I402" t="inlineStr">
        <is>
          <t>AWD</t>
        </is>
      </c>
      <c r="J402" t="inlineStr">
        <is>
          <t>Black</t>
        </is>
      </c>
      <c r="K402" t="n">
        <v>388</v>
      </c>
      <c r="L402" t="n">
        <v>53</v>
      </c>
      <c r="M402" t="n">
        <v>23.07</v>
      </c>
      <c r="N402" t="n">
        <v>2184.14</v>
      </c>
      <c r="O402" t="n">
        <v>4.93</v>
      </c>
      <c r="P402" t="n">
        <v>8</v>
      </c>
      <c r="Q402" t="n">
        <v>3</v>
      </c>
      <c r="R402" t="n">
        <v>2023.3</v>
      </c>
      <c r="S402" t="b">
        <v>0</v>
      </c>
      <c r="T402" t="n">
        <v>1049871</v>
      </c>
      <c r="U402" t="n">
        <v>7</v>
      </c>
      <c r="V402" t="n">
        <v>0.09229999999999999</v>
      </c>
      <c r="W402" t="n">
        <v>1</v>
      </c>
      <c r="X402" t="n">
        <v>76.17</v>
      </c>
      <c r="Y402">
        <f>VLOOKUP(D402,$AB$2:$AC$7,2,FALSE)</f>
        <v/>
      </c>
      <c r="Z402">
        <f>IF(A402&lt;Y402,"Yes","No")</f>
        <v/>
      </c>
    </row>
    <row r="403">
      <c r="A403" t="n">
        <v>2024</v>
      </c>
      <c r="B403" t="inlineStr">
        <is>
          <t>Q1</t>
        </is>
      </c>
      <c r="C403" t="inlineStr">
        <is>
          <t>Asia</t>
        </is>
      </c>
      <c r="D403" t="inlineStr">
        <is>
          <t>Model X</t>
        </is>
      </c>
      <c r="E403" t="n">
        <v>4007</v>
      </c>
      <c r="F403" t="n">
        <v>59951.33</v>
      </c>
      <c r="G403" t="n">
        <v>13</v>
      </c>
      <c r="H403" t="inlineStr">
        <is>
          <t>Standard</t>
        </is>
      </c>
      <c r="I403" t="inlineStr">
        <is>
          <t>RWD</t>
        </is>
      </c>
      <c r="J403" t="inlineStr">
        <is>
          <t>Black</t>
        </is>
      </c>
      <c r="K403" t="n">
        <v>506</v>
      </c>
      <c r="L403" t="n">
        <v>89</v>
      </c>
      <c r="M403" t="n">
        <v>24.2</v>
      </c>
      <c r="N403" t="n">
        <v>7156.29</v>
      </c>
      <c r="O403" t="n">
        <v>4.74</v>
      </c>
      <c r="P403" t="n">
        <v>4</v>
      </c>
      <c r="Q403" t="n">
        <v>3</v>
      </c>
      <c r="R403" t="n">
        <v>2024.8</v>
      </c>
      <c r="S403" t="b">
        <v>1</v>
      </c>
      <c r="T403" t="n">
        <v>3084197</v>
      </c>
      <c r="U403" t="n">
        <v>2</v>
      </c>
      <c r="V403" t="n">
        <v>0.0654</v>
      </c>
      <c r="W403" t="n">
        <v>1.16</v>
      </c>
      <c r="X403" t="n">
        <v>70.62</v>
      </c>
      <c r="Y403">
        <f>VLOOKUP(D403,$AB$2:$AC$7,2,FALSE)</f>
        <v/>
      </c>
      <c r="Z403">
        <f>IF(A403&lt;Y403,"Yes","No")</f>
        <v/>
      </c>
    </row>
    <row r="404">
      <c r="A404" t="n">
        <v>2012</v>
      </c>
      <c r="B404" t="inlineStr">
        <is>
          <t>Q3</t>
        </is>
      </c>
      <c r="C404" t="inlineStr">
        <is>
          <t>Europe</t>
        </is>
      </c>
      <c r="D404" t="inlineStr">
        <is>
          <t>Model Y</t>
        </is>
      </c>
      <c r="E404" t="n">
        <v>2954</v>
      </c>
      <c r="F404" t="n">
        <v>35753.42</v>
      </c>
      <c r="G404" t="n">
        <v>27</v>
      </c>
      <c r="H404" t="inlineStr">
        <is>
          <t>Long Range</t>
        </is>
      </c>
      <c r="I404" t="inlineStr">
        <is>
          <t>AWD</t>
        </is>
      </c>
      <c r="J404" t="inlineStr">
        <is>
          <t>Red</t>
        </is>
      </c>
      <c r="K404" t="n">
        <v>620</v>
      </c>
      <c r="L404" t="n">
        <v>62</v>
      </c>
      <c r="M404" t="n">
        <v>23.78</v>
      </c>
      <c r="N404" t="n">
        <v>3903.53</v>
      </c>
      <c r="O404" t="n">
        <v>4.87</v>
      </c>
      <c r="P404" t="n">
        <v>4</v>
      </c>
      <c r="Q404" t="n">
        <v>1</v>
      </c>
      <c r="R404" t="n">
        <v>2022.4</v>
      </c>
      <c r="S404" t="b">
        <v>0</v>
      </c>
      <c r="T404" t="n">
        <v>3416510</v>
      </c>
      <c r="U404" t="n">
        <v>7</v>
      </c>
      <c r="V404" t="n">
        <v>0.0369</v>
      </c>
      <c r="W404" t="n">
        <v>1.36</v>
      </c>
      <c r="X404" t="n">
        <v>65.47</v>
      </c>
      <c r="Y404">
        <f>VLOOKUP(D404,$AB$2:$AC$7,2,FALSE)</f>
        <v/>
      </c>
      <c r="Z404">
        <f>IF(A404&lt;Y404,"Yes","No")</f>
        <v/>
      </c>
    </row>
    <row r="405">
      <c r="A405" t="n">
        <v>2024</v>
      </c>
      <c r="B405" t="inlineStr">
        <is>
          <t>Q3</t>
        </is>
      </c>
      <c r="C405" t="inlineStr">
        <is>
          <t>North America</t>
        </is>
      </c>
      <c r="D405" t="inlineStr">
        <is>
          <t>Model Y</t>
        </is>
      </c>
      <c r="E405" t="n">
        <v>3649</v>
      </c>
      <c r="F405" t="n">
        <v>48755.92</v>
      </c>
      <c r="G405" t="n">
        <v>22</v>
      </c>
      <c r="H405" t="inlineStr">
        <is>
          <t>Performance</t>
        </is>
      </c>
      <c r="I405" t="inlineStr">
        <is>
          <t>RWD</t>
        </is>
      </c>
      <c r="J405" t="inlineStr">
        <is>
          <t>Red</t>
        </is>
      </c>
      <c r="K405" t="n">
        <v>533</v>
      </c>
      <c r="L405" t="n">
        <v>86</v>
      </c>
      <c r="M405" t="n">
        <v>23.45</v>
      </c>
      <c r="N405" t="n">
        <v>3272.89</v>
      </c>
      <c r="O405" t="n">
        <v>3.78</v>
      </c>
      <c r="P405" t="n">
        <v>4</v>
      </c>
      <c r="Q405" t="n">
        <v>1</v>
      </c>
      <c r="R405" t="n">
        <v>2023.7</v>
      </c>
      <c r="S405" t="b">
        <v>0</v>
      </c>
      <c r="T405" t="n">
        <v>365134</v>
      </c>
      <c r="U405" t="n">
        <v>4</v>
      </c>
      <c r="V405" t="n">
        <v>0.07000000000000001</v>
      </c>
      <c r="W405" t="n">
        <v>2.4</v>
      </c>
      <c r="X405" t="n">
        <v>88.79000000000001</v>
      </c>
      <c r="Y405">
        <f>VLOOKUP(D405,$AB$2:$AC$7,2,FALSE)</f>
        <v/>
      </c>
      <c r="Z405">
        <f>IF(A405&lt;Y405,"Yes","No")</f>
        <v/>
      </c>
    </row>
    <row r="406">
      <c r="A406" t="n">
        <v>2016</v>
      </c>
      <c r="B406" t="inlineStr">
        <is>
          <t>Q1</t>
        </is>
      </c>
      <c r="C406" t="inlineStr">
        <is>
          <t>Australia</t>
        </is>
      </c>
      <c r="D406" t="inlineStr">
        <is>
          <t>Model Y</t>
        </is>
      </c>
      <c r="E406" t="n">
        <v>4556</v>
      </c>
      <c r="F406" t="n">
        <v>77123.25</v>
      </c>
      <c r="G406" t="n">
        <v>43</v>
      </c>
      <c r="H406" t="inlineStr">
        <is>
          <t>Performance</t>
        </is>
      </c>
      <c r="I406" t="inlineStr">
        <is>
          <t>AWD</t>
        </is>
      </c>
      <c r="J406" t="inlineStr">
        <is>
          <t>White</t>
        </is>
      </c>
      <c r="K406" t="n">
        <v>554</v>
      </c>
      <c r="L406" t="n">
        <v>62</v>
      </c>
      <c r="M406" t="n">
        <v>21.71</v>
      </c>
      <c r="N406" t="n">
        <v>9038.129999999999</v>
      </c>
      <c r="O406" t="n">
        <v>4.74</v>
      </c>
      <c r="P406" t="n">
        <v>5</v>
      </c>
      <c r="Q406" t="n">
        <v>0</v>
      </c>
      <c r="R406" t="n">
        <v>2020.1</v>
      </c>
      <c r="S406" t="b">
        <v>1</v>
      </c>
      <c r="T406" t="n">
        <v>1404780</v>
      </c>
      <c r="U406" t="n">
        <v>7</v>
      </c>
      <c r="V406" t="n">
        <v>0.055</v>
      </c>
      <c r="W406" t="n">
        <v>2.03</v>
      </c>
      <c r="X406" t="n">
        <v>67.09999999999999</v>
      </c>
      <c r="Y406">
        <f>VLOOKUP(D406,$AB$2:$AC$7,2,FALSE)</f>
        <v/>
      </c>
      <c r="Z406">
        <f>IF(A406&lt;Y406,"Yes","No")</f>
        <v/>
      </c>
    </row>
    <row r="407">
      <c r="A407" t="n">
        <v>2022</v>
      </c>
      <c r="B407" t="inlineStr">
        <is>
          <t>Q3</t>
        </is>
      </c>
      <c r="C407" t="inlineStr">
        <is>
          <t>Australia</t>
        </is>
      </c>
      <c r="D407" t="inlineStr">
        <is>
          <t>Cybertruck</t>
        </is>
      </c>
      <c r="E407" t="n">
        <v>115</v>
      </c>
      <c r="F407" t="n">
        <v>71917.92</v>
      </c>
      <c r="G407" t="n">
        <v>18</v>
      </c>
      <c r="H407" t="inlineStr">
        <is>
          <t>Long Range</t>
        </is>
      </c>
      <c r="I407" t="inlineStr">
        <is>
          <t>RWD</t>
        </is>
      </c>
      <c r="J407" t="inlineStr">
        <is>
          <t>Red</t>
        </is>
      </c>
      <c r="K407" t="n">
        <v>569</v>
      </c>
      <c r="L407" t="n">
        <v>45</v>
      </c>
      <c r="M407" t="n">
        <v>20.41</v>
      </c>
      <c r="N407" t="n">
        <v>225.23</v>
      </c>
      <c r="O407" t="n">
        <v>3.78</v>
      </c>
      <c r="P407" t="n">
        <v>6</v>
      </c>
      <c r="Q407" t="n">
        <v>0</v>
      </c>
      <c r="R407" t="n">
        <v>2022.12</v>
      </c>
      <c r="S407" t="b">
        <v>1</v>
      </c>
      <c r="T407" t="n">
        <v>3700046</v>
      </c>
      <c r="U407" t="n">
        <v>5</v>
      </c>
      <c r="V407" t="n">
        <v>0.0527</v>
      </c>
      <c r="W407" t="n">
        <v>2.07</v>
      </c>
      <c r="X407" t="n">
        <v>63.09</v>
      </c>
      <c r="Y407">
        <f>VLOOKUP(D407,$AB$2:$AC$7,2,FALSE)</f>
        <v/>
      </c>
      <c r="Z407">
        <f>IF(A407&lt;Y407,"Yes","No")</f>
        <v/>
      </c>
    </row>
    <row r="408">
      <c r="A408" t="n">
        <v>2023</v>
      </c>
      <c r="B408" t="inlineStr">
        <is>
          <t>Q2</t>
        </is>
      </c>
      <c r="C408" t="inlineStr">
        <is>
          <t>Europe</t>
        </is>
      </c>
      <c r="D408" t="inlineStr">
        <is>
          <t>Cybertruck</t>
        </is>
      </c>
      <c r="E408" t="n">
        <v>1268</v>
      </c>
      <c r="F408" t="n">
        <v>54497.66</v>
      </c>
      <c r="G408" t="n">
        <v>8</v>
      </c>
      <c r="H408" t="inlineStr">
        <is>
          <t>Long Range</t>
        </is>
      </c>
      <c r="I408" t="inlineStr">
        <is>
          <t>AWD</t>
        </is>
      </c>
      <c r="J408" t="inlineStr">
        <is>
          <t>White</t>
        </is>
      </c>
      <c r="K408" t="n">
        <v>448</v>
      </c>
      <c r="L408" t="n">
        <v>89</v>
      </c>
      <c r="M408" t="n">
        <v>14.75</v>
      </c>
      <c r="N408" t="n">
        <v>678.79</v>
      </c>
      <c r="O408" t="n">
        <v>3.8</v>
      </c>
      <c r="P408" t="n">
        <v>4</v>
      </c>
      <c r="Q408" t="n">
        <v>3</v>
      </c>
      <c r="R408" t="n">
        <v>2023.9</v>
      </c>
      <c r="S408" t="b">
        <v>0</v>
      </c>
      <c r="T408" t="n">
        <v>2041355</v>
      </c>
      <c r="U408" t="n">
        <v>5</v>
      </c>
      <c r="V408" t="n">
        <v>0.0403</v>
      </c>
      <c r="W408" t="n">
        <v>1.46</v>
      </c>
      <c r="X408" t="n">
        <v>75.3</v>
      </c>
      <c r="Y408">
        <f>VLOOKUP(D408,$AB$2:$AC$7,2,FALSE)</f>
        <v/>
      </c>
      <c r="Z408">
        <f>IF(A408&lt;Y408,"Yes","No")</f>
        <v/>
      </c>
    </row>
    <row r="409">
      <c r="A409" t="n">
        <v>2022</v>
      </c>
      <c r="B409" t="inlineStr">
        <is>
          <t>Q1</t>
        </is>
      </c>
      <c r="C409" t="inlineStr">
        <is>
          <t>Asia</t>
        </is>
      </c>
      <c r="D409" t="inlineStr">
        <is>
          <t>Model S</t>
        </is>
      </c>
      <c r="E409" t="n">
        <v>2255</v>
      </c>
      <c r="F409" t="n">
        <v>65903.97</v>
      </c>
      <c r="G409" t="n">
        <v>60</v>
      </c>
      <c r="H409" t="inlineStr">
        <is>
          <t>Long Range</t>
        </is>
      </c>
      <c r="I409" t="inlineStr">
        <is>
          <t>RWD</t>
        </is>
      </c>
      <c r="J409" t="inlineStr">
        <is>
          <t>Black</t>
        </is>
      </c>
      <c r="K409" t="n">
        <v>513</v>
      </c>
      <c r="L409" t="n">
        <v>87</v>
      </c>
      <c r="M409" t="n">
        <v>13.57</v>
      </c>
      <c r="N409" t="n">
        <v>1311.91</v>
      </c>
      <c r="O409" t="n">
        <v>3.58</v>
      </c>
      <c r="P409" t="n">
        <v>6</v>
      </c>
      <c r="Q409" t="n">
        <v>1</v>
      </c>
      <c r="R409" t="n">
        <v>2022.8</v>
      </c>
      <c r="S409" t="b">
        <v>0</v>
      </c>
      <c r="T409" t="n">
        <v>945250</v>
      </c>
      <c r="U409" t="n">
        <v>8</v>
      </c>
      <c r="V409" t="n">
        <v>0.0266</v>
      </c>
      <c r="W409" t="n">
        <v>2.4</v>
      </c>
      <c r="X409" t="n">
        <v>70.91</v>
      </c>
      <c r="Y409">
        <f>VLOOKUP(D409,$AB$2:$AC$7,2,FALSE)</f>
        <v/>
      </c>
      <c r="Z409">
        <f>IF(A409&lt;Y409,"Yes","No")</f>
        <v/>
      </c>
    </row>
    <row r="410">
      <c r="A410" t="n">
        <v>2016</v>
      </c>
      <c r="B410" t="inlineStr">
        <is>
          <t>Q1</t>
        </is>
      </c>
      <c r="C410" t="inlineStr">
        <is>
          <t>North America</t>
        </is>
      </c>
      <c r="D410" t="inlineStr">
        <is>
          <t>Semi</t>
        </is>
      </c>
      <c r="E410" t="n">
        <v>161</v>
      </c>
      <c r="F410" t="n">
        <v>93051.73</v>
      </c>
      <c r="G410" t="n">
        <v>49</v>
      </c>
      <c r="H410" t="inlineStr">
        <is>
          <t>Standard</t>
        </is>
      </c>
      <c r="I410" t="inlineStr">
        <is>
          <t>RWD</t>
        </is>
      </c>
      <c r="J410" t="inlineStr">
        <is>
          <t>White</t>
        </is>
      </c>
      <c r="K410" t="n">
        <v>535</v>
      </c>
      <c r="L410" t="n">
        <v>77</v>
      </c>
      <c r="M410" t="n">
        <v>22.35</v>
      </c>
      <c r="N410" t="n">
        <v>250.79</v>
      </c>
      <c r="O410" t="n">
        <v>4.06</v>
      </c>
      <c r="P410" t="n">
        <v>6</v>
      </c>
      <c r="Q410" t="n">
        <v>1</v>
      </c>
      <c r="R410" t="n">
        <v>2024.7</v>
      </c>
      <c r="S410" t="b">
        <v>1</v>
      </c>
      <c r="T410" t="n">
        <v>992258</v>
      </c>
      <c r="U410" t="n">
        <v>4</v>
      </c>
      <c r="V410" t="n">
        <v>0.0667</v>
      </c>
      <c r="W410" t="n">
        <v>1.7</v>
      </c>
      <c r="X410" t="n">
        <v>61.23</v>
      </c>
      <c r="Y410">
        <f>VLOOKUP(D410,$AB$2:$AC$7,2,FALSE)</f>
        <v/>
      </c>
      <c r="Z410">
        <f>IF(A410&lt;Y410,"Yes","No")</f>
        <v/>
      </c>
    </row>
    <row r="411">
      <c r="A411" t="n">
        <v>2022</v>
      </c>
      <c r="B411" t="inlineStr">
        <is>
          <t>Q2</t>
        </is>
      </c>
      <c r="C411" t="inlineStr">
        <is>
          <t>Europe</t>
        </is>
      </c>
      <c r="D411" t="inlineStr">
        <is>
          <t>Semi</t>
        </is>
      </c>
      <c r="E411" t="n">
        <v>3701</v>
      </c>
      <c r="F411" t="n">
        <v>113667.55</v>
      </c>
      <c r="G411" t="n">
        <v>4</v>
      </c>
      <c r="H411" t="inlineStr">
        <is>
          <t>Performance</t>
        </is>
      </c>
      <c r="I411" t="inlineStr">
        <is>
          <t>RWD</t>
        </is>
      </c>
      <c r="J411" t="inlineStr">
        <is>
          <t>White</t>
        </is>
      </c>
      <c r="K411" t="n">
        <v>592</v>
      </c>
      <c r="L411" t="n">
        <v>78</v>
      </c>
      <c r="M411" t="n">
        <v>15.42</v>
      </c>
      <c r="N411" t="n">
        <v>7185.64</v>
      </c>
      <c r="O411" t="n">
        <v>3.57</v>
      </c>
      <c r="P411" t="n">
        <v>5</v>
      </c>
      <c r="Q411" t="n">
        <v>3</v>
      </c>
      <c r="R411" t="n">
        <v>2024.12</v>
      </c>
      <c r="S411" t="b">
        <v>0</v>
      </c>
      <c r="T411" t="n">
        <v>4800523</v>
      </c>
      <c r="U411" t="n">
        <v>7</v>
      </c>
      <c r="V411" t="n">
        <v>0.0905</v>
      </c>
      <c r="W411" t="n">
        <v>1.4</v>
      </c>
      <c r="X411" t="n">
        <v>81.52</v>
      </c>
      <c r="Y411">
        <f>VLOOKUP(D411,$AB$2:$AC$7,2,FALSE)</f>
        <v/>
      </c>
      <c r="Z411">
        <f>IF(A411&lt;Y411,"Yes","No")</f>
        <v/>
      </c>
    </row>
    <row r="412">
      <c r="A412" t="n">
        <v>2018</v>
      </c>
      <c r="B412" t="inlineStr">
        <is>
          <t>Q1</t>
        </is>
      </c>
      <c r="C412" t="inlineStr">
        <is>
          <t>Australia</t>
        </is>
      </c>
      <c r="D412" t="inlineStr">
        <is>
          <t>Model Y</t>
        </is>
      </c>
      <c r="E412" t="n">
        <v>4340</v>
      </c>
      <c r="F412" t="n">
        <v>114163.25</v>
      </c>
      <c r="G412" t="n">
        <v>32</v>
      </c>
      <c r="H412" t="inlineStr">
        <is>
          <t>Standard</t>
        </is>
      </c>
      <c r="I412" t="inlineStr">
        <is>
          <t>AWD</t>
        </is>
      </c>
      <c r="J412" t="inlineStr">
        <is>
          <t>Silver</t>
        </is>
      </c>
      <c r="K412" t="n">
        <v>490</v>
      </c>
      <c r="L412" t="n">
        <v>74</v>
      </c>
      <c r="M412" t="n">
        <v>24.61</v>
      </c>
      <c r="N412" t="n">
        <v>4684.22</v>
      </c>
      <c r="O412" t="n">
        <v>4.93</v>
      </c>
      <c r="P412" t="n">
        <v>4</v>
      </c>
      <c r="Q412" t="n">
        <v>1</v>
      </c>
      <c r="R412" t="n">
        <v>2023.8</v>
      </c>
      <c r="S412" t="b">
        <v>1</v>
      </c>
      <c r="T412" t="n">
        <v>1488467</v>
      </c>
      <c r="U412" t="n">
        <v>9</v>
      </c>
      <c r="V412" t="n">
        <v>0.0776</v>
      </c>
      <c r="W412" t="n">
        <v>1.27</v>
      </c>
      <c r="X412" t="n">
        <v>83.38</v>
      </c>
      <c r="Y412">
        <f>VLOOKUP(D412,$AB$2:$AC$7,2,FALSE)</f>
        <v/>
      </c>
      <c r="Z412">
        <f>IF(A412&lt;Y412,"Yes","No")</f>
        <v/>
      </c>
    </row>
    <row r="413">
      <c r="A413" t="n">
        <v>2018</v>
      </c>
      <c r="B413" t="inlineStr">
        <is>
          <t>Q3</t>
        </is>
      </c>
      <c r="C413" t="inlineStr">
        <is>
          <t>Europe</t>
        </is>
      </c>
      <c r="D413" t="inlineStr">
        <is>
          <t>Model 3</t>
        </is>
      </c>
      <c r="E413" t="n">
        <v>79</v>
      </c>
      <c r="F413" t="n">
        <v>48600.26</v>
      </c>
      <c r="G413" t="n">
        <v>13</v>
      </c>
      <c r="H413" t="inlineStr">
        <is>
          <t>Performance</t>
        </is>
      </c>
      <c r="I413" t="inlineStr">
        <is>
          <t>AWD</t>
        </is>
      </c>
      <c r="J413" t="inlineStr">
        <is>
          <t>Silver</t>
        </is>
      </c>
      <c r="K413" t="n">
        <v>583</v>
      </c>
      <c r="L413" t="n">
        <v>62</v>
      </c>
      <c r="M413" t="n">
        <v>21.49</v>
      </c>
      <c r="N413" t="n">
        <v>122.46</v>
      </c>
      <c r="O413" t="n">
        <v>3.96</v>
      </c>
      <c r="P413" t="n">
        <v>5</v>
      </c>
      <c r="Q413" t="n">
        <v>2</v>
      </c>
      <c r="R413" t="n">
        <v>2022.9</v>
      </c>
      <c r="S413" t="b">
        <v>1</v>
      </c>
      <c r="T413" t="n">
        <v>1535367</v>
      </c>
      <c r="U413" t="n">
        <v>5</v>
      </c>
      <c r="V413" t="n">
        <v>0.0141</v>
      </c>
      <c r="W413" t="n">
        <v>0.98</v>
      </c>
      <c r="X413" t="n">
        <v>61.17</v>
      </c>
      <c r="Y413">
        <f>VLOOKUP(D413,$AB$2:$AC$7,2,FALSE)</f>
        <v/>
      </c>
      <c r="Z413">
        <f>IF(A413&lt;Y413,"Yes","No")</f>
        <v/>
      </c>
    </row>
    <row r="414">
      <c r="A414" t="n">
        <v>2014</v>
      </c>
      <c r="B414" t="inlineStr">
        <is>
          <t>Q3</t>
        </is>
      </c>
      <c r="C414" t="inlineStr">
        <is>
          <t>Europe</t>
        </is>
      </c>
      <c r="D414" t="inlineStr">
        <is>
          <t>Model X</t>
        </is>
      </c>
      <c r="E414" t="n">
        <v>472</v>
      </c>
      <c r="F414" t="n">
        <v>89605.12</v>
      </c>
      <c r="G414" t="n">
        <v>15</v>
      </c>
      <c r="H414" t="inlineStr">
        <is>
          <t>Standard</t>
        </is>
      </c>
      <c r="I414" t="inlineStr">
        <is>
          <t>AWD</t>
        </is>
      </c>
      <c r="J414" t="inlineStr">
        <is>
          <t>Red</t>
        </is>
      </c>
      <c r="K414" t="n">
        <v>682</v>
      </c>
      <c r="L414" t="n">
        <v>52</v>
      </c>
      <c r="M414" t="n">
        <v>20.59</v>
      </c>
      <c r="N414" t="n">
        <v>1153.77</v>
      </c>
      <c r="O414" t="n">
        <v>3.99</v>
      </c>
      <c r="P414" t="n">
        <v>6</v>
      </c>
      <c r="Q414" t="n">
        <v>1</v>
      </c>
      <c r="R414" t="n">
        <v>2023.1</v>
      </c>
      <c r="S414" t="b">
        <v>0</v>
      </c>
      <c r="T414" t="n">
        <v>2823236</v>
      </c>
      <c r="U414" t="n">
        <v>2</v>
      </c>
      <c r="V414" t="n">
        <v>0.0663</v>
      </c>
      <c r="W414" t="n">
        <v>0.52</v>
      </c>
      <c r="X414" t="n">
        <v>70.66</v>
      </c>
      <c r="Y414">
        <f>VLOOKUP(D414,$AB$2:$AC$7,2,FALSE)</f>
        <v/>
      </c>
      <c r="Z414">
        <f>IF(A414&lt;Y414,"Yes","No")</f>
        <v/>
      </c>
    </row>
    <row r="415">
      <c r="A415" t="n">
        <v>2023</v>
      </c>
      <c r="B415" t="inlineStr">
        <is>
          <t>Q3</t>
        </is>
      </c>
      <c r="C415" t="inlineStr">
        <is>
          <t>Europe</t>
        </is>
      </c>
      <c r="D415" t="inlineStr">
        <is>
          <t>Model X</t>
        </is>
      </c>
      <c r="E415" t="n">
        <v>178</v>
      </c>
      <c r="F415" t="n">
        <v>80678.03999999999</v>
      </c>
      <c r="G415" t="n">
        <v>55</v>
      </c>
      <c r="H415" t="inlineStr">
        <is>
          <t>Performance</t>
        </is>
      </c>
      <c r="I415" t="inlineStr">
        <is>
          <t>AWD</t>
        </is>
      </c>
      <c r="J415" t="inlineStr">
        <is>
          <t>Green</t>
        </is>
      </c>
      <c r="K415" t="n">
        <v>545</v>
      </c>
      <c r="L415" t="n">
        <v>90</v>
      </c>
      <c r="M415" t="n">
        <v>20.85</v>
      </c>
      <c r="N415" t="n">
        <v>398.73</v>
      </c>
      <c r="O415" t="n">
        <v>4.45</v>
      </c>
      <c r="P415" t="n">
        <v>5</v>
      </c>
      <c r="Q415" t="n">
        <v>3</v>
      </c>
      <c r="R415" t="n">
        <v>2021.6</v>
      </c>
      <c r="S415" t="b">
        <v>0</v>
      </c>
      <c r="T415" t="n">
        <v>1810593</v>
      </c>
      <c r="U415" t="n">
        <v>11</v>
      </c>
      <c r="V415" t="n">
        <v>0.0667</v>
      </c>
      <c r="W415" t="n">
        <v>2.22</v>
      </c>
      <c r="X415" t="n">
        <v>71.86</v>
      </c>
      <c r="Y415">
        <f>VLOOKUP(D415,$AB$2:$AC$7,2,FALSE)</f>
        <v/>
      </c>
      <c r="Z415">
        <f>IF(A415&lt;Y415,"Yes","No")</f>
        <v/>
      </c>
    </row>
    <row r="416">
      <c r="A416" t="n">
        <v>2019</v>
      </c>
      <c r="B416" t="inlineStr">
        <is>
          <t>Q2</t>
        </is>
      </c>
      <c r="C416" t="inlineStr">
        <is>
          <t>Australia</t>
        </is>
      </c>
      <c r="D416" t="inlineStr">
        <is>
          <t>Model X</t>
        </is>
      </c>
      <c r="E416" t="n">
        <v>1265</v>
      </c>
      <c r="F416" t="n">
        <v>111684.29</v>
      </c>
      <c r="G416" t="n">
        <v>5</v>
      </c>
      <c r="H416" t="inlineStr">
        <is>
          <t>Long Range</t>
        </is>
      </c>
      <c r="I416" t="inlineStr">
        <is>
          <t>AWD</t>
        </is>
      </c>
      <c r="J416" t="inlineStr">
        <is>
          <t>Blue</t>
        </is>
      </c>
      <c r="K416" t="n">
        <v>444</v>
      </c>
      <c r="L416" t="n">
        <v>82</v>
      </c>
      <c r="M416" t="n">
        <v>23.35</v>
      </c>
      <c r="N416" t="n">
        <v>1110.32</v>
      </c>
      <c r="O416" t="n">
        <v>4.24</v>
      </c>
      <c r="P416" t="n">
        <v>5</v>
      </c>
      <c r="Q416" t="n">
        <v>2</v>
      </c>
      <c r="R416" t="n">
        <v>2020.5</v>
      </c>
      <c r="S416" t="b">
        <v>1</v>
      </c>
      <c r="T416" t="n">
        <v>1590943</v>
      </c>
      <c r="U416" t="n">
        <v>8</v>
      </c>
      <c r="V416" t="n">
        <v>0.07190000000000001</v>
      </c>
      <c r="W416" t="n">
        <v>0.88</v>
      </c>
      <c r="X416" t="n">
        <v>64.31</v>
      </c>
      <c r="Y416">
        <f>VLOOKUP(D416,$AB$2:$AC$7,2,FALSE)</f>
        <v/>
      </c>
      <c r="Z416">
        <f>IF(A416&lt;Y416,"Yes","No")</f>
        <v/>
      </c>
    </row>
    <row r="417">
      <c r="A417" t="n">
        <v>2018</v>
      </c>
      <c r="B417" t="inlineStr">
        <is>
          <t>Q2</t>
        </is>
      </c>
      <c r="C417" t="inlineStr">
        <is>
          <t>Australia</t>
        </is>
      </c>
      <c r="D417" t="inlineStr">
        <is>
          <t>Semi</t>
        </is>
      </c>
      <c r="E417" t="n">
        <v>3347</v>
      </c>
      <c r="F417" t="n">
        <v>43519.87</v>
      </c>
      <c r="G417" t="n">
        <v>33</v>
      </c>
      <c r="H417" t="inlineStr">
        <is>
          <t>Standard</t>
        </is>
      </c>
      <c r="I417" t="inlineStr">
        <is>
          <t>AWD</t>
        </is>
      </c>
      <c r="J417" t="inlineStr">
        <is>
          <t>Silver</t>
        </is>
      </c>
      <c r="K417" t="n">
        <v>401</v>
      </c>
      <c r="L417" t="n">
        <v>54</v>
      </c>
      <c r="M417" t="n">
        <v>17.61</v>
      </c>
      <c r="N417" t="n">
        <v>2410.08</v>
      </c>
      <c r="O417" t="n">
        <v>3.52</v>
      </c>
      <c r="P417" t="n">
        <v>4</v>
      </c>
      <c r="Q417" t="n">
        <v>1</v>
      </c>
      <c r="R417" t="n">
        <v>2021.2</v>
      </c>
      <c r="S417" t="b">
        <v>0</v>
      </c>
      <c r="T417" t="n">
        <v>1296514</v>
      </c>
      <c r="U417" t="n">
        <v>12</v>
      </c>
      <c r="V417" t="n">
        <v>0.064</v>
      </c>
      <c r="W417" t="n">
        <v>2.08</v>
      </c>
      <c r="X417" t="n">
        <v>60.28</v>
      </c>
      <c r="Y417">
        <f>VLOOKUP(D417,$AB$2:$AC$7,2,FALSE)</f>
        <v/>
      </c>
      <c r="Z417">
        <f>IF(A417&lt;Y417,"Yes","No")</f>
        <v/>
      </c>
    </row>
    <row r="418">
      <c r="A418" t="n">
        <v>2024</v>
      </c>
      <c r="B418" t="inlineStr">
        <is>
          <t>Q1</t>
        </is>
      </c>
      <c r="C418" t="inlineStr">
        <is>
          <t>South America</t>
        </is>
      </c>
      <c r="D418" t="inlineStr">
        <is>
          <t>Semi</t>
        </is>
      </c>
      <c r="E418" t="n">
        <v>2822</v>
      </c>
      <c r="F418" t="n">
        <v>107481.22</v>
      </c>
      <c r="G418" t="n">
        <v>5</v>
      </c>
      <c r="H418" t="inlineStr">
        <is>
          <t>Standard</t>
        </is>
      </c>
      <c r="I418" t="inlineStr">
        <is>
          <t>AWD</t>
        </is>
      </c>
      <c r="J418" t="inlineStr">
        <is>
          <t>Blue</t>
        </is>
      </c>
      <c r="K418" t="n">
        <v>638</v>
      </c>
      <c r="L418" t="n">
        <v>87</v>
      </c>
      <c r="M418" t="n">
        <v>18.33</v>
      </c>
      <c r="N418" t="n">
        <v>2331.79</v>
      </c>
      <c r="O418" t="n">
        <v>4</v>
      </c>
      <c r="P418" t="n">
        <v>5</v>
      </c>
      <c r="Q418" t="n">
        <v>1</v>
      </c>
      <c r="R418" t="n">
        <v>2020.9</v>
      </c>
      <c r="S418" t="b">
        <v>0</v>
      </c>
      <c r="T418" t="n">
        <v>4660155</v>
      </c>
      <c r="U418" t="n">
        <v>3</v>
      </c>
      <c r="V418" t="n">
        <v>0.0119</v>
      </c>
      <c r="W418" t="n">
        <v>0.59</v>
      </c>
      <c r="X418" t="n">
        <v>76.34</v>
      </c>
      <c r="Y418">
        <f>VLOOKUP(D418,$AB$2:$AC$7,2,FALSE)</f>
        <v/>
      </c>
      <c r="Z418">
        <f>IF(A418&lt;Y418,"Yes","No")</f>
        <v/>
      </c>
    </row>
    <row r="419">
      <c r="A419" t="n">
        <v>2013</v>
      </c>
      <c r="B419" t="inlineStr">
        <is>
          <t>Q4</t>
        </is>
      </c>
      <c r="C419" t="inlineStr">
        <is>
          <t>Europe</t>
        </is>
      </c>
      <c r="D419" t="inlineStr">
        <is>
          <t>Model S</t>
        </is>
      </c>
      <c r="E419" t="n">
        <v>1887</v>
      </c>
      <c r="F419" t="n">
        <v>37040.07</v>
      </c>
      <c r="G419" t="n">
        <v>27</v>
      </c>
      <c r="H419" t="inlineStr">
        <is>
          <t>Long Range</t>
        </is>
      </c>
      <c r="I419" t="inlineStr">
        <is>
          <t>AWD</t>
        </is>
      </c>
      <c r="J419" t="inlineStr">
        <is>
          <t>White</t>
        </is>
      </c>
      <c r="K419" t="n">
        <v>685</v>
      </c>
      <c r="L419" t="n">
        <v>48</v>
      </c>
      <c r="M419" t="n">
        <v>15.71</v>
      </c>
      <c r="N419" t="n">
        <v>4260.81</v>
      </c>
      <c r="O419" t="n">
        <v>4.08</v>
      </c>
      <c r="P419" t="n">
        <v>4</v>
      </c>
      <c r="Q419" t="n">
        <v>3</v>
      </c>
      <c r="R419" t="n">
        <v>2021.2</v>
      </c>
      <c r="S419" t="b">
        <v>1</v>
      </c>
      <c r="T419" t="n">
        <v>953425</v>
      </c>
      <c r="U419" t="n">
        <v>6</v>
      </c>
      <c r="V419" t="n">
        <v>0.0422</v>
      </c>
      <c r="W419" t="n">
        <v>1.73</v>
      </c>
      <c r="X419" t="n">
        <v>63.55</v>
      </c>
      <c r="Y419">
        <f>VLOOKUP(D419,$AB$2:$AC$7,2,FALSE)</f>
        <v/>
      </c>
      <c r="Z419">
        <f>IF(A419&lt;Y419,"Yes","No")</f>
        <v/>
      </c>
    </row>
    <row r="420">
      <c r="A420" t="n">
        <v>2013</v>
      </c>
      <c r="B420" t="inlineStr">
        <is>
          <t>Q1</t>
        </is>
      </c>
      <c r="C420" t="inlineStr">
        <is>
          <t>South America</t>
        </is>
      </c>
      <c r="D420" t="inlineStr">
        <is>
          <t>Model 3</t>
        </is>
      </c>
      <c r="E420" t="n">
        <v>1508</v>
      </c>
      <c r="F420" t="n">
        <v>71433.41</v>
      </c>
      <c r="G420" t="n">
        <v>21</v>
      </c>
      <c r="H420" t="inlineStr">
        <is>
          <t>Performance</t>
        </is>
      </c>
      <c r="I420" t="inlineStr">
        <is>
          <t>AWD</t>
        </is>
      </c>
      <c r="J420" t="inlineStr">
        <is>
          <t>Green</t>
        </is>
      </c>
      <c r="K420" t="n">
        <v>567</v>
      </c>
      <c r="L420" t="n">
        <v>39</v>
      </c>
      <c r="M420" t="n">
        <v>23.72</v>
      </c>
      <c r="N420" t="n">
        <v>2826.48</v>
      </c>
      <c r="O420" t="n">
        <v>4.44</v>
      </c>
      <c r="P420" t="n">
        <v>6</v>
      </c>
      <c r="Q420" t="n">
        <v>2</v>
      </c>
      <c r="R420" t="n">
        <v>2020.5</v>
      </c>
      <c r="S420" t="b">
        <v>0</v>
      </c>
      <c r="T420" t="n">
        <v>3196340</v>
      </c>
      <c r="U420" t="n">
        <v>6</v>
      </c>
      <c r="V420" t="n">
        <v>0.083</v>
      </c>
      <c r="W420" t="n">
        <v>1.92</v>
      </c>
      <c r="X420" t="n">
        <v>62.29</v>
      </c>
      <c r="Y420">
        <f>VLOOKUP(D420,$AB$2:$AC$7,2,FALSE)</f>
        <v/>
      </c>
      <c r="Z420">
        <f>IF(A420&lt;Y420,"Yes","No")</f>
        <v/>
      </c>
    </row>
    <row r="421">
      <c r="A421" t="n">
        <v>2012</v>
      </c>
      <c r="B421" t="inlineStr">
        <is>
          <t>Q2</t>
        </is>
      </c>
      <c r="C421" t="inlineStr">
        <is>
          <t>Europe</t>
        </is>
      </c>
      <c r="D421" t="inlineStr">
        <is>
          <t>Model X</t>
        </is>
      </c>
      <c r="E421" t="n">
        <v>1260</v>
      </c>
      <c r="F421" t="n">
        <v>68200.96000000001</v>
      </c>
      <c r="G421" t="n">
        <v>46</v>
      </c>
      <c r="H421" t="inlineStr">
        <is>
          <t>Long Range</t>
        </is>
      </c>
      <c r="I421" t="inlineStr">
        <is>
          <t>AWD</t>
        </is>
      </c>
      <c r="J421" t="inlineStr">
        <is>
          <t>Red</t>
        </is>
      </c>
      <c r="K421" t="n">
        <v>645</v>
      </c>
      <c r="L421" t="n">
        <v>57</v>
      </c>
      <c r="M421" t="n">
        <v>24.52</v>
      </c>
      <c r="N421" t="n">
        <v>1331.76</v>
      </c>
      <c r="O421" t="n">
        <v>3.64</v>
      </c>
      <c r="P421" t="n">
        <v>5</v>
      </c>
      <c r="Q421" t="n">
        <v>1</v>
      </c>
      <c r="R421" t="n">
        <v>2023.6</v>
      </c>
      <c r="S421" t="b">
        <v>0</v>
      </c>
      <c r="T421" t="n">
        <v>4245704</v>
      </c>
      <c r="U421" t="n">
        <v>8</v>
      </c>
      <c r="V421" t="n">
        <v>0.0533</v>
      </c>
      <c r="W421" t="n">
        <v>2.45</v>
      </c>
      <c r="X421" t="n">
        <v>78.05</v>
      </c>
      <c r="Y421">
        <f>VLOOKUP(D421,$AB$2:$AC$7,2,FALSE)</f>
        <v/>
      </c>
      <c r="Z421">
        <f>IF(A421&lt;Y421,"Yes","No")</f>
        <v/>
      </c>
    </row>
    <row r="422">
      <c r="A422" t="n">
        <v>2022</v>
      </c>
      <c r="B422" t="inlineStr">
        <is>
          <t>Q3</t>
        </is>
      </c>
      <c r="C422" t="inlineStr">
        <is>
          <t>Europe</t>
        </is>
      </c>
      <c r="D422" t="inlineStr">
        <is>
          <t>Semi</t>
        </is>
      </c>
      <c r="E422" t="n">
        <v>2064</v>
      </c>
      <c r="F422" t="n">
        <v>67570.74000000001</v>
      </c>
      <c r="G422" t="n">
        <v>35</v>
      </c>
      <c r="H422" t="inlineStr">
        <is>
          <t>Long Range</t>
        </is>
      </c>
      <c r="I422" t="inlineStr">
        <is>
          <t>RWD</t>
        </is>
      </c>
      <c r="J422" t="inlineStr">
        <is>
          <t>Silver</t>
        </is>
      </c>
      <c r="K422" t="n">
        <v>624</v>
      </c>
      <c r="L422" t="n">
        <v>82</v>
      </c>
      <c r="M422" t="n">
        <v>15.76</v>
      </c>
      <c r="N422" t="n">
        <v>1377.17</v>
      </c>
      <c r="O422" t="n">
        <v>4.57</v>
      </c>
      <c r="P422" t="n">
        <v>5</v>
      </c>
      <c r="Q422" t="n">
        <v>0</v>
      </c>
      <c r="R422" t="n">
        <v>2021.6</v>
      </c>
      <c r="S422" t="b">
        <v>1</v>
      </c>
      <c r="T422" t="n">
        <v>1805233</v>
      </c>
      <c r="U422" t="n">
        <v>2</v>
      </c>
      <c r="V422" t="n">
        <v>0.0426</v>
      </c>
      <c r="W422" t="n">
        <v>1.45</v>
      </c>
      <c r="X422" t="n">
        <v>64.01000000000001</v>
      </c>
      <c r="Y422">
        <f>VLOOKUP(D422,$AB$2:$AC$7,2,FALSE)</f>
        <v/>
      </c>
      <c r="Z422">
        <f>IF(A422&lt;Y422,"Yes","No")</f>
        <v/>
      </c>
    </row>
    <row r="423">
      <c r="A423" t="n">
        <v>2013</v>
      </c>
      <c r="B423" t="inlineStr">
        <is>
          <t>Q1</t>
        </is>
      </c>
      <c r="C423" t="inlineStr">
        <is>
          <t>Asia</t>
        </is>
      </c>
      <c r="D423" t="inlineStr">
        <is>
          <t>Model X</t>
        </is>
      </c>
      <c r="E423" t="n">
        <v>1191</v>
      </c>
      <c r="F423" t="n">
        <v>60049.27</v>
      </c>
      <c r="G423" t="n">
        <v>9</v>
      </c>
      <c r="H423" t="inlineStr">
        <is>
          <t>Performance</t>
        </is>
      </c>
      <c r="I423" t="inlineStr">
        <is>
          <t>RWD</t>
        </is>
      </c>
      <c r="J423" t="inlineStr">
        <is>
          <t>Black</t>
        </is>
      </c>
      <c r="K423" t="n">
        <v>457</v>
      </c>
      <c r="L423" t="n">
        <v>82</v>
      </c>
      <c r="M423" t="n">
        <v>15.7</v>
      </c>
      <c r="N423" t="n">
        <v>2374.84</v>
      </c>
      <c r="O423" t="n">
        <v>3.68</v>
      </c>
      <c r="P423" t="n">
        <v>5</v>
      </c>
      <c r="Q423" t="n">
        <v>3</v>
      </c>
      <c r="R423" t="n">
        <v>2020.12</v>
      </c>
      <c r="S423" t="b">
        <v>0</v>
      </c>
      <c r="T423" t="n">
        <v>3217913</v>
      </c>
      <c r="U423" t="n">
        <v>2</v>
      </c>
      <c r="V423" t="n">
        <v>0.0731</v>
      </c>
      <c r="W423" t="n">
        <v>1.83</v>
      </c>
      <c r="X423" t="n">
        <v>62.21</v>
      </c>
      <c r="Y423">
        <f>VLOOKUP(D423,$AB$2:$AC$7,2,FALSE)</f>
        <v/>
      </c>
      <c r="Z423">
        <f>IF(A423&lt;Y423,"Yes","No")</f>
        <v/>
      </c>
    </row>
    <row r="424">
      <c r="A424" t="n">
        <v>2021</v>
      </c>
      <c r="B424" t="inlineStr">
        <is>
          <t>Q2</t>
        </is>
      </c>
      <c r="C424" t="inlineStr">
        <is>
          <t>North America</t>
        </is>
      </c>
      <c r="D424" t="inlineStr">
        <is>
          <t>Model 3</t>
        </is>
      </c>
      <c r="E424" t="n">
        <v>3042</v>
      </c>
      <c r="F424" t="n">
        <v>47008.59</v>
      </c>
      <c r="G424" t="n">
        <v>15</v>
      </c>
      <c r="H424" t="inlineStr">
        <is>
          <t>Standard</t>
        </is>
      </c>
      <c r="I424" t="inlineStr">
        <is>
          <t>AWD</t>
        </is>
      </c>
      <c r="J424" t="inlineStr">
        <is>
          <t>Silver</t>
        </is>
      </c>
      <c r="K424" t="n">
        <v>563</v>
      </c>
      <c r="L424" t="n">
        <v>39</v>
      </c>
      <c r="M424" t="n">
        <v>22.19</v>
      </c>
      <c r="N424" t="n">
        <v>4379.05</v>
      </c>
      <c r="O424" t="n">
        <v>3.71</v>
      </c>
      <c r="P424" t="n">
        <v>6</v>
      </c>
      <c r="Q424" t="n">
        <v>3</v>
      </c>
      <c r="R424" t="n">
        <v>2023.12</v>
      </c>
      <c r="S424" t="b">
        <v>0</v>
      </c>
      <c r="T424" t="n">
        <v>3824320</v>
      </c>
      <c r="U424" t="n">
        <v>12</v>
      </c>
      <c r="V424" t="n">
        <v>0.0726</v>
      </c>
      <c r="W424" t="n">
        <v>1.07</v>
      </c>
      <c r="X424" t="n">
        <v>64.68000000000001</v>
      </c>
      <c r="Y424">
        <f>VLOOKUP(D424,$AB$2:$AC$7,2,FALSE)</f>
        <v/>
      </c>
      <c r="Z424">
        <f>IF(A424&lt;Y424,"Yes","No")</f>
        <v/>
      </c>
    </row>
    <row r="425">
      <c r="A425" t="n">
        <v>2022</v>
      </c>
      <c r="B425" t="inlineStr">
        <is>
          <t>Q1</t>
        </is>
      </c>
      <c r="C425" t="inlineStr">
        <is>
          <t>South America</t>
        </is>
      </c>
      <c r="D425" t="inlineStr">
        <is>
          <t>Model 3</t>
        </is>
      </c>
      <c r="E425" t="n">
        <v>4172</v>
      </c>
      <c r="F425" t="n">
        <v>48629.65</v>
      </c>
      <c r="G425" t="n">
        <v>25</v>
      </c>
      <c r="H425" t="inlineStr">
        <is>
          <t>Long Range</t>
        </is>
      </c>
      <c r="I425" t="inlineStr">
        <is>
          <t>RWD</t>
        </is>
      </c>
      <c r="J425" t="inlineStr">
        <is>
          <t>Silver</t>
        </is>
      </c>
      <c r="K425" t="n">
        <v>482</v>
      </c>
      <c r="L425" t="n">
        <v>88</v>
      </c>
      <c r="M425" t="n">
        <v>19.86</v>
      </c>
      <c r="N425" t="n">
        <v>4639.55</v>
      </c>
      <c r="O425" t="n">
        <v>3.84</v>
      </c>
      <c r="P425" t="n">
        <v>5</v>
      </c>
      <c r="Q425" t="n">
        <v>2</v>
      </c>
      <c r="R425" t="n">
        <v>2020.9</v>
      </c>
      <c r="S425" t="b">
        <v>0</v>
      </c>
      <c r="T425" t="n">
        <v>1149694</v>
      </c>
      <c r="U425" t="n">
        <v>5</v>
      </c>
      <c r="V425" t="n">
        <v>0.046</v>
      </c>
      <c r="W425" t="n">
        <v>0.61</v>
      </c>
      <c r="X425" t="n">
        <v>71.77</v>
      </c>
      <c r="Y425">
        <f>VLOOKUP(D425,$AB$2:$AC$7,2,FALSE)</f>
        <v/>
      </c>
      <c r="Z425">
        <f>IF(A425&lt;Y425,"Yes","No")</f>
        <v/>
      </c>
    </row>
    <row r="426">
      <c r="A426" t="n">
        <v>2023</v>
      </c>
      <c r="B426" t="inlineStr">
        <is>
          <t>Q1</t>
        </is>
      </c>
      <c r="C426" t="inlineStr">
        <is>
          <t>Australia</t>
        </is>
      </c>
      <c r="D426" t="inlineStr">
        <is>
          <t>Model Y</t>
        </is>
      </c>
      <c r="E426" t="n">
        <v>2615</v>
      </c>
      <c r="F426" t="n">
        <v>90479.5</v>
      </c>
      <c r="G426" t="n">
        <v>25</v>
      </c>
      <c r="H426" t="inlineStr">
        <is>
          <t>Long Range</t>
        </is>
      </c>
      <c r="I426" t="inlineStr">
        <is>
          <t>AWD</t>
        </is>
      </c>
      <c r="J426" t="inlineStr">
        <is>
          <t>Red</t>
        </is>
      </c>
      <c r="K426" t="n">
        <v>540</v>
      </c>
      <c r="L426" t="n">
        <v>71</v>
      </c>
      <c r="M426" t="n">
        <v>18.09</v>
      </c>
      <c r="N426" t="n">
        <v>2719.18</v>
      </c>
      <c r="O426" t="n">
        <v>3.66</v>
      </c>
      <c r="P426" t="n">
        <v>6</v>
      </c>
      <c r="Q426" t="n">
        <v>2</v>
      </c>
      <c r="R426" t="n">
        <v>2020.4</v>
      </c>
      <c r="S426" t="b">
        <v>0</v>
      </c>
      <c r="T426" t="n">
        <v>1465333</v>
      </c>
      <c r="U426" t="n">
        <v>10</v>
      </c>
      <c r="V426" t="n">
        <v>0.0196</v>
      </c>
      <c r="W426" t="n">
        <v>0.92</v>
      </c>
      <c r="X426" t="n">
        <v>60.33</v>
      </c>
      <c r="Y426">
        <f>VLOOKUP(D426,$AB$2:$AC$7,2,FALSE)</f>
        <v/>
      </c>
      <c r="Z426">
        <f>IF(A426&lt;Y426,"Yes","No")</f>
        <v/>
      </c>
    </row>
    <row r="427">
      <c r="A427" t="n">
        <v>2016</v>
      </c>
      <c r="B427" t="inlineStr">
        <is>
          <t>Q2</t>
        </is>
      </c>
      <c r="C427" t="inlineStr">
        <is>
          <t>South America</t>
        </is>
      </c>
      <c r="D427" t="inlineStr">
        <is>
          <t>Model 3</t>
        </is>
      </c>
      <c r="E427" t="n">
        <v>315</v>
      </c>
      <c r="F427" t="n">
        <v>55428.49</v>
      </c>
      <c r="G427" t="n">
        <v>5</v>
      </c>
      <c r="H427" t="inlineStr">
        <is>
          <t>Performance</t>
        </is>
      </c>
      <c r="I427" t="inlineStr">
        <is>
          <t>AWD</t>
        </is>
      </c>
      <c r="J427" t="inlineStr">
        <is>
          <t>Silver</t>
        </is>
      </c>
      <c r="K427" t="n">
        <v>597</v>
      </c>
      <c r="L427" t="n">
        <v>32</v>
      </c>
      <c r="M427" t="n">
        <v>13.58</v>
      </c>
      <c r="N427" t="n">
        <v>216.22</v>
      </c>
      <c r="O427" t="n">
        <v>3.96</v>
      </c>
      <c r="P427" t="n">
        <v>6</v>
      </c>
      <c r="Q427" t="n">
        <v>2</v>
      </c>
      <c r="R427" t="n">
        <v>2023.9</v>
      </c>
      <c r="S427" t="b">
        <v>1</v>
      </c>
      <c r="T427" t="n">
        <v>2737986</v>
      </c>
      <c r="U427" t="n">
        <v>8</v>
      </c>
      <c r="V427" t="n">
        <v>0.07530000000000001</v>
      </c>
      <c r="W427" t="n">
        <v>2.45</v>
      </c>
      <c r="X427" t="n">
        <v>81.08</v>
      </c>
      <c r="Y427">
        <f>VLOOKUP(D427,$AB$2:$AC$7,2,FALSE)</f>
        <v/>
      </c>
      <c r="Z427">
        <f>IF(A427&lt;Y427,"Yes","No")</f>
        <v/>
      </c>
    </row>
    <row r="428">
      <c r="A428" t="n">
        <v>2013</v>
      </c>
      <c r="B428" t="inlineStr">
        <is>
          <t>Q3</t>
        </is>
      </c>
      <c r="C428" t="inlineStr">
        <is>
          <t>Australia</t>
        </is>
      </c>
      <c r="D428" t="inlineStr">
        <is>
          <t>Semi</t>
        </is>
      </c>
      <c r="E428" t="n">
        <v>4175</v>
      </c>
      <c r="F428" t="n">
        <v>43585.25</v>
      </c>
      <c r="G428" t="n">
        <v>51</v>
      </c>
      <c r="H428" t="inlineStr">
        <is>
          <t>Standard</t>
        </is>
      </c>
      <c r="I428" t="inlineStr">
        <is>
          <t>AWD</t>
        </is>
      </c>
      <c r="J428" t="inlineStr">
        <is>
          <t>Silver</t>
        </is>
      </c>
      <c r="K428" t="n">
        <v>545</v>
      </c>
      <c r="L428" t="n">
        <v>60</v>
      </c>
      <c r="M428" t="n">
        <v>20.04</v>
      </c>
      <c r="N428" t="n">
        <v>9201.93</v>
      </c>
      <c r="O428" t="n">
        <v>3.94</v>
      </c>
      <c r="P428" t="n">
        <v>5</v>
      </c>
      <c r="Q428" t="n">
        <v>3</v>
      </c>
      <c r="R428" t="n">
        <v>2020.11</v>
      </c>
      <c r="S428" t="b">
        <v>1</v>
      </c>
      <c r="T428" t="n">
        <v>2042550</v>
      </c>
      <c r="U428" t="n">
        <v>5</v>
      </c>
      <c r="V428" t="n">
        <v>0.0827</v>
      </c>
      <c r="W428" t="n">
        <v>1.81</v>
      </c>
      <c r="X428" t="n">
        <v>83.06</v>
      </c>
      <c r="Y428">
        <f>VLOOKUP(D428,$AB$2:$AC$7,2,FALSE)</f>
        <v/>
      </c>
      <c r="Z428">
        <f>IF(A428&lt;Y428,"Yes","No")</f>
        <v/>
      </c>
    </row>
    <row r="429">
      <c r="A429" t="n">
        <v>2014</v>
      </c>
      <c r="B429" t="inlineStr">
        <is>
          <t>Q3</t>
        </is>
      </c>
      <c r="C429" t="inlineStr">
        <is>
          <t>Australia</t>
        </is>
      </c>
      <c r="D429" t="inlineStr">
        <is>
          <t>Model 3</t>
        </is>
      </c>
      <c r="E429" t="n">
        <v>2827</v>
      </c>
      <c r="F429" t="n">
        <v>59721.54</v>
      </c>
      <c r="G429" t="n">
        <v>39</v>
      </c>
      <c r="H429" t="inlineStr">
        <is>
          <t>Long Range</t>
        </is>
      </c>
      <c r="I429" t="inlineStr">
        <is>
          <t>AWD</t>
        </is>
      </c>
      <c r="J429" t="inlineStr">
        <is>
          <t>Green</t>
        </is>
      </c>
      <c r="K429" t="n">
        <v>699</v>
      </c>
      <c r="L429" t="n">
        <v>54</v>
      </c>
      <c r="M429" t="n">
        <v>15.87</v>
      </c>
      <c r="N429" t="n">
        <v>7050.59</v>
      </c>
      <c r="O429" t="n">
        <v>4.41</v>
      </c>
      <c r="P429" t="n">
        <v>5</v>
      </c>
      <c r="Q429" t="n">
        <v>3</v>
      </c>
      <c r="R429" t="n">
        <v>2020.1</v>
      </c>
      <c r="S429" t="b">
        <v>1</v>
      </c>
      <c r="T429" t="n">
        <v>2696629</v>
      </c>
      <c r="U429" t="n">
        <v>10</v>
      </c>
      <c r="V429" t="n">
        <v>0.0881</v>
      </c>
      <c r="W429" t="n">
        <v>2.09</v>
      </c>
      <c r="X429" t="n">
        <v>86.84999999999999</v>
      </c>
      <c r="Y429">
        <f>VLOOKUP(D429,$AB$2:$AC$7,2,FALSE)</f>
        <v/>
      </c>
      <c r="Z429">
        <f>IF(A429&lt;Y429,"Yes","No")</f>
        <v/>
      </c>
    </row>
    <row r="430">
      <c r="A430" t="n">
        <v>2019</v>
      </c>
      <c r="B430" t="inlineStr">
        <is>
          <t>Q1</t>
        </is>
      </c>
      <c r="C430" t="inlineStr">
        <is>
          <t>Australia</t>
        </is>
      </c>
      <c r="D430" t="inlineStr">
        <is>
          <t>Model X</t>
        </is>
      </c>
      <c r="E430" t="n">
        <v>1440</v>
      </c>
      <c r="F430" t="n">
        <v>114394.76</v>
      </c>
      <c r="G430" t="n">
        <v>10</v>
      </c>
      <c r="H430" t="inlineStr">
        <is>
          <t>Standard</t>
        </is>
      </c>
      <c r="I430" t="inlineStr">
        <is>
          <t>RWD</t>
        </is>
      </c>
      <c r="J430" t="inlineStr">
        <is>
          <t>Silver</t>
        </is>
      </c>
      <c r="K430" t="n">
        <v>536</v>
      </c>
      <c r="L430" t="n">
        <v>52</v>
      </c>
      <c r="M430" t="n">
        <v>14.07</v>
      </c>
      <c r="N430" t="n">
        <v>1236.06</v>
      </c>
      <c r="O430" t="n">
        <v>4.66</v>
      </c>
      <c r="P430" t="n">
        <v>6</v>
      </c>
      <c r="Q430" t="n">
        <v>3</v>
      </c>
      <c r="R430" t="n">
        <v>2022.8</v>
      </c>
      <c r="S430" t="b">
        <v>1</v>
      </c>
      <c r="T430" t="n">
        <v>1139904</v>
      </c>
      <c r="U430" t="n">
        <v>11</v>
      </c>
      <c r="V430" t="n">
        <v>0.0539</v>
      </c>
      <c r="W430" t="n">
        <v>1.23</v>
      </c>
      <c r="X430" t="n">
        <v>68.59999999999999</v>
      </c>
      <c r="Y430">
        <f>VLOOKUP(D430,$AB$2:$AC$7,2,FALSE)</f>
        <v/>
      </c>
      <c r="Z430">
        <f>IF(A430&lt;Y430,"Yes","No")</f>
        <v/>
      </c>
    </row>
    <row r="431">
      <c r="A431" t="n">
        <v>2018</v>
      </c>
      <c r="B431" t="inlineStr">
        <is>
          <t>Q2</t>
        </is>
      </c>
      <c r="C431" t="inlineStr">
        <is>
          <t>Australia</t>
        </is>
      </c>
      <c r="D431" t="inlineStr">
        <is>
          <t>Model X</t>
        </is>
      </c>
      <c r="E431" t="n">
        <v>4248</v>
      </c>
      <c r="F431" t="n">
        <v>106811.03</v>
      </c>
      <c r="G431" t="n">
        <v>60</v>
      </c>
      <c r="H431" t="inlineStr">
        <is>
          <t>Long Range</t>
        </is>
      </c>
      <c r="I431" t="inlineStr">
        <is>
          <t>RWD</t>
        </is>
      </c>
      <c r="J431" t="inlineStr">
        <is>
          <t>Red</t>
        </is>
      </c>
      <c r="K431" t="n">
        <v>699</v>
      </c>
      <c r="L431" t="n">
        <v>56</v>
      </c>
      <c r="M431" t="n">
        <v>19.07</v>
      </c>
      <c r="N431" t="n">
        <v>4356.98</v>
      </c>
      <c r="O431" t="n">
        <v>4.81</v>
      </c>
      <c r="P431" t="n">
        <v>4</v>
      </c>
      <c r="Q431" t="n">
        <v>0</v>
      </c>
      <c r="R431" t="n">
        <v>2021.12</v>
      </c>
      <c r="S431" t="b">
        <v>1</v>
      </c>
      <c r="T431" t="n">
        <v>1396561</v>
      </c>
      <c r="U431" t="n">
        <v>3</v>
      </c>
      <c r="V431" t="n">
        <v>0.0362</v>
      </c>
      <c r="W431" t="n">
        <v>0.82</v>
      </c>
      <c r="X431" t="n">
        <v>71.98</v>
      </c>
      <c r="Y431">
        <f>VLOOKUP(D431,$AB$2:$AC$7,2,FALSE)</f>
        <v/>
      </c>
      <c r="Z431">
        <f>IF(A431&lt;Y431,"Yes","No")</f>
        <v/>
      </c>
    </row>
    <row r="432">
      <c r="A432" t="n">
        <v>2013</v>
      </c>
      <c r="B432" t="inlineStr">
        <is>
          <t>Q2</t>
        </is>
      </c>
      <c r="C432" t="inlineStr">
        <is>
          <t>Australia</t>
        </is>
      </c>
      <c r="D432" t="inlineStr">
        <is>
          <t>Model Y</t>
        </is>
      </c>
      <c r="E432" t="n">
        <v>815</v>
      </c>
      <c r="F432" t="n">
        <v>64659.73</v>
      </c>
      <c r="G432" t="n">
        <v>29</v>
      </c>
      <c r="H432" t="inlineStr">
        <is>
          <t>Performance</t>
        </is>
      </c>
      <c r="I432" t="inlineStr">
        <is>
          <t>RWD</t>
        </is>
      </c>
      <c r="J432" t="inlineStr">
        <is>
          <t>Red</t>
        </is>
      </c>
      <c r="K432" t="n">
        <v>393</v>
      </c>
      <c r="L432" t="n">
        <v>41</v>
      </c>
      <c r="M432" t="n">
        <v>21.78</v>
      </c>
      <c r="N432" t="n">
        <v>1902.96</v>
      </c>
      <c r="O432" t="n">
        <v>4.88</v>
      </c>
      <c r="P432" t="n">
        <v>8</v>
      </c>
      <c r="Q432" t="n">
        <v>1</v>
      </c>
      <c r="R432" t="n">
        <v>2023.6</v>
      </c>
      <c r="S432" t="b">
        <v>1</v>
      </c>
      <c r="T432" t="n">
        <v>2761578</v>
      </c>
      <c r="U432" t="n">
        <v>7</v>
      </c>
      <c r="V432" t="n">
        <v>0.0997</v>
      </c>
      <c r="W432" t="n">
        <v>1.47</v>
      </c>
      <c r="X432" t="n">
        <v>81.06999999999999</v>
      </c>
      <c r="Y432">
        <f>VLOOKUP(D432,$AB$2:$AC$7,2,FALSE)</f>
        <v/>
      </c>
      <c r="Z432">
        <f>IF(A432&lt;Y432,"Yes","No")</f>
        <v/>
      </c>
    </row>
    <row r="433">
      <c r="A433" t="n">
        <v>2019</v>
      </c>
      <c r="B433" t="inlineStr">
        <is>
          <t>Q1</t>
        </is>
      </c>
      <c r="C433" t="inlineStr">
        <is>
          <t>Asia</t>
        </is>
      </c>
      <c r="D433" t="inlineStr">
        <is>
          <t>Model Y</t>
        </is>
      </c>
      <c r="E433" t="n">
        <v>363</v>
      </c>
      <c r="F433" t="n">
        <v>81331.89999999999</v>
      </c>
      <c r="G433" t="n">
        <v>60</v>
      </c>
      <c r="H433" t="inlineStr">
        <is>
          <t>Long Range</t>
        </is>
      </c>
      <c r="I433" t="inlineStr">
        <is>
          <t>AWD</t>
        </is>
      </c>
      <c r="J433" t="inlineStr">
        <is>
          <t>Green</t>
        </is>
      </c>
      <c r="K433" t="n">
        <v>459</v>
      </c>
      <c r="L433" t="n">
        <v>50</v>
      </c>
      <c r="M433" t="n">
        <v>19.82</v>
      </c>
      <c r="N433" t="n">
        <v>898.65</v>
      </c>
      <c r="O433" t="n">
        <v>4.66</v>
      </c>
      <c r="P433" t="n">
        <v>4</v>
      </c>
      <c r="Q433" t="n">
        <v>2</v>
      </c>
      <c r="R433" t="n">
        <v>2023.8</v>
      </c>
      <c r="S433" t="b">
        <v>1</v>
      </c>
      <c r="T433" t="n">
        <v>553635</v>
      </c>
      <c r="U433" t="n">
        <v>5</v>
      </c>
      <c r="V433" t="n">
        <v>0.0881</v>
      </c>
      <c r="W433" t="n">
        <v>2.41</v>
      </c>
      <c r="X433" t="n">
        <v>80.51000000000001</v>
      </c>
      <c r="Y433">
        <f>VLOOKUP(D433,$AB$2:$AC$7,2,FALSE)</f>
        <v/>
      </c>
      <c r="Z433">
        <f>IF(A433&lt;Y433,"Yes","No")</f>
        <v/>
      </c>
    </row>
    <row r="434">
      <c r="A434" t="n">
        <v>2016</v>
      </c>
      <c r="B434" t="inlineStr">
        <is>
          <t>Q3</t>
        </is>
      </c>
      <c r="C434" t="inlineStr">
        <is>
          <t>Europe</t>
        </is>
      </c>
      <c r="D434" t="inlineStr">
        <is>
          <t>Model S</t>
        </is>
      </c>
      <c r="E434" t="n">
        <v>1211</v>
      </c>
      <c r="F434" t="n">
        <v>40887.02</v>
      </c>
      <c r="G434" t="n">
        <v>25</v>
      </c>
      <c r="H434" t="inlineStr">
        <is>
          <t>Standard</t>
        </is>
      </c>
      <c r="I434" t="inlineStr">
        <is>
          <t>RWD</t>
        </is>
      </c>
      <c r="J434" t="inlineStr">
        <is>
          <t>Green</t>
        </is>
      </c>
      <c r="K434" t="n">
        <v>581</v>
      </c>
      <c r="L434" t="n">
        <v>85</v>
      </c>
      <c r="M434" t="n">
        <v>18.04</v>
      </c>
      <c r="N434" t="n">
        <v>1124.06</v>
      </c>
      <c r="O434" t="n">
        <v>4.84</v>
      </c>
      <c r="P434" t="n">
        <v>5</v>
      </c>
      <c r="Q434" t="n">
        <v>0</v>
      </c>
      <c r="R434" t="n">
        <v>2020.7</v>
      </c>
      <c r="S434" t="b">
        <v>0</v>
      </c>
      <c r="T434" t="n">
        <v>2590619</v>
      </c>
      <c r="U434" t="n">
        <v>4</v>
      </c>
      <c r="V434" t="n">
        <v>0.0279</v>
      </c>
      <c r="W434" t="n">
        <v>2.38</v>
      </c>
      <c r="X434" t="n">
        <v>74.45</v>
      </c>
      <c r="Y434">
        <f>VLOOKUP(D434,$AB$2:$AC$7,2,FALSE)</f>
        <v/>
      </c>
      <c r="Z434">
        <f>IF(A434&lt;Y434,"Yes","No")</f>
        <v/>
      </c>
    </row>
    <row r="435">
      <c r="A435" t="n">
        <v>2020</v>
      </c>
      <c r="B435" t="inlineStr">
        <is>
          <t>Q2</t>
        </is>
      </c>
      <c r="C435" t="inlineStr">
        <is>
          <t>Australia</t>
        </is>
      </c>
      <c r="D435" t="inlineStr">
        <is>
          <t>Model X</t>
        </is>
      </c>
      <c r="E435" t="n">
        <v>4722</v>
      </c>
      <c r="F435" t="n">
        <v>68076.73</v>
      </c>
      <c r="G435" t="n">
        <v>0</v>
      </c>
      <c r="H435" t="inlineStr">
        <is>
          <t>Performance</t>
        </is>
      </c>
      <c r="I435" t="inlineStr">
        <is>
          <t>AWD</t>
        </is>
      </c>
      <c r="J435" t="inlineStr">
        <is>
          <t>Red</t>
        </is>
      </c>
      <c r="K435" t="n">
        <v>691</v>
      </c>
      <c r="L435" t="n">
        <v>67</v>
      </c>
      <c r="M435" t="n">
        <v>20.4</v>
      </c>
      <c r="N435" t="n">
        <v>5418.33</v>
      </c>
      <c r="O435" t="n">
        <v>4.98</v>
      </c>
      <c r="P435" t="n">
        <v>6</v>
      </c>
      <c r="Q435" t="n">
        <v>0</v>
      </c>
      <c r="R435" t="n">
        <v>2021.8</v>
      </c>
      <c r="S435" t="b">
        <v>1</v>
      </c>
      <c r="T435" t="n">
        <v>4289653</v>
      </c>
      <c r="U435" t="n">
        <v>7</v>
      </c>
      <c r="V435" t="n">
        <v>0.0202</v>
      </c>
      <c r="W435" t="n">
        <v>2.44</v>
      </c>
      <c r="X435" t="n">
        <v>72.19</v>
      </c>
      <c r="Y435">
        <f>VLOOKUP(D435,$AB$2:$AC$7,2,FALSE)</f>
        <v/>
      </c>
      <c r="Z435">
        <f>IF(A435&lt;Y435,"Yes","No")</f>
        <v/>
      </c>
    </row>
    <row r="436">
      <c r="A436" t="n">
        <v>2020</v>
      </c>
      <c r="B436" t="inlineStr">
        <is>
          <t>Q1</t>
        </is>
      </c>
      <c r="C436" t="inlineStr">
        <is>
          <t>Australia</t>
        </is>
      </c>
      <c r="D436" t="inlineStr">
        <is>
          <t>Model 3</t>
        </is>
      </c>
      <c r="E436" t="n">
        <v>3730</v>
      </c>
      <c r="F436" t="n">
        <v>89307.89</v>
      </c>
      <c r="G436" t="n">
        <v>37</v>
      </c>
      <c r="H436" t="inlineStr">
        <is>
          <t>Standard</t>
        </is>
      </c>
      <c r="I436" t="inlineStr">
        <is>
          <t>AWD</t>
        </is>
      </c>
      <c r="J436" t="inlineStr">
        <is>
          <t>Black</t>
        </is>
      </c>
      <c r="K436" t="n">
        <v>446</v>
      </c>
      <c r="L436" t="n">
        <v>56</v>
      </c>
      <c r="M436" t="n">
        <v>21.36</v>
      </c>
      <c r="N436" t="n">
        <v>7641.91</v>
      </c>
      <c r="O436" t="n">
        <v>4.4</v>
      </c>
      <c r="P436" t="n">
        <v>5</v>
      </c>
      <c r="Q436" t="n">
        <v>2</v>
      </c>
      <c r="R436" t="n">
        <v>2021.4</v>
      </c>
      <c r="S436" t="b">
        <v>1</v>
      </c>
      <c r="T436" t="n">
        <v>3205935</v>
      </c>
      <c r="U436" t="n">
        <v>7</v>
      </c>
      <c r="V436" t="n">
        <v>0.0115</v>
      </c>
      <c r="W436" t="n">
        <v>2.29</v>
      </c>
      <c r="X436" t="n">
        <v>75.06</v>
      </c>
      <c r="Y436">
        <f>VLOOKUP(D436,$AB$2:$AC$7,2,FALSE)</f>
        <v/>
      </c>
      <c r="Z436">
        <f>IF(A436&lt;Y436,"Yes","No")</f>
        <v/>
      </c>
    </row>
    <row r="437">
      <c r="A437" t="n">
        <v>2013</v>
      </c>
      <c r="B437" t="inlineStr">
        <is>
          <t>Q4</t>
        </is>
      </c>
      <c r="C437" t="inlineStr">
        <is>
          <t>Australia</t>
        </is>
      </c>
      <c r="D437" t="inlineStr">
        <is>
          <t>Model Y</t>
        </is>
      </c>
      <c r="E437" t="n">
        <v>3411</v>
      </c>
      <c r="F437" t="n">
        <v>64896.96</v>
      </c>
      <c r="G437" t="n">
        <v>53</v>
      </c>
      <c r="H437" t="inlineStr">
        <is>
          <t>Performance</t>
        </is>
      </c>
      <c r="I437" t="inlineStr">
        <is>
          <t>RWD</t>
        </is>
      </c>
      <c r="J437" t="inlineStr">
        <is>
          <t>Silver</t>
        </is>
      </c>
      <c r="K437" t="n">
        <v>521</v>
      </c>
      <c r="L437" t="n">
        <v>37</v>
      </c>
      <c r="M437" t="n">
        <v>24.12</v>
      </c>
      <c r="N437" t="n">
        <v>4835.59</v>
      </c>
      <c r="O437" t="n">
        <v>4.06</v>
      </c>
      <c r="P437" t="n">
        <v>5</v>
      </c>
      <c r="Q437" t="n">
        <v>3</v>
      </c>
      <c r="R437" t="n">
        <v>2023.5</v>
      </c>
      <c r="S437" t="b">
        <v>0</v>
      </c>
      <c r="T437" t="n">
        <v>2476059</v>
      </c>
      <c r="U437" t="n">
        <v>11</v>
      </c>
      <c r="V437" t="n">
        <v>0.0944</v>
      </c>
      <c r="W437" t="n">
        <v>2.31</v>
      </c>
      <c r="X437" t="n">
        <v>62.98</v>
      </c>
      <c r="Y437">
        <f>VLOOKUP(D437,$AB$2:$AC$7,2,FALSE)</f>
        <v/>
      </c>
      <c r="Z437">
        <f>IF(A437&lt;Y437,"Yes","No")</f>
        <v/>
      </c>
    </row>
    <row r="438">
      <c r="A438" t="n">
        <v>2013</v>
      </c>
      <c r="B438" t="inlineStr">
        <is>
          <t>Q1</t>
        </is>
      </c>
      <c r="C438" t="inlineStr">
        <is>
          <t>North America</t>
        </is>
      </c>
      <c r="D438" t="inlineStr">
        <is>
          <t>Semi</t>
        </is>
      </c>
      <c r="E438" t="n">
        <v>184</v>
      </c>
      <c r="F438" t="n">
        <v>87382.13</v>
      </c>
      <c r="G438" t="n">
        <v>26</v>
      </c>
      <c r="H438" t="inlineStr">
        <is>
          <t>Standard</t>
        </is>
      </c>
      <c r="I438" t="inlineStr">
        <is>
          <t>RWD</t>
        </is>
      </c>
      <c r="J438" t="inlineStr">
        <is>
          <t>Green</t>
        </is>
      </c>
      <c r="K438" t="n">
        <v>669</v>
      </c>
      <c r="L438" t="n">
        <v>89</v>
      </c>
      <c r="M438" t="n">
        <v>19.54</v>
      </c>
      <c r="N438" t="n">
        <v>325.14</v>
      </c>
      <c r="O438" t="n">
        <v>4.26</v>
      </c>
      <c r="P438" t="n">
        <v>4</v>
      </c>
      <c r="Q438" t="n">
        <v>2</v>
      </c>
      <c r="R438" t="n">
        <v>2023.4</v>
      </c>
      <c r="S438" t="b">
        <v>1</v>
      </c>
      <c r="T438" t="n">
        <v>3913711</v>
      </c>
      <c r="U438" t="n">
        <v>10</v>
      </c>
      <c r="V438" t="n">
        <v>0.0443</v>
      </c>
      <c r="W438" t="n">
        <v>0.89</v>
      </c>
      <c r="X438" t="n">
        <v>74.09</v>
      </c>
      <c r="Y438">
        <f>VLOOKUP(D438,$AB$2:$AC$7,2,FALSE)</f>
        <v/>
      </c>
      <c r="Z438">
        <f>IF(A438&lt;Y438,"Yes","No")</f>
        <v/>
      </c>
    </row>
    <row r="439">
      <c r="A439" t="n">
        <v>2013</v>
      </c>
      <c r="B439" t="inlineStr">
        <is>
          <t>Q3</t>
        </is>
      </c>
      <c r="C439" t="inlineStr">
        <is>
          <t>Australia</t>
        </is>
      </c>
      <c r="D439" t="inlineStr">
        <is>
          <t>Model Y</t>
        </is>
      </c>
      <c r="E439" t="n">
        <v>3292</v>
      </c>
      <c r="F439" t="n">
        <v>35646.44</v>
      </c>
      <c r="G439" t="n">
        <v>23</v>
      </c>
      <c r="H439" t="inlineStr">
        <is>
          <t>Standard</t>
        </is>
      </c>
      <c r="I439" t="inlineStr">
        <is>
          <t>RWD</t>
        </is>
      </c>
      <c r="J439" t="inlineStr">
        <is>
          <t>White</t>
        </is>
      </c>
      <c r="K439" t="n">
        <v>687</v>
      </c>
      <c r="L439" t="n">
        <v>46</v>
      </c>
      <c r="M439" t="n">
        <v>16.69</v>
      </c>
      <c r="N439" t="n">
        <v>7589.2</v>
      </c>
      <c r="O439" t="n">
        <v>4.86</v>
      </c>
      <c r="P439" t="n">
        <v>5</v>
      </c>
      <c r="Q439" t="n">
        <v>0</v>
      </c>
      <c r="R439" t="n">
        <v>2023.1</v>
      </c>
      <c r="S439" t="b">
        <v>1</v>
      </c>
      <c r="T439" t="n">
        <v>320174</v>
      </c>
      <c r="U439" t="n">
        <v>4</v>
      </c>
      <c r="V439" t="n">
        <v>0.08110000000000001</v>
      </c>
      <c r="W439" t="n">
        <v>2.18</v>
      </c>
      <c r="X439" t="n">
        <v>75.56999999999999</v>
      </c>
      <c r="Y439">
        <f>VLOOKUP(D439,$AB$2:$AC$7,2,FALSE)</f>
        <v/>
      </c>
      <c r="Z439">
        <f>IF(A439&lt;Y439,"Yes","No")</f>
        <v/>
      </c>
    </row>
    <row r="440">
      <c r="A440" t="n">
        <v>2023</v>
      </c>
      <c r="B440" t="inlineStr">
        <is>
          <t>Q3</t>
        </is>
      </c>
      <c r="C440" t="inlineStr">
        <is>
          <t>Asia</t>
        </is>
      </c>
      <c r="D440" t="inlineStr">
        <is>
          <t>Model 3</t>
        </is>
      </c>
      <c r="E440" t="n">
        <v>4737</v>
      </c>
      <c r="F440" t="n">
        <v>119390.48</v>
      </c>
      <c r="G440" t="n">
        <v>15</v>
      </c>
      <c r="H440" t="inlineStr">
        <is>
          <t>Performance</t>
        </is>
      </c>
      <c r="I440" t="inlineStr">
        <is>
          <t>RWD</t>
        </is>
      </c>
      <c r="J440" t="inlineStr">
        <is>
          <t>Black</t>
        </is>
      </c>
      <c r="K440" t="n">
        <v>665</v>
      </c>
      <c r="L440" t="n">
        <v>71</v>
      </c>
      <c r="M440" t="n">
        <v>17.72</v>
      </c>
      <c r="N440" t="n">
        <v>2857.18</v>
      </c>
      <c r="O440" t="n">
        <v>4.9</v>
      </c>
      <c r="P440" t="n">
        <v>8</v>
      </c>
      <c r="Q440" t="n">
        <v>1</v>
      </c>
      <c r="R440" t="n">
        <v>2023.12</v>
      </c>
      <c r="S440" t="b">
        <v>1</v>
      </c>
      <c r="T440" t="n">
        <v>3481607</v>
      </c>
      <c r="U440" t="n">
        <v>7</v>
      </c>
      <c r="V440" t="n">
        <v>0.0566</v>
      </c>
      <c r="W440" t="n">
        <v>1.37</v>
      </c>
      <c r="X440" t="n">
        <v>62.99</v>
      </c>
      <c r="Y440">
        <f>VLOOKUP(D440,$AB$2:$AC$7,2,FALSE)</f>
        <v/>
      </c>
      <c r="Z440">
        <f>IF(A440&lt;Y440,"Yes","No")</f>
        <v/>
      </c>
    </row>
    <row r="441">
      <c r="A441" t="n">
        <v>2024</v>
      </c>
      <c r="B441" t="inlineStr">
        <is>
          <t>Q2</t>
        </is>
      </c>
      <c r="C441" t="inlineStr">
        <is>
          <t>South America</t>
        </is>
      </c>
      <c r="D441" t="inlineStr">
        <is>
          <t>Model S</t>
        </is>
      </c>
      <c r="E441" t="n">
        <v>4776</v>
      </c>
      <c r="F441" t="n">
        <v>101663.91</v>
      </c>
      <c r="G441" t="n">
        <v>53</v>
      </c>
      <c r="H441" t="inlineStr">
        <is>
          <t>Performance</t>
        </is>
      </c>
      <c r="I441" t="inlineStr">
        <is>
          <t>RWD</t>
        </is>
      </c>
      <c r="J441" t="inlineStr">
        <is>
          <t>Silver</t>
        </is>
      </c>
      <c r="K441" t="n">
        <v>431</v>
      </c>
      <c r="L441" t="n">
        <v>90</v>
      </c>
      <c r="M441" t="n">
        <v>16.87</v>
      </c>
      <c r="N441" t="n">
        <v>3278.77</v>
      </c>
      <c r="O441" t="n">
        <v>3.54</v>
      </c>
      <c r="P441" t="n">
        <v>4</v>
      </c>
      <c r="Q441" t="n">
        <v>1</v>
      </c>
      <c r="R441" t="n">
        <v>2020.1</v>
      </c>
      <c r="S441" t="b">
        <v>1</v>
      </c>
      <c r="T441" t="n">
        <v>4896554</v>
      </c>
      <c r="U441" t="n">
        <v>8</v>
      </c>
      <c r="V441" t="n">
        <v>0.0123</v>
      </c>
      <c r="W441" t="n">
        <v>1.97</v>
      </c>
      <c r="X441" t="n">
        <v>89.5</v>
      </c>
      <c r="Y441">
        <f>VLOOKUP(D441,$AB$2:$AC$7,2,FALSE)</f>
        <v/>
      </c>
      <c r="Z441">
        <f>IF(A441&lt;Y441,"Yes","No")</f>
        <v/>
      </c>
    </row>
    <row r="442">
      <c r="A442" t="n">
        <v>2022</v>
      </c>
      <c r="B442" t="inlineStr">
        <is>
          <t>Q3</t>
        </is>
      </c>
      <c r="C442" t="inlineStr">
        <is>
          <t>Europe</t>
        </is>
      </c>
      <c r="D442" t="inlineStr">
        <is>
          <t>Model 3</t>
        </is>
      </c>
      <c r="E442" t="n">
        <v>1866</v>
      </c>
      <c r="F442" t="n">
        <v>60238.41</v>
      </c>
      <c r="G442" t="n">
        <v>34</v>
      </c>
      <c r="H442" t="inlineStr">
        <is>
          <t>Standard</t>
        </is>
      </c>
      <c r="I442" t="inlineStr">
        <is>
          <t>RWD</t>
        </is>
      </c>
      <c r="J442" t="inlineStr">
        <is>
          <t>White</t>
        </is>
      </c>
      <c r="K442" t="n">
        <v>687</v>
      </c>
      <c r="L442" t="n">
        <v>33</v>
      </c>
      <c r="M442" t="n">
        <v>16.3</v>
      </c>
      <c r="N442" t="n">
        <v>4422.33</v>
      </c>
      <c r="O442" t="n">
        <v>4.44</v>
      </c>
      <c r="P442" t="n">
        <v>4</v>
      </c>
      <c r="Q442" t="n">
        <v>0</v>
      </c>
      <c r="R442" t="n">
        <v>2023.1</v>
      </c>
      <c r="S442" t="b">
        <v>1</v>
      </c>
      <c r="T442" t="n">
        <v>998224</v>
      </c>
      <c r="U442" t="n">
        <v>4</v>
      </c>
      <c r="V442" t="n">
        <v>0.0354</v>
      </c>
      <c r="W442" t="n">
        <v>2.29</v>
      </c>
      <c r="X442" t="n">
        <v>62.78</v>
      </c>
      <c r="Y442">
        <f>VLOOKUP(D442,$AB$2:$AC$7,2,FALSE)</f>
        <v/>
      </c>
      <c r="Z442">
        <f>IF(A442&lt;Y442,"Yes","No")</f>
        <v/>
      </c>
    </row>
    <row r="443">
      <c r="A443" t="n">
        <v>2019</v>
      </c>
      <c r="B443" t="inlineStr">
        <is>
          <t>Q3</t>
        </is>
      </c>
      <c r="C443" t="inlineStr">
        <is>
          <t>Europe</t>
        </is>
      </c>
      <c r="D443" t="inlineStr">
        <is>
          <t>Model Y</t>
        </is>
      </c>
      <c r="E443" t="n">
        <v>874</v>
      </c>
      <c r="F443" t="n">
        <v>76738.14</v>
      </c>
      <c r="G443" t="n">
        <v>1</v>
      </c>
      <c r="H443" t="inlineStr">
        <is>
          <t>Long Range</t>
        </is>
      </c>
      <c r="I443" t="inlineStr">
        <is>
          <t>AWD</t>
        </is>
      </c>
      <c r="J443" t="inlineStr">
        <is>
          <t>Blue</t>
        </is>
      </c>
      <c r="K443" t="n">
        <v>670</v>
      </c>
      <c r="L443" t="n">
        <v>34</v>
      </c>
      <c r="M443" t="n">
        <v>15.52</v>
      </c>
      <c r="N443" t="n">
        <v>1171</v>
      </c>
      <c r="O443" t="n">
        <v>4.83</v>
      </c>
      <c r="P443" t="n">
        <v>8</v>
      </c>
      <c r="Q443" t="n">
        <v>1</v>
      </c>
      <c r="R443" t="n">
        <v>2021.5</v>
      </c>
      <c r="S443" t="b">
        <v>1</v>
      </c>
      <c r="T443" t="n">
        <v>1598851</v>
      </c>
      <c r="U443" t="n">
        <v>12</v>
      </c>
      <c r="V443" t="n">
        <v>0.0611</v>
      </c>
      <c r="W443" t="n">
        <v>1.71</v>
      </c>
      <c r="X443" t="n">
        <v>60.94</v>
      </c>
      <c r="Y443">
        <f>VLOOKUP(D443,$AB$2:$AC$7,2,FALSE)</f>
        <v/>
      </c>
      <c r="Z443">
        <f>IF(A443&lt;Y443,"Yes","No")</f>
        <v/>
      </c>
    </row>
    <row r="444">
      <c r="A444" t="n">
        <v>2017</v>
      </c>
      <c r="B444" t="inlineStr">
        <is>
          <t>Q3</t>
        </is>
      </c>
      <c r="C444" t="inlineStr">
        <is>
          <t>Australia</t>
        </is>
      </c>
      <c r="D444" t="inlineStr">
        <is>
          <t>Cybertruck</t>
        </is>
      </c>
      <c r="E444" t="n">
        <v>4965</v>
      </c>
      <c r="F444" t="n">
        <v>81451.03999999999</v>
      </c>
      <c r="G444" t="n">
        <v>10</v>
      </c>
      <c r="H444" t="inlineStr">
        <is>
          <t>Performance</t>
        </is>
      </c>
      <c r="I444" t="inlineStr">
        <is>
          <t>RWD</t>
        </is>
      </c>
      <c r="J444" t="inlineStr">
        <is>
          <t>Red</t>
        </is>
      </c>
      <c r="K444" t="n">
        <v>448</v>
      </c>
      <c r="L444" t="n">
        <v>68</v>
      </c>
      <c r="M444" t="n">
        <v>13.35</v>
      </c>
      <c r="N444" t="n">
        <v>2711.27</v>
      </c>
      <c r="O444" t="n">
        <v>4.27</v>
      </c>
      <c r="P444" t="n">
        <v>5</v>
      </c>
      <c r="Q444" t="n">
        <v>1</v>
      </c>
      <c r="R444" t="n">
        <v>2022.2</v>
      </c>
      <c r="S444" t="b">
        <v>1</v>
      </c>
      <c r="T444" t="n">
        <v>347443</v>
      </c>
      <c r="U444" t="n">
        <v>7</v>
      </c>
      <c r="V444" t="n">
        <v>0.0225</v>
      </c>
      <c r="W444" t="n">
        <v>0.67</v>
      </c>
      <c r="X444" t="n">
        <v>80.75</v>
      </c>
      <c r="Y444">
        <f>VLOOKUP(D444,$AB$2:$AC$7,2,FALSE)</f>
        <v/>
      </c>
      <c r="Z444">
        <f>IF(A444&lt;Y444,"Yes","No")</f>
        <v/>
      </c>
    </row>
    <row r="445">
      <c r="A445" t="n">
        <v>2014</v>
      </c>
      <c r="B445" t="inlineStr">
        <is>
          <t>Q3</t>
        </is>
      </c>
      <c r="C445" t="inlineStr">
        <is>
          <t>Asia</t>
        </is>
      </c>
      <c r="D445" t="inlineStr">
        <is>
          <t>Model Y</t>
        </is>
      </c>
      <c r="E445" t="n">
        <v>1682</v>
      </c>
      <c r="F445" t="n">
        <v>116024.5</v>
      </c>
      <c r="G445" t="n">
        <v>22</v>
      </c>
      <c r="H445" t="inlineStr">
        <is>
          <t>Performance</t>
        </is>
      </c>
      <c r="I445" t="inlineStr">
        <is>
          <t>RWD</t>
        </is>
      </c>
      <c r="J445" t="inlineStr">
        <is>
          <t>Blue</t>
        </is>
      </c>
      <c r="K445" t="n">
        <v>603</v>
      </c>
      <c r="L445" t="n">
        <v>57</v>
      </c>
      <c r="M445" t="n">
        <v>19.15</v>
      </c>
      <c r="N445" t="n">
        <v>2186.41</v>
      </c>
      <c r="O445" t="n">
        <v>3.79</v>
      </c>
      <c r="P445" t="n">
        <v>5</v>
      </c>
      <c r="Q445" t="n">
        <v>1</v>
      </c>
      <c r="R445" t="n">
        <v>2022.7</v>
      </c>
      <c r="S445" t="b">
        <v>1</v>
      </c>
      <c r="T445" t="n">
        <v>4995996</v>
      </c>
      <c r="U445" t="n">
        <v>11</v>
      </c>
      <c r="V445" t="n">
        <v>0.038</v>
      </c>
      <c r="W445" t="n">
        <v>2.09</v>
      </c>
      <c r="X445" t="n">
        <v>88.61</v>
      </c>
      <c r="Y445">
        <f>VLOOKUP(D445,$AB$2:$AC$7,2,FALSE)</f>
        <v/>
      </c>
      <c r="Z445">
        <f>IF(A445&lt;Y445,"Yes","No")</f>
        <v/>
      </c>
    </row>
    <row r="446">
      <c r="A446" t="n">
        <v>2019</v>
      </c>
      <c r="B446" t="inlineStr">
        <is>
          <t>Q4</t>
        </is>
      </c>
      <c r="C446" t="inlineStr">
        <is>
          <t>Australia</t>
        </is>
      </c>
      <c r="D446" t="inlineStr">
        <is>
          <t>Model Y</t>
        </is>
      </c>
      <c r="E446" t="n">
        <v>4935</v>
      </c>
      <c r="F446" t="n">
        <v>98501.74000000001</v>
      </c>
      <c r="G446" t="n">
        <v>52</v>
      </c>
      <c r="H446" t="inlineStr">
        <is>
          <t>Long Range</t>
        </is>
      </c>
      <c r="I446" t="inlineStr">
        <is>
          <t>AWD</t>
        </is>
      </c>
      <c r="J446" t="inlineStr">
        <is>
          <t>Silver</t>
        </is>
      </c>
      <c r="K446" t="n">
        <v>546</v>
      </c>
      <c r="L446" t="n">
        <v>57</v>
      </c>
      <c r="M446" t="n">
        <v>15.4</v>
      </c>
      <c r="N446" t="n">
        <v>5950.78</v>
      </c>
      <c r="O446" t="n">
        <v>4.85</v>
      </c>
      <c r="P446" t="n">
        <v>4</v>
      </c>
      <c r="Q446" t="n">
        <v>3</v>
      </c>
      <c r="R446" t="n">
        <v>2021.1</v>
      </c>
      <c r="S446" t="b">
        <v>0</v>
      </c>
      <c r="T446" t="n">
        <v>3537720</v>
      </c>
      <c r="U446" t="n">
        <v>6</v>
      </c>
      <c r="V446" t="n">
        <v>0.0643</v>
      </c>
      <c r="W446" t="n">
        <v>2.25</v>
      </c>
      <c r="X446" t="n">
        <v>88.51000000000001</v>
      </c>
      <c r="Y446">
        <f>VLOOKUP(D446,$AB$2:$AC$7,2,FALSE)</f>
        <v/>
      </c>
      <c r="Z446">
        <f>IF(A446&lt;Y446,"Yes","No")</f>
        <v/>
      </c>
    </row>
    <row r="447">
      <c r="A447" t="n">
        <v>2020</v>
      </c>
      <c r="B447" t="inlineStr">
        <is>
          <t>Q3</t>
        </is>
      </c>
      <c r="C447" t="inlineStr">
        <is>
          <t>Australia</t>
        </is>
      </c>
      <c r="D447" t="inlineStr">
        <is>
          <t>Model S</t>
        </is>
      </c>
      <c r="E447" t="n">
        <v>989</v>
      </c>
      <c r="F447" t="n">
        <v>50291.86</v>
      </c>
      <c r="G447" t="n">
        <v>20</v>
      </c>
      <c r="H447" t="inlineStr">
        <is>
          <t>Long Range</t>
        </is>
      </c>
      <c r="I447" t="inlineStr">
        <is>
          <t>AWD</t>
        </is>
      </c>
      <c r="J447" t="inlineStr">
        <is>
          <t>White</t>
        </is>
      </c>
      <c r="K447" t="n">
        <v>475</v>
      </c>
      <c r="L447" t="n">
        <v>34</v>
      </c>
      <c r="M447" t="n">
        <v>15.58</v>
      </c>
      <c r="N447" t="n">
        <v>1229.64</v>
      </c>
      <c r="O447" t="n">
        <v>3.72</v>
      </c>
      <c r="P447" t="n">
        <v>6</v>
      </c>
      <c r="Q447" t="n">
        <v>0</v>
      </c>
      <c r="R447" t="n">
        <v>2020.6</v>
      </c>
      <c r="S447" t="b">
        <v>1</v>
      </c>
      <c r="T447" t="n">
        <v>2858756</v>
      </c>
      <c r="U447" t="n">
        <v>5</v>
      </c>
      <c r="V447" t="n">
        <v>0.0519</v>
      </c>
      <c r="W447" t="n">
        <v>2.09</v>
      </c>
      <c r="X447" t="n">
        <v>86.95999999999999</v>
      </c>
      <c r="Y447">
        <f>VLOOKUP(D447,$AB$2:$AC$7,2,FALSE)</f>
        <v/>
      </c>
      <c r="Z447">
        <f>IF(A447&lt;Y447,"Yes","No")</f>
        <v/>
      </c>
    </row>
    <row r="448">
      <c r="A448" t="n">
        <v>2020</v>
      </c>
      <c r="B448" t="inlineStr">
        <is>
          <t>Q1</t>
        </is>
      </c>
      <c r="C448" t="inlineStr">
        <is>
          <t>Australia</t>
        </is>
      </c>
      <c r="D448" t="inlineStr">
        <is>
          <t>Model X</t>
        </is>
      </c>
      <c r="E448" t="n">
        <v>4979</v>
      </c>
      <c r="F448" t="n">
        <v>53034.89</v>
      </c>
      <c r="G448" t="n">
        <v>13</v>
      </c>
      <c r="H448" t="inlineStr">
        <is>
          <t>Standard</t>
        </is>
      </c>
      <c r="I448" t="inlineStr">
        <is>
          <t>RWD</t>
        </is>
      </c>
      <c r="J448" t="inlineStr">
        <is>
          <t>Green</t>
        </is>
      </c>
      <c r="K448" t="n">
        <v>661</v>
      </c>
      <c r="L448" t="n">
        <v>90</v>
      </c>
      <c r="M448" t="n">
        <v>23.6</v>
      </c>
      <c r="N448" t="n">
        <v>11052.51</v>
      </c>
      <c r="O448" t="n">
        <v>3.61</v>
      </c>
      <c r="P448" t="n">
        <v>8</v>
      </c>
      <c r="Q448" t="n">
        <v>3</v>
      </c>
      <c r="R448" t="n">
        <v>2022.6</v>
      </c>
      <c r="S448" t="b">
        <v>1</v>
      </c>
      <c r="T448" t="n">
        <v>1753589</v>
      </c>
      <c r="U448" t="n">
        <v>2</v>
      </c>
      <c r="V448" t="n">
        <v>0.0822</v>
      </c>
      <c r="W448" t="n">
        <v>1.5</v>
      </c>
      <c r="X448" t="n">
        <v>89.70999999999999</v>
      </c>
      <c r="Y448">
        <f>VLOOKUP(D448,$AB$2:$AC$7,2,FALSE)</f>
        <v/>
      </c>
      <c r="Z448">
        <f>IF(A448&lt;Y448,"Yes","No")</f>
        <v/>
      </c>
    </row>
    <row r="449">
      <c r="A449" t="n">
        <v>2018</v>
      </c>
      <c r="B449" t="inlineStr">
        <is>
          <t>Q1</t>
        </is>
      </c>
      <c r="C449" t="inlineStr">
        <is>
          <t>North America</t>
        </is>
      </c>
      <c r="D449" t="inlineStr">
        <is>
          <t>Model Y</t>
        </is>
      </c>
      <c r="E449" t="n">
        <v>1451</v>
      </c>
      <c r="F449" t="n">
        <v>86121.61</v>
      </c>
      <c r="G449" t="n">
        <v>37</v>
      </c>
      <c r="H449" t="inlineStr">
        <is>
          <t>Long Range</t>
        </is>
      </c>
      <c r="I449" t="inlineStr">
        <is>
          <t>AWD</t>
        </is>
      </c>
      <c r="J449" t="inlineStr">
        <is>
          <t>Silver</t>
        </is>
      </c>
      <c r="K449" t="n">
        <v>360</v>
      </c>
      <c r="L449" t="n">
        <v>48</v>
      </c>
      <c r="M449" t="n">
        <v>13.21</v>
      </c>
      <c r="N449" t="n">
        <v>2998.65</v>
      </c>
      <c r="O449" t="n">
        <v>4.36</v>
      </c>
      <c r="P449" t="n">
        <v>4</v>
      </c>
      <c r="Q449" t="n">
        <v>3</v>
      </c>
      <c r="R449" t="n">
        <v>2022.3</v>
      </c>
      <c r="S449" t="b">
        <v>0</v>
      </c>
      <c r="T449" t="n">
        <v>410447</v>
      </c>
      <c r="U449" t="n">
        <v>10</v>
      </c>
      <c r="V449" t="n">
        <v>0.0926</v>
      </c>
      <c r="W449" t="n">
        <v>0.58</v>
      </c>
      <c r="X449" t="n">
        <v>79.34</v>
      </c>
      <c r="Y449">
        <f>VLOOKUP(D449,$AB$2:$AC$7,2,FALSE)</f>
        <v/>
      </c>
      <c r="Z449">
        <f>IF(A449&lt;Y449,"Yes","No")</f>
        <v/>
      </c>
    </row>
    <row r="450">
      <c r="A450" t="n">
        <v>2013</v>
      </c>
      <c r="B450" t="inlineStr">
        <is>
          <t>Q4</t>
        </is>
      </c>
      <c r="C450" t="inlineStr">
        <is>
          <t>North America</t>
        </is>
      </c>
      <c r="D450" t="inlineStr">
        <is>
          <t>Model Y</t>
        </is>
      </c>
      <c r="E450" t="n">
        <v>2515</v>
      </c>
      <c r="F450" t="n">
        <v>58347.25</v>
      </c>
      <c r="G450" t="n">
        <v>48</v>
      </c>
      <c r="H450" t="inlineStr">
        <is>
          <t>Long Range</t>
        </is>
      </c>
      <c r="I450" t="inlineStr">
        <is>
          <t>RWD</t>
        </is>
      </c>
      <c r="J450" t="inlineStr">
        <is>
          <t>Red</t>
        </is>
      </c>
      <c r="K450" t="n">
        <v>634</v>
      </c>
      <c r="L450" t="n">
        <v>79</v>
      </c>
      <c r="M450" t="n">
        <v>16.76</v>
      </c>
      <c r="N450" t="n">
        <v>4337.47</v>
      </c>
      <c r="O450" t="n">
        <v>4.09</v>
      </c>
      <c r="P450" t="n">
        <v>8</v>
      </c>
      <c r="Q450" t="n">
        <v>3</v>
      </c>
      <c r="R450" t="n">
        <v>2020.6</v>
      </c>
      <c r="S450" t="b">
        <v>1</v>
      </c>
      <c r="T450" t="n">
        <v>345687</v>
      </c>
      <c r="U450" t="n">
        <v>5</v>
      </c>
      <c r="V450" t="n">
        <v>0.0143</v>
      </c>
      <c r="W450" t="n">
        <v>0.52</v>
      </c>
      <c r="X450" t="n">
        <v>63.15</v>
      </c>
      <c r="Y450">
        <f>VLOOKUP(D450,$AB$2:$AC$7,2,FALSE)</f>
        <v/>
      </c>
      <c r="Z450">
        <f>IF(A450&lt;Y450,"Yes","No")</f>
        <v/>
      </c>
    </row>
    <row r="451">
      <c r="A451" t="n">
        <v>2017</v>
      </c>
      <c r="B451" t="inlineStr">
        <is>
          <t>Q4</t>
        </is>
      </c>
      <c r="C451" t="inlineStr">
        <is>
          <t>Europe</t>
        </is>
      </c>
      <c r="D451" t="inlineStr">
        <is>
          <t>Model 3</t>
        </is>
      </c>
      <c r="E451" t="n">
        <v>771</v>
      </c>
      <c r="F451" t="n">
        <v>51248.57</v>
      </c>
      <c r="G451" t="n">
        <v>57</v>
      </c>
      <c r="H451" t="inlineStr">
        <is>
          <t>Long Range</t>
        </is>
      </c>
      <c r="I451" t="inlineStr">
        <is>
          <t>AWD</t>
        </is>
      </c>
      <c r="J451" t="inlineStr">
        <is>
          <t>Green</t>
        </is>
      </c>
      <c r="K451" t="n">
        <v>376</v>
      </c>
      <c r="L451" t="n">
        <v>46</v>
      </c>
      <c r="M451" t="n">
        <v>23.6</v>
      </c>
      <c r="N451" t="n">
        <v>451.92</v>
      </c>
      <c r="O451" t="n">
        <v>3.57</v>
      </c>
      <c r="P451" t="n">
        <v>6</v>
      </c>
      <c r="Q451" t="n">
        <v>0</v>
      </c>
      <c r="R451" t="n">
        <v>2022.6</v>
      </c>
      <c r="S451" t="b">
        <v>0</v>
      </c>
      <c r="T451" t="n">
        <v>2364186</v>
      </c>
      <c r="U451" t="n">
        <v>4</v>
      </c>
      <c r="V451" t="n">
        <v>0.09320000000000001</v>
      </c>
      <c r="W451" t="n">
        <v>1.67</v>
      </c>
      <c r="X451" t="n">
        <v>63.6</v>
      </c>
      <c r="Y451">
        <f>VLOOKUP(D451,$AB$2:$AC$7,2,FALSE)</f>
        <v/>
      </c>
      <c r="Z451">
        <f>IF(A451&lt;Y451,"Yes","No")</f>
        <v/>
      </c>
    </row>
    <row r="452">
      <c r="A452" t="n">
        <v>2017</v>
      </c>
      <c r="B452" t="inlineStr">
        <is>
          <t>Q2</t>
        </is>
      </c>
      <c r="C452" t="inlineStr">
        <is>
          <t>South America</t>
        </is>
      </c>
      <c r="D452" t="inlineStr">
        <is>
          <t>Model Y</t>
        </is>
      </c>
      <c r="E452" t="n">
        <v>3710</v>
      </c>
      <c r="F452" t="n">
        <v>91800</v>
      </c>
      <c r="G452" t="n">
        <v>33</v>
      </c>
      <c r="H452" t="inlineStr">
        <is>
          <t>Performance</t>
        </is>
      </c>
      <c r="I452" t="inlineStr">
        <is>
          <t>AWD</t>
        </is>
      </c>
      <c r="J452" t="inlineStr">
        <is>
          <t>Silver</t>
        </is>
      </c>
      <c r="K452" t="n">
        <v>594</v>
      </c>
      <c r="L452" t="n">
        <v>72</v>
      </c>
      <c r="M452" t="n">
        <v>18.88</v>
      </c>
      <c r="N452" t="n">
        <v>3936.62</v>
      </c>
      <c r="O452" t="n">
        <v>4.66</v>
      </c>
      <c r="P452" t="n">
        <v>8</v>
      </c>
      <c r="Q452" t="n">
        <v>1</v>
      </c>
      <c r="R452" t="n">
        <v>2020.5</v>
      </c>
      <c r="S452" t="b">
        <v>0</v>
      </c>
      <c r="T452" t="n">
        <v>794528</v>
      </c>
      <c r="U452" t="n">
        <v>7</v>
      </c>
      <c r="V452" t="n">
        <v>0.0603</v>
      </c>
      <c r="W452" t="n">
        <v>2.25</v>
      </c>
      <c r="X452" t="n">
        <v>79.78</v>
      </c>
      <c r="Y452">
        <f>VLOOKUP(D452,$AB$2:$AC$7,2,FALSE)</f>
        <v/>
      </c>
      <c r="Z452">
        <f>IF(A452&lt;Y452,"Yes","No")</f>
        <v/>
      </c>
    </row>
    <row r="453">
      <c r="A453" t="n">
        <v>2023</v>
      </c>
      <c r="B453" t="inlineStr">
        <is>
          <t>Q2</t>
        </is>
      </c>
      <c r="C453" t="inlineStr">
        <is>
          <t>North America</t>
        </is>
      </c>
      <c r="D453" t="inlineStr">
        <is>
          <t>Model S</t>
        </is>
      </c>
      <c r="E453" t="n">
        <v>4101</v>
      </c>
      <c r="F453" t="n">
        <v>40122.69</v>
      </c>
      <c r="G453" t="n">
        <v>0</v>
      </c>
      <c r="H453" t="inlineStr">
        <is>
          <t>Performance</t>
        </is>
      </c>
      <c r="I453" t="inlineStr">
        <is>
          <t>AWD</t>
        </is>
      </c>
      <c r="J453" t="inlineStr">
        <is>
          <t>Blue</t>
        </is>
      </c>
      <c r="K453" t="n">
        <v>547</v>
      </c>
      <c r="L453" t="n">
        <v>42</v>
      </c>
      <c r="M453" t="n">
        <v>18.85</v>
      </c>
      <c r="N453" t="n">
        <v>4842.87</v>
      </c>
      <c r="O453" t="n">
        <v>4.72</v>
      </c>
      <c r="P453" t="n">
        <v>6</v>
      </c>
      <c r="Q453" t="n">
        <v>2</v>
      </c>
      <c r="R453" t="n">
        <v>2023.11</v>
      </c>
      <c r="S453" t="b">
        <v>1</v>
      </c>
      <c r="T453" t="n">
        <v>4332148</v>
      </c>
      <c r="U453" t="n">
        <v>3</v>
      </c>
      <c r="V453" t="n">
        <v>0.09229999999999999</v>
      </c>
      <c r="W453" t="n">
        <v>0.9399999999999999</v>
      </c>
      <c r="X453" t="n">
        <v>70.91</v>
      </c>
      <c r="Y453">
        <f>VLOOKUP(D453,$AB$2:$AC$7,2,FALSE)</f>
        <v/>
      </c>
      <c r="Z453">
        <f>IF(A453&lt;Y453,"Yes","No")</f>
        <v/>
      </c>
    </row>
    <row r="454">
      <c r="A454" t="n">
        <v>2019</v>
      </c>
      <c r="B454" t="inlineStr">
        <is>
          <t>Q2</t>
        </is>
      </c>
      <c r="C454" t="inlineStr">
        <is>
          <t>Australia</t>
        </is>
      </c>
      <c r="D454" t="inlineStr">
        <is>
          <t>Model 3</t>
        </is>
      </c>
      <c r="E454" t="n">
        <v>612</v>
      </c>
      <c r="F454" t="n">
        <v>58616.27</v>
      </c>
      <c r="G454" t="n">
        <v>10</v>
      </c>
      <c r="H454" t="inlineStr">
        <is>
          <t>Performance</t>
        </is>
      </c>
      <c r="I454" t="inlineStr">
        <is>
          <t>RWD</t>
        </is>
      </c>
      <c r="J454" t="inlineStr">
        <is>
          <t>Silver</t>
        </is>
      </c>
      <c r="K454" t="n">
        <v>681</v>
      </c>
      <c r="L454" t="n">
        <v>36</v>
      </c>
      <c r="M454" t="n">
        <v>14.77</v>
      </c>
      <c r="N454" t="n">
        <v>1378.46</v>
      </c>
      <c r="O454" t="n">
        <v>4.62</v>
      </c>
      <c r="P454" t="n">
        <v>5</v>
      </c>
      <c r="Q454" t="n">
        <v>0</v>
      </c>
      <c r="R454" t="n">
        <v>2023.3</v>
      </c>
      <c r="S454" t="b">
        <v>0</v>
      </c>
      <c r="T454" t="n">
        <v>339798</v>
      </c>
      <c r="U454" t="n">
        <v>9</v>
      </c>
      <c r="V454" t="n">
        <v>0.0696</v>
      </c>
      <c r="W454" t="n">
        <v>1.41</v>
      </c>
      <c r="X454" t="n">
        <v>67.97</v>
      </c>
      <c r="Y454">
        <f>VLOOKUP(D454,$AB$2:$AC$7,2,FALSE)</f>
        <v/>
      </c>
      <c r="Z454">
        <f>IF(A454&lt;Y454,"Yes","No")</f>
        <v/>
      </c>
    </row>
    <row r="455">
      <c r="A455" t="n">
        <v>2020</v>
      </c>
      <c r="B455" t="inlineStr">
        <is>
          <t>Q1</t>
        </is>
      </c>
      <c r="C455" t="inlineStr">
        <is>
          <t>Asia</t>
        </is>
      </c>
      <c r="D455" t="inlineStr">
        <is>
          <t>Model Y</t>
        </is>
      </c>
      <c r="E455" t="n">
        <v>1787</v>
      </c>
      <c r="F455" t="n">
        <v>47802.7</v>
      </c>
      <c r="G455" t="n">
        <v>32</v>
      </c>
      <c r="H455" t="inlineStr">
        <is>
          <t>Long Range</t>
        </is>
      </c>
      <c r="I455" t="inlineStr">
        <is>
          <t>RWD</t>
        </is>
      </c>
      <c r="J455" t="inlineStr">
        <is>
          <t>Red</t>
        </is>
      </c>
      <c r="K455" t="n">
        <v>575</v>
      </c>
      <c r="L455" t="n">
        <v>47</v>
      </c>
      <c r="M455" t="n">
        <v>17.44</v>
      </c>
      <c r="N455" t="n">
        <v>1069.11</v>
      </c>
      <c r="O455" t="n">
        <v>4.07</v>
      </c>
      <c r="P455" t="n">
        <v>8</v>
      </c>
      <c r="Q455" t="n">
        <v>1</v>
      </c>
      <c r="R455" t="n">
        <v>2022.4</v>
      </c>
      <c r="S455" t="b">
        <v>0</v>
      </c>
      <c r="T455" t="n">
        <v>1581806</v>
      </c>
      <c r="U455" t="n">
        <v>11</v>
      </c>
      <c r="V455" t="n">
        <v>0.0348</v>
      </c>
      <c r="W455" t="n">
        <v>1.71</v>
      </c>
      <c r="X455" t="n">
        <v>75.56</v>
      </c>
      <c r="Y455">
        <f>VLOOKUP(D455,$AB$2:$AC$7,2,FALSE)</f>
        <v/>
      </c>
      <c r="Z455">
        <f>IF(A455&lt;Y455,"Yes","No")</f>
        <v/>
      </c>
    </row>
    <row r="456">
      <c r="A456" t="n">
        <v>2013</v>
      </c>
      <c r="B456" t="inlineStr">
        <is>
          <t>Q1</t>
        </is>
      </c>
      <c r="C456" t="inlineStr">
        <is>
          <t>Europe</t>
        </is>
      </c>
      <c r="D456" t="inlineStr">
        <is>
          <t>Model S</t>
        </is>
      </c>
      <c r="E456" t="n">
        <v>1848</v>
      </c>
      <c r="F456" t="n">
        <v>44790.97</v>
      </c>
      <c r="G456" t="n">
        <v>57</v>
      </c>
      <c r="H456" t="inlineStr">
        <is>
          <t>Standard</t>
        </is>
      </c>
      <c r="I456" t="inlineStr">
        <is>
          <t>RWD</t>
        </is>
      </c>
      <c r="J456" t="inlineStr">
        <is>
          <t>Black</t>
        </is>
      </c>
      <c r="K456" t="n">
        <v>383</v>
      </c>
      <c r="L456" t="n">
        <v>64</v>
      </c>
      <c r="M456" t="n">
        <v>14.21</v>
      </c>
      <c r="N456" t="n">
        <v>1761.01</v>
      </c>
      <c r="O456" t="n">
        <v>4.43</v>
      </c>
      <c r="P456" t="n">
        <v>8</v>
      </c>
      <c r="Q456" t="n">
        <v>3</v>
      </c>
      <c r="R456" t="n">
        <v>2023.2</v>
      </c>
      <c r="S456" t="b">
        <v>1</v>
      </c>
      <c r="T456" t="n">
        <v>2350386</v>
      </c>
      <c r="U456" t="n">
        <v>9</v>
      </c>
      <c r="V456" t="n">
        <v>0.0285</v>
      </c>
      <c r="W456" t="n">
        <v>2.07</v>
      </c>
      <c r="X456" t="n">
        <v>70.43000000000001</v>
      </c>
      <c r="Y456">
        <f>VLOOKUP(D456,$AB$2:$AC$7,2,FALSE)</f>
        <v/>
      </c>
      <c r="Z456">
        <f>IF(A456&lt;Y456,"Yes","No")</f>
        <v/>
      </c>
    </row>
    <row r="457">
      <c r="A457" t="n">
        <v>2016</v>
      </c>
      <c r="B457" t="inlineStr">
        <is>
          <t>Q3</t>
        </is>
      </c>
      <c r="C457" t="inlineStr">
        <is>
          <t>North America</t>
        </is>
      </c>
      <c r="D457" t="inlineStr">
        <is>
          <t>Model S</t>
        </is>
      </c>
      <c r="E457" t="n">
        <v>1566</v>
      </c>
      <c r="F457" t="n">
        <v>77775.41</v>
      </c>
      <c r="G457" t="n">
        <v>44</v>
      </c>
      <c r="H457" t="inlineStr">
        <is>
          <t>Performance</t>
        </is>
      </c>
      <c r="I457" t="inlineStr">
        <is>
          <t>RWD</t>
        </is>
      </c>
      <c r="J457" t="inlineStr">
        <is>
          <t>Green</t>
        </is>
      </c>
      <c r="K457" t="n">
        <v>506</v>
      </c>
      <c r="L457" t="n">
        <v>84</v>
      </c>
      <c r="M457" t="n">
        <v>23.88</v>
      </c>
      <c r="N457" t="n">
        <v>1530.36</v>
      </c>
      <c r="O457" t="n">
        <v>3.97</v>
      </c>
      <c r="P457" t="n">
        <v>4</v>
      </c>
      <c r="Q457" t="n">
        <v>1</v>
      </c>
      <c r="R457" t="n">
        <v>2021.6</v>
      </c>
      <c r="S457" t="b">
        <v>0</v>
      </c>
      <c r="T457" t="n">
        <v>1289786</v>
      </c>
      <c r="U457" t="n">
        <v>2</v>
      </c>
      <c r="V457" t="n">
        <v>0.0699</v>
      </c>
      <c r="W457" t="n">
        <v>1.36</v>
      </c>
      <c r="X457" t="n">
        <v>60.62</v>
      </c>
      <c r="Y457">
        <f>VLOOKUP(D457,$AB$2:$AC$7,2,FALSE)</f>
        <v/>
      </c>
      <c r="Z457">
        <f>IF(A457&lt;Y457,"Yes","No")</f>
        <v/>
      </c>
    </row>
    <row r="458">
      <c r="A458" t="n">
        <v>2016</v>
      </c>
      <c r="B458" t="inlineStr">
        <is>
          <t>Q1</t>
        </is>
      </c>
      <c r="C458" t="inlineStr">
        <is>
          <t>Europe</t>
        </is>
      </c>
      <c r="D458" t="inlineStr">
        <is>
          <t>Semi</t>
        </is>
      </c>
      <c r="E458" t="n">
        <v>129</v>
      </c>
      <c r="F458" t="n">
        <v>85490.44</v>
      </c>
      <c r="G458" t="n">
        <v>30</v>
      </c>
      <c r="H458" t="inlineStr">
        <is>
          <t>Performance</t>
        </is>
      </c>
      <c r="I458" t="inlineStr">
        <is>
          <t>AWD</t>
        </is>
      </c>
      <c r="J458" t="inlineStr">
        <is>
          <t>Blue</t>
        </is>
      </c>
      <c r="K458" t="n">
        <v>476</v>
      </c>
      <c r="L458" t="n">
        <v>60</v>
      </c>
      <c r="M458" t="n">
        <v>14.31</v>
      </c>
      <c r="N458" t="n">
        <v>275.78</v>
      </c>
      <c r="O458" t="n">
        <v>4.35</v>
      </c>
      <c r="P458" t="n">
        <v>6</v>
      </c>
      <c r="Q458" t="n">
        <v>1</v>
      </c>
      <c r="R458" t="n">
        <v>2024.9</v>
      </c>
      <c r="S458" t="b">
        <v>1</v>
      </c>
      <c r="T458" t="n">
        <v>1329626</v>
      </c>
      <c r="U458" t="n">
        <v>3</v>
      </c>
      <c r="V458" t="n">
        <v>0.019</v>
      </c>
      <c r="W458" t="n">
        <v>2.11</v>
      </c>
      <c r="X458" t="n">
        <v>70.06999999999999</v>
      </c>
      <c r="Y458">
        <f>VLOOKUP(D458,$AB$2:$AC$7,2,FALSE)</f>
        <v/>
      </c>
      <c r="Z458">
        <f>IF(A458&lt;Y458,"Yes","No")</f>
        <v/>
      </c>
    </row>
    <row r="459">
      <c r="A459" t="n">
        <v>2019</v>
      </c>
      <c r="B459" t="inlineStr">
        <is>
          <t>Q3</t>
        </is>
      </c>
      <c r="C459" t="inlineStr">
        <is>
          <t>South America</t>
        </is>
      </c>
      <c r="D459" t="inlineStr">
        <is>
          <t>Model X</t>
        </is>
      </c>
      <c r="E459" t="n">
        <v>4035</v>
      </c>
      <c r="F459" t="n">
        <v>56550.63</v>
      </c>
      <c r="G459" t="n">
        <v>29</v>
      </c>
      <c r="H459" t="inlineStr">
        <is>
          <t>Standard</t>
        </is>
      </c>
      <c r="I459" t="inlineStr">
        <is>
          <t>RWD</t>
        </is>
      </c>
      <c r="J459" t="inlineStr">
        <is>
          <t>White</t>
        </is>
      </c>
      <c r="K459" t="n">
        <v>520</v>
      </c>
      <c r="L459" t="n">
        <v>87</v>
      </c>
      <c r="M459" t="n">
        <v>19.21</v>
      </c>
      <c r="N459" t="n">
        <v>7375.47</v>
      </c>
      <c r="O459" t="n">
        <v>4.8</v>
      </c>
      <c r="P459" t="n">
        <v>8</v>
      </c>
      <c r="Q459" t="n">
        <v>0</v>
      </c>
      <c r="R459" t="n">
        <v>2022.11</v>
      </c>
      <c r="S459" t="b">
        <v>1</v>
      </c>
      <c r="T459" t="n">
        <v>1340678</v>
      </c>
      <c r="U459" t="n">
        <v>8</v>
      </c>
      <c r="V459" t="n">
        <v>0.0871</v>
      </c>
      <c r="W459" t="n">
        <v>1.82</v>
      </c>
      <c r="X459" t="n">
        <v>64.25</v>
      </c>
      <c r="Y459">
        <f>VLOOKUP(D459,$AB$2:$AC$7,2,FALSE)</f>
        <v/>
      </c>
      <c r="Z459">
        <f>IF(A459&lt;Y459,"Yes","No")</f>
        <v/>
      </c>
    </row>
    <row r="460">
      <c r="A460" t="n">
        <v>2019</v>
      </c>
      <c r="B460" t="inlineStr">
        <is>
          <t>Q1</t>
        </is>
      </c>
      <c r="C460" t="inlineStr">
        <is>
          <t>Europe</t>
        </is>
      </c>
      <c r="D460" t="inlineStr">
        <is>
          <t>Cybertruck</t>
        </is>
      </c>
      <c r="E460" t="n">
        <v>3578</v>
      </c>
      <c r="F460" t="n">
        <v>65550.69</v>
      </c>
      <c r="G460" t="n">
        <v>47</v>
      </c>
      <c r="H460" t="inlineStr">
        <is>
          <t>Standard</t>
        </is>
      </c>
      <c r="I460" t="inlineStr">
        <is>
          <t>AWD</t>
        </is>
      </c>
      <c r="J460" t="inlineStr">
        <is>
          <t>Blue</t>
        </is>
      </c>
      <c r="K460" t="n">
        <v>677</v>
      </c>
      <c r="L460" t="n">
        <v>36</v>
      </c>
      <c r="M460" t="n">
        <v>24.59</v>
      </c>
      <c r="N460" t="n">
        <v>8065.84</v>
      </c>
      <c r="O460" t="n">
        <v>4.52</v>
      </c>
      <c r="P460" t="n">
        <v>8</v>
      </c>
      <c r="Q460" t="n">
        <v>1</v>
      </c>
      <c r="R460" t="n">
        <v>2022.11</v>
      </c>
      <c r="S460" t="b">
        <v>0</v>
      </c>
      <c r="T460" t="n">
        <v>2878270</v>
      </c>
      <c r="U460" t="n">
        <v>8</v>
      </c>
      <c r="V460" t="n">
        <v>0.063</v>
      </c>
      <c r="W460" t="n">
        <v>2.39</v>
      </c>
      <c r="X460" t="n">
        <v>68.29000000000001</v>
      </c>
      <c r="Y460">
        <f>VLOOKUP(D460,$AB$2:$AC$7,2,FALSE)</f>
        <v/>
      </c>
      <c r="Z460">
        <f>IF(A460&lt;Y460,"Yes","No")</f>
        <v/>
      </c>
    </row>
    <row r="461">
      <c r="A461" t="n">
        <v>2015</v>
      </c>
      <c r="B461" t="inlineStr">
        <is>
          <t>Q1</t>
        </is>
      </c>
      <c r="C461" t="inlineStr">
        <is>
          <t>South America</t>
        </is>
      </c>
      <c r="D461" t="inlineStr">
        <is>
          <t>Cybertruck</t>
        </is>
      </c>
      <c r="E461" t="n">
        <v>2862</v>
      </c>
      <c r="F461" t="n">
        <v>105904.58</v>
      </c>
      <c r="G461" t="n">
        <v>7</v>
      </c>
      <c r="H461" t="inlineStr">
        <is>
          <t>Long Range</t>
        </is>
      </c>
      <c r="I461" t="inlineStr">
        <is>
          <t>RWD</t>
        </is>
      </c>
      <c r="J461" t="inlineStr">
        <is>
          <t>Silver</t>
        </is>
      </c>
      <c r="K461" t="n">
        <v>527</v>
      </c>
      <c r="L461" t="n">
        <v>48</v>
      </c>
      <c r="M461" t="n">
        <v>14.32</v>
      </c>
      <c r="N461" t="n">
        <v>1478.71</v>
      </c>
      <c r="O461" t="n">
        <v>4.89</v>
      </c>
      <c r="P461" t="n">
        <v>5</v>
      </c>
      <c r="Q461" t="n">
        <v>3</v>
      </c>
      <c r="R461" t="n">
        <v>2021.9</v>
      </c>
      <c r="S461" t="b">
        <v>0</v>
      </c>
      <c r="T461" t="n">
        <v>4782024</v>
      </c>
      <c r="U461" t="n">
        <v>12</v>
      </c>
      <c r="V461" t="n">
        <v>0.0246</v>
      </c>
      <c r="W461" t="n">
        <v>1.47</v>
      </c>
      <c r="X461" t="n">
        <v>61.94</v>
      </c>
      <c r="Y461">
        <f>VLOOKUP(D461,$AB$2:$AC$7,2,FALSE)</f>
        <v/>
      </c>
      <c r="Z461">
        <f>IF(A461&lt;Y461,"Yes","No")</f>
        <v/>
      </c>
    </row>
    <row r="462">
      <c r="A462" t="n">
        <v>2016</v>
      </c>
      <c r="B462" t="inlineStr">
        <is>
          <t>Q1</t>
        </is>
      </c>
      <c r="C462" t="inlineStr">
        <is>
          <t>Australia</t>
        </is>
      </c>
      <c r="D462" t="inlineStr">
        <is>
          <t>Model S</t>
        </is>
      </c>
      <c r="E462" t="n">
        <v>1830</v>
      </c>
      <c r="F462" t="n">
        <v>59056.47</v>
      </c>
      <c r="G462" t="n">
        <v>37</v>
      </c>
      <c r="H462" t="inlineStr">
        <is>
          <t>Standard</t>
        </is>
      </c>
      <c r="I462" t="inlineStr">
        <is>
          <t>AWD</t>
        </is>
      </c>
      <c r="J462" t="inlineStr">
        <is>
          <t>Blue</t>
        </is>
      </c>
      <c r="K462" t="n">
        <v>506</v>
      </c>
      <c r="L462" t="n">
        <v>30</v>
      </c>
      <c r="M462" t="n">
        <v>18.16</v>
      </c>
      <c r="N462" t="n">
        <v>3331.53</v>
      </c>
      <c r="O462" t="n">
        <v>3.5</v>
      </c>
      <c r="P462" t="n">
        <v>6</v>
      </c>
      <c r="Q462" t="n">
        <v>1</v>
      </c>
      <c r="R462" t="n">
        <v>2022.5</v>
      </c>
      <c r="S462" t="b">
        <v>1</v>
      </c>
      <c r="T462" t="n">
        <v>821449</v>
      </c>
      <c r="U462" t="n">
        <v>6</v>
      </c>
      <c r="V462" t="n">
        <v>0.0228</v>
      </c>
      <c r="W462" t="n">
        <v>1.97</v>
      </c>
      <c r="X462" t="n">
        <v>72.95999999999999</v>
      </c>
      <c r="Y462">
        <f>VLOOKUP(D462,$AB$2:$AC$7,2,FALSE)</f>
        <v/>
      </c>
      <c r="Z462">
        <f>IF(A462&lt;Y462,"Yes","No")</f>
        <v/>
      </c>
    </row>
    <row r="463">
      <c r="A463" t="n">
        <v>2013</v>
      </c>
      <c r="B463" t="inlineStr">
        <is>
          <t>Q3</t>
        </is>
      </c>
      <c r="C463" t="inlineStr">
        <is>
          <t>Europe</t>
        </is>
      </c>
      <c r="D463" t="inlineStr">
        <is>
          <t>Model S</t>
        </is>
      </c>
      <c r="E463" t="n">
        <v>3926</v>
      </c>
      <c r="F463" t="n">
        <v>114299.45</v>
      </c>
      <c r="G463" t="n">
        <v>15</v>
      </c>
      <c r="H463" t="inlineStr">
        <is>
          <t>Performance</t>
        </is>
      </c>
      <c r="I463" t="inlineStr">
        <is>
          <t>RWD</t>
        </is>
      </c>
      <c r="J463" t="inlineStr">
        <is>
          <t>Blue</t>
        </is>
      </c>
      <c r="K463" t="n">
        <v>554</v>
      </c>
      <c r="L463" t="n">
        <v>87</v>
      </c>
      <c r="M463" t="n">
        <v>14.18</v>
      </c>
      <c r="N463" t="n">
        <v>4014.42</v>
      </c>
      <c r="O463" t="n">
        <v>3.95</v>
      </c>
      <c r="P463" t="n">
        <v>6</v>
      </c>
      <c r="Q463" t="n">
        <v>1</v>
      </c>
      <c r="R463" t="n">
        <v>2024.7</v>
      </c>
      <c r="S463" t="b">
        <v>0</v>
      </c>
      <c r="T463" t="n">
        <v>4950019</v>
      </c>
      <c r="U463" t="n">
        <v>4</v>
      </c>
      <c r="V463" t="n">
        <v>0.07149999999999999</v>
      </c>
      <c r="W463" t="n">
        <v>0.9</v>
      </c>
      <c r="X463" t="n">
        <v>64.06999999999999</v>
      </c>
      <c r="Y463">
        <f>VLOOKUP(D463,$AB$2:$AC$7,2,FALSE)</f>
        <v/>
      </c>
      <c r="Z463">
        <f>IF(A463&lt;Y463,"Yes","No")</f>
        <v/>
      </c>
    </row>
    <row r="464">
      <c r="A464" t="n">
        <v>2020</v>
      </c>
      <c r="B464" t="inlineStr">
        <is>
          <t>Q2</t>
        </is>
      </c>
      <c r="C464" t="inlineStr">
        <is>
          <t>Asia</t>
        </is>
      </c>
      <c r="D464" t="inlineStr">
        <is>
          <t>Model X</t>
        </is>
      </c>
      <c r="E464" t="n">
        <v>751</v>
      </c>
      <c r="F464" t="n">
        <v>60273.4</v>
      </c>
      <c r="G464" t="n">
        <v>59</v>
      </c>
      <c r="H464" t="inlineStr">
        <is>
          <t>Performance</t>
        </is>
      </c>
      <c r="I464" t="inlineStr">
        <is>
          <t>RWD</t>
        </is>
      </c>
      <c r="J464" t="inlineStr">
        <is>
          <t>Silver</t>
        </is>
      </c>
      <c r="K464" t="n">
        <v>443</v>
      </c>
      <c r="L464" t="n">
        <v>54</v>
      </c>
      <c r="M464" t="n">
        <v>22.39</v>
      </c>
      <c r="N464" t="n">
        <v>1627.95</v>
      </c>
      <c r="O464" t="n">
        <v>3.64</v>
      </c>
      <c r="P464" t="n">
        <v>8</v>
      </c>
      <c r="Q464" t="n">
        <v>2</v>
      </c>
      <c r="R464" t="n">
        <v>2024.11</v>
      </c>
      <c r="S464" t="b">
        <v>0</v>
      </c>
      <c r="T464" t="n">
        <v>4029046</v>
      </c>
      <c r="U464" t="n">
        <v>7</v>
      </c>
      <c r="V464" t="n">
        <v>0.0485</v>
      </c>
      <c r="W464" t="n">
        <v>1.34</v>
      </c>
      <c r="X464" t="n">
        <v>72.31</v>
      </c>
      <c r="Y464">
        <f>VLOOKUP(D464,$AB$2:$AC$7,2,FALSE)</f>
        <v/>
      </c>
      <c r="Z464">
        <f>IF(A464&lt;Y464,"Yes","No")</f>
        <v/>
      </c>
    </row>
    <row r="465">
      <c r="A465" t="n">
        <v>2012</v>
      </c>
      <c r="B465" t="inlineStr">
        <is>
          <t>Q1</t>
        </is>
      </c>
      <c r="C465" t="inlineStr">
        <is>
          <t>Australia</t>
        </is>
      </c>
      <c r="D465" t="inlineStr">
        <is>
          <t>Model S</t>
        </is>
      </c>
      <c r="E465" t="n">
        <v>1201</v>
      </c>
      <c r="F465" t="n">
        <v>87292.73</v>
      </c>
      <c r="G465" t="n">
        <v>19</v>
      </c>
      <c r="H465" t="inlineStr">
        <is>
          <t>Standard</t>
        </is>
      </c>
      <c r="I465" t="inlineStr">
        <is>
          <t>RWD</t>
        </is>
      </c>
      <c r="J465" t="inlineStr">
        <is>
          <t>Black</t>
        </is>
      </c>
      <c r="K465" t="n">
        <v>667</v>
      </c>
      <c r="L465" t="n">
        <v>64</v>
      </c>
      <c r="M465" t="n">
        <v>23.8</v>
      </c>
      <c r="N465" t="n">
        <v>2708.99</v>
      </c>
      <c r="O465" t="n">
        <v>3.58</v>
      </c>
      <c r="P465" t="n">
        <v>8</v>
      </c>
      <c r="Q465" t="n">
        <v>1</v>
      </c>
      <c r="R465" t="n">
        <v>2023.11</v>
      </c>
      <c r="S465" t="b">
        <v>1</v>
      </c>
      <c r="T465" t="n">
        <v>3982313</v>
      </c>
      <c r="U465" t="n">
        <v>10</v>
      </c>
      <c r="V465" t="n">
        <v>0.0514</v>
      </c>
      <c r="W465" t="n">
        <v>0.61</v>
      </c>
      <c r="X465" t="n">
        <v>61.64</v>
      </c>
      <c r="Y465">
        <f>VLOOKUP(D465,$AB$2:$AC$7,2,FALSE)</f>
        <v/>
      </c>
      <c r="Z465">
        <f>IF(A465&lt;Y465,"Yes","No")</f>
        <v/>
      </c>
    </row>
    <row r="466">
      <c r="A466" t="n">
        <v>2022</v>
      </c>
      <c r="B466" t="inlineStr">
        <is>
          <t>Q1</t>
        </is>
      </c>
      <c r="C466" t="inlineStr">
        <is>
          <t>Asia</t>
        </is>
      </c>
      <c r="D466" t="inlineStr">
        <is>
          <t>Cybertruck</t>
        </is>
      </c>
      <c r="E466" t="n">
        <v>847</v>
      </c>
      <c r="F466" t="n">
        <v>104864.91</v>
      </c>
      <c r="G466" t="n">
        <v>36</v>
      </c>
      <c r="H466" t="inlineStr">
        <is>
          <t>Long Range</t>
        </is>
      </c>
      <c r="I466" t="inlineStr">
        <is>
          <t>RWD</t>
        </is>
      </c>
      <c r="J466" t="inlineStr">
        <is>
          <t>Red</t>
        </is>
      </c>
      <c r="K466" t="n">
        <v>412</v>
      </c>
      <c r="L466" t="n">
        <v>77</v>
      </c>
      <c r="M466" t="n">
        <v>20.02</v>
      </c>
      <c r="N466" t="n">
        <v>1288.83</v>
      </c>
      <c r="O466" t="n">
        <v>4.58</v>
      </c>
      <c r="P466" t="n">
        <v>5</v>
      </c>
      <c r="Q466" t="n">
        <v>1</v>
      </c>
      <c r="R466" t="n">
        <v>2024.12</v>
      </c>
      <c r="S466" t="b">
        <v>0</v>
      </c>
      <c r="T466" t="n">
        <v>1244229</v>
      </c>
      <c r="U466" t="n">
        <v>5</v>
      </c>
      <c r="V466" t="n">
        <v>0.0906</v>
      </c>
      <c r="W466" t="n">
        <v>1.78</v>
      </c>
      <c r="X466" t="n">
        <v>64.64</v>
      </c>
      <c r="Y466">
        <f>VLOOKUP(D466,$AB$2:$AC$7,2,FALSE)</f>
        <v/>
      </c>
      <c r="Z466">
        <f>IF(A466&lt;Y466,"Yes","No")</f>
        <v/>
      </c>
    </row>
    <row r="467">
      <c r="A467" t="n">
        <v>2022</v>
      </c>
      <c r="B467" t="inlineStr">
        <is>
          <t>Q3</t>
        </is>
      </c>
      <c r="C467" t="inlineStr">
        <is>
          <t>North America</t>
        </is>
      </c>
      <c r="D467" t="inlineStr">
        <is>
          <t>Model Y</t>
        </is>
      </c>
      <c r="E467" t="n">
        <v>1694</v>
      </c>
      <c r="F467" t="n">
        <v>44750.25</v>
      </c>
      <c r="G467" t="n">
        <v>0</v>
      </c>
      <c r="H467" t="inlineStr">
        <is>
          <t>Standard</t>
        </is>
      </c>
      <c r="I467" t="inlineStr">
        <is>
          <t>AWD</t>
        </is>
      </c>
      <c r="J467" t="inlineStr">
        <is>
          <t>Silver</t>
        </is>
      </c>
      <c r="K467" t="n">
        <v>399</v>
      </c>
      <c r="L467" t="n">
        <v>45</v>
      </c>
      <c r="M467" t="n">
        <v>15.45</v>
      </c>
      <c r="N467" t="n">
        <v>2452.04</v>
      </c>
      <c r="O467" t="n">
        <v>4.75</v>
      </c>
      <c r="P467" t="n">
        <v>8</v>
      </c>
      <c r="Q467" t="n">
        <v>3</v>
      </c>
      <c r="R467" t="n">
        <v>2020.2</v>
      </c>
      <c r="S467" t="b">
        <v>0</v>
      </c>
      <c r="T467" t="n">
        <v>3493672</v>
      </c>
      <c r="U467" t="n">
        <v>9</v>
      </c>
      <c r="V467" t="n">
        <v>0.0984</v>
      </c>
      <c r="W467" t="n">
        <v>2.14</v>
      </c>
      <c r="X467" t="n">
        <v>85.25</v>
      </c>
      <c r="Y467">
        <f>VLOOKUP(D467,$AB$2:$AC$7,2,FALSE)</f>
        <v/>
      </c>
      <c r="Z467">
        <f>IF(A467&lt;Y467,"Yes","No")</f>
        <v/>
      </c>
    </row>
    <row r="468">
      <c r="A468" t="n">
        <v>2020</v>
      </c>
      <c r="B468" t="inlineStr">
        <is>
          <t>Q3</t>
        </is>
      </c>
      <c r="C468" t="inlineStr">
        <is>
          <t>South America</t>
        </is>
      </c>
      <c r="D468" t="inlineStr">
        <is>
          <t>Semi</t>
        </is>
      </c>
      <c r="E468" t="n">
        <v>3647</v>
      </c>
      <c r="F468" t="n">
        <v>108041.68</v>
      </c>
      <c r="G468" t="n">
        <v>39</v>
      </c>
      <c r="H468" t="inlineStr">
        <is>
          <t>Standard</t>
        </is>
      </c>
      <c r="I468" t="inlineStr">
        <is>
          <t>RWD</t>
        </is>
      </c>
      <c r="J468" t="inlineStr">
        <is>
          <t>Black</t>
        </is>
      </c>
      <c r="K468" t="n">
        <v>675</v>
      </c>
      <c r="L468" t="n">
        <v>31</v>
      </c>
      <c r="M468" t="n">
        <v>15.22</v>
      </c>
      <c r="N468" t="n">
        <v>7794</v>
      </c>
      <c r="O468" t="n">
        <v>4.49</v>
      </c>
      <c r="P468" t="n">
        <v>5</v>
      </c>
      <c r="Q468" t="n">
        <v>1</v>
      </c>
      <c r="R468" t="n">
        <v>2023.8</v>
      </c>
      <c r="S468" t="b">
        <v>0</v>
      </c>
      <c r="T468" t="n">
        <v>2528074</v>
      </c>
      <c r="U468" t="n">
        <v>12</v>
      </c>
      <c r="V468" t="n">
        <v>0.019</v>
      </c>
      <c r="W468" t="n">
        <v>1.68</v>
      </c>
      <c r="X468" t="n">
        <v>71.02</v>
      </c>
      <c r="Y468">
        <f>VLOOKUP(D468,$AB$2:$AC$7,2,FALSE)</f>
        <v/>
      </c>
      <c r="Z468">
        <f>IF(A468&lt;Y468,"Yes","No")</f>
        <v/>
      </c>
    </row>
    <row r="469">
      <c r="A469" t="n">
        <v>2016</v>
      </c>
      <c r="B469" t="inlineStr">
        <is>
          <t>Q4</t>
        </is>
      </c>
      <c r="C469" t="inlineStr">
        <is>
          <t>Australia</t>
        </is>
      </c>
      <c r="D469" t="inlineStr">
        <is>
          <t>Semi</t>
        </is>
      </c>
      <c r="E469" t="n">
        <v>929</v>
      </c>
      <c r="F469" t="n">
        <v>74436.91</v>
      </c>
      <c r="G469" t="n">
        <v>52</v>
      </c>
      <c r="H469" t="inlineStr">
        <is>
          <t>Long Range</t>
        </is>
      </c>
      <c r="I469" t="inlineStr">
        <is>
          <t>AWD</t>
        </is>
      </c>
      <c r="J469" t="inlineStr">
        <is>
          <t>Red</t>
        </is>
      </c>
      <c r="K469" t="n">
        <v>495</v>
      </c>
      <c r="L469" t="n">
        <v>59</v>
      </c>
      <c r="M469" t="n">
        <v>14.44</v>
      </c>
      <c r="N469" t="n">
        <v>1188.06</v>
      </c>
      <c r="O469" t="n">
        <v>4.37</v>
      </c>
      <c r="P469" t="n">
        <v>4</v>
      </c>
      <c r="Q469" t="n">
        <v>3</v>
      </c>
      <c r="R469" t="n">
        <v>2020.6</v>
      </c>
      <c r="S469" t="b">
        <v>1</v>
      </c>
      <c r="T469" t="n">
        <v>4025089</v>
      </c>
      <c r="U469" t="n">
        <v>9</v>
      </c>
      <c r="V469" t="n">
        <v>0.0349</v>
      </c>
      <c r="W469" t="n">
        <v>2.46</v>
      </c>
      <c r="X469" t="n">
        <v>70.73</v>
      </c>
      <c r="Y469">
        <f>VLOOKUP(D469,$AB$2:$AC$7,2,FALSE)</f>
        <v/>
      </c>
      <c r="Z469">
        <f>IF(A469&lt;Y469,"Yes","No")</f>
        <v/>
      </c>
    </row>
    <row r="470">
      <c r="A470" t="n">
        <v>2020</v>
      </c>
      <c r="B470" t="inlineStr">
        <is>
          <t>Q2</t>
        </is>
      </c>
      <c r="C470" t="inlineStr">
        <is>
          <t>Asia</t>
        </is>
      </c>
      <c r="D470" t="inlineStr">
        <is>
          <t>Semi</t>
        </is>
      </c>
      <c r="E470" t="n">
        <v>4351</v>
      </c>
      <c r="F470" t="n">
        <v>68203.07000000001</v>
      </c>
      <c r="G470" t="n">
        <v>4</v>
      </c>
      <c r="H470" t="inlineStr">
        <is>
          <t>Standard</t>
        </is>
      </c>
      <c r="I470" t="inlineStr">
        <is>
          <t>AWD</t>
        </is>
      </c>
      <c r="J470" t="inlineStr">
        <is>
          <t>White</t>
        </is>
      </c>
      <c r="K470" t="n">
        <v>685</v>
      </c>
      <c r="L470" t="n">
        <v>76</v>
      </c>
      <c r="M470" t="n">
        <v>19.76</v>
      </c>
      <c r="N470" t="n">
        <v>6173.91</v>
      </c>
      <c r="O470" t="n">
        <v>4.79</v>
      </c>
      <c r="P470" t="n">
        <v>5</v>
      </c>
      <c r="Q470" t="n">
        <v>2</v>
      </c>
      <c r="R470" t="n">
        <v>2022.7</v>
      </c>
      <c r="S470" t="b">
        <v>1</v>
      </c>
      <c r="T470" t="n">
        <v>4157944</v>
      </c>
      <c r="U470" t="n">
        <v>8</v>
      </c>
      <c r="V470" t="n">
        <v>0.09660000000000001</v>
      </c>
      <c r="W470" t="n">
        <v>1.71</v>
      </c>
      <c r="X470" t="n">
        <v>65.41</v>
      </c>
      <c r="Y470">
        <f>VLOOKUP(D470,$AB$2:$AC$7,2,FALSE)</f>
        <v/>
      </c>
      <c r="Z470">
        <f>IF(A470&lt;Y470,"Yes","No")</f>
        <v/>
      </c>
    </row>
    <row r="471">
      <c r="A471" t="n">
        <v>2023</v>
      </c>
      <c r="B471" t="inlineStr">
        <is>
          <t>Q3</t>
        </is>
      </c>
      <c r="C471" t="inlineStr">
        <is>
          <t>Europe</t>
        </is>
      </c>
      <c r="D471" t="inlineStr">
        <is>
          <t>Semi</t>
        </is>
      </c>
      <c r="E471" t="n">
        <v>2704</v>
      </c>
      <c r="F471" t="n">
        <v>85052.42999999999</v>
      </c>
      <c r="G471" t="n">
        <v>37</v>
      </c>
      <c r="H471" t="inlineStr">
        <is>
          <t>Long Range</t>
        </is>
      </c>
      <c r="I471" t="inlineStr">
        <is>
          <t>RWD</t>
        </is>
      </c>
      <c r="J471" t="inlineStr">
        <is>
          <t>Red</t>
        </is>
      </c>
      <c r="K471" t="n">
        <v>373</v>
      </c>
      <c r="L471" t="n">
        <v>31</v>
      </c>
      <c r="M471" t="n">
        <v>23.22</v>
      </c>
      <c r="N471" t="n">
        <v>2212.84</v>
      </c>
      <c r="O471" t="n">
        <v>3.64</v>
      </c>
      <c r="P471" t="n">
        <v>4</v>
      </c>
      <c r="Q471" t="n">
        <v>3</v>
      </c>
      <c r="R471" t="n">
        <v>2023.6</v>
      </c>
      <c r="S471" t="b">
        <v>1</v>
      </c>
      <c r="T471" t="n">
        <v>2084888</v>
      </c>
      <c r="U471" t="n">
        <v>3</v>
      </c>
      <c r="V471" t="n">
        <v>0.091</v>
      </c>
      <c r="W471" t="n">
        <v>0.85</v>
      </c>
      <c r="X471" t="n">
        <v>86.77</v>
      </c>
      <c r="Y471">
        <f>VLOOKUP(D471,$AB$2:$AC$7,2,FALSE)</f>
        <v/>
      </c>
      <c r="Z471">
        <f>IF(A471&lt;Y471,"Yes","No")</f>
        <v/>
      </c>
    </row>
    <row r="472">
      <c r="A472" t="n">
        <v>2024</v>
      </c>
      <c r="B472" t="inlineStr">
        <is>
          <t>Q4</t>
        </is>
      </c>
      <c r="C472" t="inlineStr">
        <is>
          <t>North America</t>
        </is>
      </c>
      <c r="D472" t="inlineStr">
        <is>
          <t>Model S</t>
        </is>
      </c>
      <c r="E472" t="n">
        <v>2101</v>
      </c>
      <c r="F472" t="n">
        <v>44730.27</v>
      </c>
      <c r="G472" t="n">
        <v>54</v>
      </c>
      <c r="H472" t="inlineStr">
        <is>
          <t>Performance</t>
        </is>
      </c>
      <c r="I472" t="inlineStr">
        <is>
          <t>AWD</t>
        </is>
      </c>
      <c r="J472" t="inlineStr">
        <is>
          <t>Blue</t>
        </is>
      </c>
      <c r="K472" t="n">
        <v>541</v>
      </c>
      <c r="L472" t="n">
        <v>68</v>
      </c>
      <c r="M472" t="n">
        <v>20.58</v>
      </c>
      <c r="N472" t="n">
        <v>1174.29</v>
      </c>
      <c r="O472" t="n">
        <v>3.76</v>
      </c>
      <c r="P472" t="n">
        <v>4</v>
      </c>
      <c r="Q472" t="n">
        <v>3</v>
      </c>
      <c r="R472" t="n">
        <v>2023.3</v>
      </c>
      <c r="S472" t="b">
        <v>1</v>
      </c>
      <c r="T472" t="n">
        <v>1741801</v>
      </c>
      <c r="U472" t="n">
        <v>6</v>
      </c>
      <c r="V472" t="n">
        <v>0.0542</v>
      </c>
      <c r="W472" t="n">
        <v>1.86</v>
      </c>
      <c r="X472" t="n">
        <v>66.76000000000001</v>
      </c>
      <c r="Y472">
        <f>VLOOKUP(D472,$AB$2:$AC$7,2,FALSE)</f>
        <v/>
      </c>
      <c r="Z472">
        <f>IF(A472&lt;Y472,"Yes","No")</f>
        <v/>
      </c>
    </row>
    <row r="473">
      <c r="A473" t="n">
        <v>2023</v>
      </c>
      <c r="B473" t="inlineStr">
        <is>
          <t>Q2</t>
        </is>
      </c>
      <c r="C473" t="inlineStr">
        <is>
          <t>Australia</t>
        </is>
      </c>
      <c r="D473" t="inlineStr">
        <is>
          <t>Cybertruck</t>
        </is>
      </c>
      <c r="E473" t="n">
        <v>1625</v>
      </c>
      <c r="F473" t="n">
        <v>42311.56</v>
      </c>
      <c r="G473" t="n">
        <v>1</v>
      </c>
      <c r="H473" t="inlineStr">
        <is>
          <t>Performance</t>
        </is>
      </c>
      <c r="I473" t="inlineStr">
        <is>
          <t>AWD</t>
        </is>
      </c>
      <c r="J473" t="inlineStr">
        <is>
          <t>Black</t>
        </is>
      </c>
      <c r="K473" t="n">
        <v>367</v>
      </c>
      <c r="L473" t="n">
        <v>81</v>
      </c>
      <c r="M473" t="n">
        <v>14.69</v>
      </c>
      <c r="N473" t="n">
        <v>829.52</v>
      </c>
      <c r="O473" t="n">
        <v>4.66</v>
      </c>
      <c r="P473" t="n">
        <v>4</v>
      </c>
      <c r="Q473" t="n">
        <v>2</v>
      </c>
      <c r="R473" t="n">
        <v>2021.11</v>
      </c>
      <c r="S473" t="b">
        <v>0</v>
      </c>
      <c r="T473" t="n">
        <v>1694983</v>
      </c>
      <c r="U473" t="n">
        <v>5</v>
      </c>
      <c r="V473" t="n">
        <v>0.0613</v>
      </c>
      <c r="W473" t="n">
        <v>1.45</v>
      </c>
      <c r="X473" t="n">
        <v>70.56</v>
      </c>
      <c r="Y473">
        <f>VLOOKUP(D473,$AB$2:$AC$7,2,FALSE)</f>
        <v/>
      </c>
      <c r="Z473">
        <f>IF(A473&lt;Y473,"Yes","No")</f>
        <v/>
      </c>
    </row>
    <row r="474">
      <c r="A474" t="n">
        <v>2021</v>
      </c>
      <c r="B474" t="inlineStr">
        <is>
          <t>Q2</t>
        </is>
      </c>
      <c r="C474" t="inlineStr">
        <is>
          <t>North America</t>
        </is>
      </c>
      <c r="D474" t="inlineStr">
        <is>
          <t>Model Y</t>
        </is>
      </c>
      <c r="E474" t="n">
        <v>3552</v>
      </c>
      <c r="F474" t="n">
        <v>88165.00999999999</v>
      </c>
      <c r="G474" t="n">
        <v>55</v>
      </c>
      <c r="H474" t="inlineStr">
        <is>
          <t>Standard</t>
        </is>
      </c>
      <c r="I474" t="inlineStr">
        <is>
          <t>AWD</t>
        </is>
      </c>
      <c r="J474" t="inlineStr">
        <is>
          <t>Black</t>
        </is>
      </c>
      <c r="K474" t="n">
        <v>614</v>
      </c>
      <c r="L474" t="n">
        <v>49</v>
      </c>
      <c r="M474" t="n">
        <v>14.21</v>
      </c>
      <c r="N474" t="n">
        <v>5318.85</v>
      </c>
      <c r="O474" t="n">
        <v>3.58</v>
      </c>
      <c r="P474" t="n">
        <v>6</v>
      </c>
      <c r="Q474" t="n">
        <v>0</v>
      </c>
      <c r="R474" t="n">
        <v>2021.5</v>
      </c>
      <c r="S474" t="b">
        <v>0</v>
      </c>
      <c r="T474" t="n">
        <v>3375134</v>
      </c>
      <c r="U474" t="n">
        <v>7</v>
      </c>
      <c r="V474" t="n">
        <v>0.0161</v>
      </c>
      <c r="W474" t="n">
        <v>2.24</v>
      </c>
      <c r="X474" t="n">
        <v>89.04000000000001</v>
      </c>
      <c r="Y474">
        <f>VLOOKUP(D474,$AB$2:$AC$7,2,FALSE)</f>
        <v/>
      </c>
      <c r="Z474">
        <f>IF(A474&lt;Y474,"Yes","No")</f>
        <v/>
      </c>
    </row>
    <row r="475">
      <c r="A475" t="n">
        <v>2013</v>
      </c>
      <c r="B475" t="inlineStr">
        <is>
          <t>Q2</t>
        </is>
      </c>
      <c r="C475" t="inlineStr">
        <is>
          <t>South America</t>
        </is>
      </c>
      <c r="D475" t="inlineStr">
        <is>
          <t>Cybertruck</t>
        </is>
      </c>
      <c r="E475" t="n">
        <v>4146</v>
      </c>
      <c r="F475" t="n">
        <v>61540.34</v>
      </c>
      <c r="G475" t="n">
        <v>39</v>
      </c>
      <c r="H475" t="inlineStr">
        <is>
          <t>Standard</t>
        </is>
      </c>
      <c r="I475" t="inlineStr">
        <is>
          <t>AWD</t>
        </is>
      </c>
      <c r="J475" t="inlineStr">
        <is>
          <t>Silver</t>
        </is>
      </c>
      <c r="K475" t="n">
        <v>591</v>
      </c>
      <c r="L475" t="n">
        <v>89</v>
      </c>
      <c r="M475" t="n">
        <v>24.01</v>
      </c>
      <c r="N475" t="n">
        <v>4254.24</v>
      </c>
      <c r="O475" t="n">
        <v>3.54</v>
      </c>
      <c r="P475" t="n">
        <v>6</v>
      </c>
      <c r="Q475" t="n">
        <v>3</v>
      </c>
      <c r="R475" t="n">
        <v>2022.4</v>
      </c>
      <c r="S475" t="b">
        <v>0</v>
      </c>
      <c r="T475" t="n">
        <v>598215</v>
      </c>
      <c r="U475" t="n">
        <v>4</v>
      </c>
      <c r="V475" t="n">
        <v>0.0284</v>
      </c>
      <c r="W475" t="n">
        <v>2.13</v>
      </c>
      <c r="X475" t="n">
        <v>69.89</v>
      </c>
      <c r="Y475">
        <f>VLOOKUP(D475,$AB$2:$AC$7,2,FALSE)</f>
        <v/>
      </c>
      <c r="Z475">
        <f>IF(A475&lt;Y475,"Yes","No")</f>
        <v/>
      </c>
    </row>
    <row r="476">
      <c r="A476" t="n">
        <v>2024</v>
      </c>
      <c r="B476" t="inlineStr">
        <is>
          <t>Q1</t>
        </is>
      </c>
      <c r="C476" t="inlineStr">
        <is>
          <t>Europe</t>
        </is>
      </c>
      <c r="D476" t="inlineStr">
        <is>
          <t>Model Y</t>
        </is>
      </c>
      <c r="E476" t="n">
        <v>647</v>
      </c>
      <c r="F476" t="n">
        <v>103481.28</v>
      </c>
      <c r="G476" t="n">
        <v>36</v>
      </c>
      <c r="H476" t="inlineStr">
        <is>
          <t>Performance</t>
        </is>
      </c>
      <c r="I476" t="inlineStr">
        <is>
          <t>AWD</t>
        </is>
      </c>
      <c r="J476" t="inlineStr">
        <is>
          <t>White</t>
        </is>
      </c>
      <c r="K476" t="n">
        <v>386</v>
      </c>
      <c r="L476" t="n">
        <v>90</v>
      </c>
      <c r="M476" t="n">
        <v>17.99</v>
      </c>
      <c r="N476" t="n">
        <v>1280.14</v>
      </c>
      <c r="O476" t="n">
        <v>4.89</v>
      </c>
      <c r="P476" t="n">
        <v>8</v>
      </c>
      <c r="Q476" t="n">
        <v>1</v>
      </c>
      <c r="R476" t="n">
        <v>2022.12</v>
      </c>
      <c r="S476" t="b">
        <v>1</v>
      </c>
      <c r="T476" t="n">
        <v>972928</v>
      </c>
      <c r="U476" t="n">
        <v>2</v>
      </c>
      <c r="V476" t="n">
        <v>0.0547</v>
      </c>
      <c r="W476" t="n">
        <v>0.95</v>
      </c>
      <c r="X476" t="n">
        <v>70.51000000000001</v>
      </c>
      <c r="Y476">
        <f>VLOOKUP(D476,$AB$2:$AC$7,2,FALSE)</f>
        <v/>
      </c>
      <c r="Z476">
        <f>IF(A476&lt;Y476,"Yes","No")</f>
        <v/>
      </c>
    </row>
    <row r="477">
      <c r="A477" t="n">
        <v>2019</v>
      </c>
      <c r="B477" t="inlineStr">
        <is>
          <t>Q3</t>
        </is>
      </c>
      <c r="C477" t="inlineStr">
        <is>
          <t>Europe</t>
        </is>
      </c>
      <c r="D477" t="inlineStr">
        <is>
          <t>Model S</t>
        </is>
      </c>
      <c r="E477" t="n">
        <v>503</v>
      </c>
      <c r="F477" t="n">
        <v>37240.07</v>
      </c>
      <c r="G477" t="n">
        <v>50</v>
      </c>
      <c r="H477" t="inlineStr">
        <is>
          <t>Standard</t>
        </is>
      </c>
      <c r="I477" t="inlineStr">
        <is>
          <t>RWD</t>
        </is>
      </c>
      <c r="J477" t="inlineStr">
        <is>
          <t>Green</t>
        </is>
      </c>
      <c r="K477" t="n">
        <v>700</v>
      </c>
      <c r="L477" t="n">
        <v>77</v>
      </c>
      <c r="M477" t="n">
        <v>13.22</v>
      </c>
      <c r="N477" t="n">
        <v>736.5700000000001</v>
      </c>
      <c r="O477" t="n">
        <v>4.08</v>
      </c>
      <c r="P477" t="n">
        <v>8</v>
      </c>
      <c r="Q477" t="n">
        <v>1</v>
      </c>
      <c r="R477" t="n">
        <v>2023.12</v>
      </c>
      <c r="S477" t="b">
        <v>0</v>
      </c>
      <c r="T477" t="n">
        <v>4709916</v>
      </c>
      <c r="U477" t="n">
        <v>4</v>
      </c>
      <c r="V477" t="n">
        <v>0.0204</v>
      </c>
      <c r="W477" t="n">
        <v>0.74</v>
      </c>
      <c r="X477" t="n">
        <v>78.47</v>
      </c>
      <c r="Y477">
        <f>VLOOKUP(D477,$AB$2:$AC$7,2,FALSE)</f>
        <v/>
      </c>
      <c r="Z477">
        <f>IF(A477&lt;Y477,"Yes","No")</f>
        <v/>
      </c>
    </row>
    <row r="478">
      <c r="A478" t="n">
        <v>2017</v>
      </c>
      <c r="B478" t="inlineStr">
        <is>
          <t>Q3</t>
        </is>
      </c>
      <c r="C478" t="inlineStr">
        <is>
          <t>Europe</t>
        </is>
      </c>
      <c r="D478" t="inlineStr">
        <is>
          <t>Model X</t>
        </is>
      </c>
      <c r="E478" t="n">
        <v>3626</v>
      </c>
      <c r="F478" t="n">
        <v>113035.83</v>
      </c>
      <c r="G478" t="n">
        <v>15</v>
      </c>
      <c r="H478" t="inlineStr">
        <is>
          <t>Standard</t>
        </is>
      </c>
      <c r="I478" t="inlineStr">
        <is>
          <t>AWD</t>
        </is>
      </c>
      <c r="J478" t="inlineStr">
        <is>
          <t>Silver</t>
        </is>
      </c>
      <c r="K478" t="n">
        <v>355</v>
      </c>
      <c r="L478" t="n">
        <v>44</v>
      </c>
      <c r="M478" t="n">
        <v>17.96</v>
      </c>
      <c r="N478" t="n">
        <v>7270.63</v>
      </c>
      <c r="O478" t="n">
        <v>4.71</v>
      </c>
      <c r="P478" t="n">
        <v>4</v>
      </c>
      <c r="Q478" t="n">
        <v>0</v>
      </c>
      <c r="R478" t="n">
        <v>2021.1</v>
      </c>
      <c r="S478" t="b">
        <v>1</v>
      </c>
      <c r="T478" t="n">
        <v>575253</v>
      </c>
      <c r="U478" t="n">
        <v>4</v>
      </c>
      <c r="V478" t="n">
        <v>0.0495</v>
      </c>
      <c r="W478" t="n">
        <v>1.07</v>
      </c>
      <c r="X478" t="n">
        <v>69.42</v>
      </c>
      <c r="Y478">
        <f>VLOOKUP(D478,$AB$2:$AC$7,2,FALSE)</f>
        <v/>
      </c>
      <c r="Z478">
        <f>IF(A478&lt;Y478,"Yes","No")</f>
        <v/>
      </c>
    </row>
    <row r="479">
      <c r="A479" t="n">
        <v>2021</v>
      </c>
      <c r="B479" t="inlineStr">
        <is>
          <t>Q2</t>
        </is>
      </c>
      <c r="C479" t="inlineStr">
        <is>
          <t>Asia</t>
        </is>
      </c>
      <c r="D479" t="inlineStr">
        <is>
          <t>Model 3</t>
        </is>
      </c>
      <c r="E479" t="n">
        <v>3308</v>
      </c>
      <c r="F479" t="n">
        <v>75689.62</v>
      </c>
      <c r="G479" t="n">
        <v>7</v>
      </c>
      <c r="H479" t="inlineStr">
        <is>
          <t>Performance</t>
        </is>
      </c>
      <c r="I479" t="inlineStr">
        <is>
          <t>AWD</t>
        </is>
      </c>
      <c r="J479" t="inlineStr">
        <is>
          <t>Red</t>
        </is>
      </c>
      <c r="K479" t="n">
        <v>478</v>
      </c>
      <c r="L479" t="n">
        <v>90</v>
      </c>
      <c r="M479" t="n">
        <v>19.52</v>
      </c>
      <c r="N479" t="n">
        <v>4928.45</v>
      </c>
      <c r="O479" t="n">
        <v>4.6</v>
      </c>
      <c r="P479" t="n">
        <v>6</v>
      </c>
      <c r="Q479" t="n">
        <v>1</v>
      </c>
      <c r="R479" t="n">
        <v>2023.12</v>
      </c>
      <c r="S479" t="b">
        <v>0</v>
      </c>
      <c r="T479" t="n">
        <v>3178062</v>
      </c>
      <c r="U479" t="n">
        <v>10</v>
      </c>
      <c r="V479" t="n">
        <v>0.0363</v>
      </c>
      <c r="W479" t="n">
        <v>1.81</v>
      </c>
      <c r="X479" t="n">
        <v>75.81</v>
      </c>
      <c r="Y479">
        <f>VLOOKUP(D479,$AB$2:$AC$7,2,FALSE)</f>
        <v/>
      </c>
      <c r="Z479">
        <f>IF(A479&lt;Y479,"Yes","No")</f>
        <v/>
      </c>
    </row>
    <row r="480">
      <c r="A480" t="n">
        <v>2016</v>
      </c>
      <c r="B480" t="inlineStr">
        <is>
          <t>Q3</t>
        </is>
      </c>
      <c r="C480" t="inlineStr">
        <is>
          <t>South America</t>
        </is>
      </c>
      <c r="D480" t="inlineStr">
        <is>
          <t>Cybertruck</t>
        </is>
      </c>
      <c r="E480" t="n">
        <v>905</v>
      </c>
      <c r="F480" t="n">
        <v>39589.79</v>
      </c>
      <c r="G480" t="n">
        <v>57</v>
      </c>
      <c r="H480" t="inlineStr">
        <is>
          <t>Long Range</t>
        </is>
      </c>
      <c r="I480" t="inlineStr">
        <is>
          <t>RWD</t>
        </is>
      </c>
      <c r="J480" t="inlineStr">
        <is>
          <t>White</t>
        </is>
      </c>
      <c r="K480" t="n">
        <v>390</v>
      </c>
      <c r="L480" t="n">
        <v>43</v>
      </c>
      <c r="M480" t="n">
        <v>23.94</v>
      </c>
      <c r="N480" t="n">
        <v>1975.48</v>
      </c>
      <c r="O480" t="n">
        <v>4.28</v>
      </c>
      <c r="P480" t="n">
        <v>6</v>
      </c>
      <c r="Q480" t="n">
        <v>1</v>
      </c>
      <c r="R480" t="n">
        <v>2020.6</v>
      </c>
      <c r="S480" t="b">
        <v>1</v>
      </c>
      <c r="T480" t="n">
        <v>400879</v>
      </c>
      <c r="U480" t="n">
        <v>5</v>
      </c>
      <c r="V480" t="n">
        <v>0.07290000000000001</v>
      </c>
      <c r="W480" t="n">
        <v>1.8</v>
      </c>
      <c r="X480" t="n">
        <v>73.61</v>
      </c>
      <c r="Y480">
        <f>VLOOKUP(D480,$AB$2:$AC$7,2,FALSE)</f>
        <v/>
      </c>
      <c r="Z480">
        <f>IF(A480&lt;Y480,"Yes","No")</f>
        <v/>
      </c>
    </row>
    <row r="481">
      <c r="A481" t="n">
        <v>2013</v>
      </c>
      <c r="B481" t="inlineStr">
        <is>
          <t>Q1</t>
        </is>
      </c>
      <c r="C481" t="inlineStr">
        <is>
          <t>Australia</t>
        </is>
      </c>
      <c r="D481" t="inlineStr">
        <is>
          <t>Model S</t>
        </is>
      </c>
      <c r="E481" t="n">
        <v>2264</v>
      </c>
      <c r="F481" t="n">
        <v>58627.22</v>
      </c>
      <c r="G481" t="n">
        <v>24</v>
      </c>
      <c r="H481" t="inlineStr">
        <is>
          <t>Long Range</t>
        </is>
      </c>
      <c r="I481" t="inlineStr">
        <is>
          <t>AWD</t>
        </is>
      </c>
      <c r="J481" t="inlineStr">
        <is>
          <t>Red</t>
        </is>
      </c>
      <c r="K481" t="n">
        <v>492</v>
      </c>
      <c r="L481" t="n">
        <v>84</v>
      </c>
      <c r="M481" t="n">
        <v>20.32</v>
      </c>
      <c r="N481" t="n">
        <v>3374.98</v>
      </c>
      <c r="O481" t="n">
        <v>4.79</v>
      </c>
      <c r="P481" t="n">
        <v>8</v>
      </c>
      <c r="Q481" t="n">
        <v>3</v>
      </c>
      <c r="R481" t="n">
        <v>2020.4</v>
      </c>
      <c r="S481" t="b">
        <v>1</v>
      </c>
      <c r="T481" t="n">
        <v>3282025</v>
      </c>
      <c r="U481" t="n">
        <v>4</v>
      </c>
      <c r="V481" t="n">
        <v>0.0694</v>
      </c>
      <c r="W481" t="n">
        <v>1.56</v>
      </c>
      <c r="X481" t="n">
        <v>79.81</v>
      </c>
      <c r="Y481">
        <f>VLOOKUP(D481,$AB$2:$AC$7,2,FALSE)</f>
        <v/>
      </c>
      <c r="Z481">
        <f>IF(A481&lt;Y481,"Yes","No")</f>
        <v/>
      </c>
    </row>
    <row r="482">
      <c r="A482" t="n">
        <v>2012</v>
      </c>
      <c r="B482" t="inlineStr">
        <is>
          <t>Q3</t>
        </is>
      </c>
      <c r="C482" t="inlineStr">
        <is>
          <t>North America</t>
        </is>
      </c>
      <c r="D482" t="inlineStr">
        <is>
          <t>Cybertruck</t>
        </is>
      </c>
      <c r="E482" t="n">
        <v>2804</v>
      </c>
      <c r="F482" t="n">
        <v>113429.39</v>
      </c>
      <c r="G482" t="n">
        <v>58</v>
      </c>
      <c r="H482" t="inlineStr">
        <is>
          <t>Long Range</t>
        </is>
      </c>
      <c r="I482" t="inlineStr">
        <is>
          <t>AWD</t>
        </is>
      </c>
      <c r="J482" t="inlineStr">
        <is>
          <t>Red</t>
        </is>
      </c>
      <c r="K482" t="n">
        <v>524</v>
      </c>
      <c r="L482" t="n">
        <v>76</v>
      </c>
      <c r="M482" t="n">
        <v>22.95</v>
      </c>
      <c r="N482" t="n">
        <v>3836.3</v>
      </c>
      <c r="O482" t="n">
        <v>4.14</v>
      </c>
      <c r="P482" t="n">
        <v>4</v>
      </c>
      <c r="Q482" t="n">
        <v>0</v>
      </c>
      <c r="R482" t="n">
        <v>2024.7</v>
      </c>
      <c r="S482" t="b">
        <v>0</v>
      </c>
      <c r="T482" t="n">
        <v>4585903</v>
      </c>
      <c r="U482" t="n">
        <v>9</v>
      </c>
      <c r="V482" t="n">
        <v>0.0481</v>
      </c>
      <c r="W482" t="n">
        <v>1.94</v>
      </c>
      <c r="X482" t="n">
        <v>83.06999999999999</v>
      </c>
      <c r="Y482">
        <f>VLOOKUP(D482,$AB$2:$AC$7,2,FALSE)</f>
        <v/>
      </c>
      <c r="Z482">
        <f>IF(A482&lt;Y482,"Yes","No")</f>
        <v/>
      </c>
    </row>
    <row r="483">
      <c r="A483" t="n">
        <v>2016</v>
      </c>
      <c r="B483" t="inlineStr">
        <is>
          <t>Q2</t>
        </is>
      </c>
      <c r="C483" t="inlineStr">
        <is>
          <t>Australia</t>
        </is>
      </c>
      <c r="D483" t="inlineStr">
        <is>
          <t>Model Y</t>
        </is>
      </c>
      <c r="E483" t="n">
        <v>2001</v>
      </c>
      <c r="F483" t="n">
        <v>46209.18</v>
      </c>
      <c r="G483" t="n">
        <v>0</v>
      </c>
      <c r="H483" t="inlineStr">
        <is>
          <t>Long Range</t>
        </is>
      </c>
      <c r="I483" t="inlineStr">
        <is>
          <t>RWD</t>
        </is>
      </c>
      <c r="J483" t="inlineStr">
        <is>
          <t>Red</t>
        </is>
      </c>
      <c r="K483" t="n">
        <v>477</v>
      </c>
      <c r="L483" t="n">
        <v>79</v>
      </c>
      <c r="M483" t="n">
        <v>19.51</v>
      </c>
      <c r="N483" t="n">
        <v>2351.3</v>
      </c>
      <c r="O483" t="n">
        <v>4.09</v>
      </c>
      <c r="P483" t="n">
        <v>6</v>
      </c>
      <c r="Q483" t="n">
        <v>2</v>
      </c>
      <c r="R483" t="n">
        <v>2022.11</v>
      </c>
      <c r="S483" t="b">
        <v>0</v>
      </c>
      <c r="T483" t="n">
        <v>203508</v>
      </c>
      <c r="U483" t="n">
        <v>3</v>
      </c>
      <c r="V483" t="n">
        <v>0.0376</v>
      </c>
      <c r="W483" t="n">
        <v>1.82</v>
      </c>
      <c r="X483" t="n">
        <v>85.08</v>
      </c>
      <c r="Y483">
        <f>VLOOKUP(D483,$AB$2:$AC$7,2,FALSE)</f>
        <v/>
      </c>
      <c r="Z483">
        <f>IF(A483&lt;Y483,"Yes","No")</f>
        <v/>
      </c>
    </row>
    <row r="484">
      <c r="A484" t="n">
        <v>2014</v>
      </c>
      <c r="B484" t="inlineStr">
        <is>
          <t>Q4</t>
        </is>
      </c>
      <c r="C484" t="inlineStr">
        <is>
          <t>Australia</t>
        </is>
      </c>
      <c r="D484" t="inlineStr">
        <is>
          <t>Model S</t>
        </is>
      </c>
      <c r="E484" t="n">
        <v>3653</v>
      </c>
      <c r="F484" t="n">
        <v>35754.01</v>
      </c>
      <c r="G484" t="n">
        <v>2</v>
      </c>
      <c r="H484" t="inlineStr">
        <is>
          <t>Long Range</t>
        </is>
      </c>
      <c r="I484" t="inlineStr">
        <is>
          <t>RWD</t>
        </is>
      </c>
      <c r="J484" t="inlineStr">
        <is>
          <t>Green</t>
        </is>
      </c>
      <c r="K484" t="n">
        <v>634</v>
      </c>
      <c r="L484" t="n">
        <v>43</v>
      </c>
      <c r="M484" t="n">
        <v>17.9</v>
      </c>
      <c r="N484" t="n">
        <v>6060.84</v>
      </c>
      <c r="O484" t="n">
        <v>3.62</v>
      </c>
      <c r="P484" t="n">
        <v>6</v>
      </c>
      <c r="Q484" t="n">
        <v>0</v>
      </c>
      <c r="R484" t="n">
        <v>2023.3</v>
      </c>
      <c r="S484" t="b">
        <v>0</v>
      </c>
      <c r="T484" t="n">
        <v>2416466</v>
      </c>
      <c r="U484" t="n">
        <v>6</v>
      </c>
      <c r="V484" t="n">
        <v>0.0882</v>
      </c>
      <c r="W484" t="n">
        <v>0.75</v>
      </c>
      <c r="X484" t="n">
        <v>78.91</v>
      </c>
      <c r="Y484">
        <f>VLOOKUP(D484,$AB$2:$AC$7,2,FALSE)</f>
        <v/>
      </c>
      <c r="Z484">
        <f>IF(A484&lt;Y484,"Yes","No")</f>
        <v/>
      </c>
    </row>
    <row r="485">
      <c r="A485" t="n">
        <v>2014</v>
      </c>
      <c r="B485" t="inlineStr">
        <is>
          <t>Q1</t>
        </is>
      </c>
      <c r="C485" t="inlineStr">
        <is>
          <t>Europe</t>
        </is>
      </c>
      <c r="D485" t="inlineStr">
        <is>
          <t>Model S</t>
        </is>
      </c>
      <c r="E485" t="n">
        <v>365</v>
      </c>
      <c r="F485" t="n">
        <v>50661.72</v>
      </c>
      <c r="G485" t="n">
        <v>32</v>
      </c>
      <c r="H485" t="inlineStr">
        <is>
          <t>Long Range</t>
        </is>
      </c>
      <c r="I485" t="inlineStr">
        <is>
          <t>RWD</t>
        </is>
      </c>
      <c r="J485" t="inlineStr">
        <is>
          <t>Red</t>
        </is>
      </c>
      <c r="K485" t="n">
        <v>633</v>
      </c>
      <c r="L485" t="n">
        <v>75</v>
      </c>
      <c r="M485" t="n">
        <v>15.74</v>
      </c>
      <c r="N485" t="n">
        <v>877.24</v>
      </c>
      <c r="O485" t="n">
        <v>4.99</v>
      </c>
      <c r="P485" t="n">
        <v>6</v>
      </c>
      <c r="Q485" t="n">
        <v>0</v>
      </c>
      <c r="R485" t="n">
        <v>2022.9</v>
      </c>
      <c r="S485" t="b">
        <v>1</v>
      </c>
      <c r="T485" t="n">
        <v>2068779</v>
      </c>
      <c r="U485" t="n">
        <v>7</v>
      </c>
      <c r="V485" t="n">
        <v>0.0198</v>
      </c>
      <c r="W485" t="n">
        <v>1.51</v>
      </c>
      <c r="X485" t="n">
        <v>63.4</v>
      </c>
      <c r="Y485">
        <f>VLOOKUP(D485,$AB$2:$AC$7,2,FALSE)</f>
        <v/>
      </c>
      <c r="Z485">
        <f>IF(A485&lt;Y485,"Yes","No")</f>
        <v/>
      </c>
    </row>
    <row r="486">
      <c r="A486" t="n">
        <v>2013</v>
      </c>
      <c r="B486" t="inlineStr">
        <is>
          <t>Q2</t>
        </is>
      </c>
      <c r="C486" t="inlineStr">
        <is>
          <t>Europe</t>
        </is>
      </c>
      <c r="D486" t="inlineStr">
        <is>
          <t>Model X</t>
        </is>
      </c>
      <c r="E486" t="n">
        <v>4722</v>
      </c>
      <c r="F486" t="n">
        <v>66565.55</v>
      </c>
      <c r="G486" t="n">
        <v>52</v>
      </c>
      <c r="H486" t="inlineStr">
        <is>
          <t>Performance</t>
        </is>
      </c>
      <c r="I486" t="inlineStr">
        <is>
          <t>RWD</t>
        </is>
      </c>
      <c r="J486" t="inlineStr">
        <is>
          <t>Red</t>
        </is>
      </c>
      <c r="K486" t="n">
        <v>678</v>
      </c>
      <c r="L486" t="n">
        <v>57</v>
      </c>
      <c r="M486" t="n">
        <v>23.51</v>
      </c>
      <c r="N486" t="n">
        <v>3712.24</v>
      </c>
      <c r="O486" t="n">
        <v>3.99</v>
      </c>
      <c r="P486" t="n">
        <v>6</v>
      </c>
      <c r="Q486" t="n">
        <v>2</v>
      </c>
      <c r="R486" t="n">
        <v>2023.11</v>
      </c>
      <c r="S486" t="b">
        <v>0</v>
      </c>
      <c r="T486" t="n">
        <v>4048392</v>
      </c>
      <c r="U486" t="n">
        <v>6</v>
      </c>
      <c r="V486" t="n">
        <v>0.066</v>
      </c>
      <c r="W486" t="n">
        <v>0.82</v>
      </c>
      <c r="X486" t="n">
        <v>61.34</v>
      </c>
      <c r="Y486">
        <f>VLOOKUP(D486,$AB$2:$AC$7,2,FALSE)</f>
        <v/>
      </c>
      <c r="Z486">
        <f>IF(A486&lt;Y486,"Yes","No")</f>
        <v/>
      </c>
    </row>
    <row r="487">
      <c r="A487" t="n">
        <v>2014</v>
      </c>
      <c r="B487" t="inlineStr">
        <is>
          <t>Q1</t>
        </is>
      </c>
      <c r="C487" t="inlineStr">
        <is>
          <t>North America</t>
        </is>
      </c>
      <c r="D487" t="inlineStr">
        <is>
          <t>Cybertruck</t>
        </is>
      </c>
      <c r="E487" t="n">
        <v>1782</v>
      </c>
      <c r="F487" t="n">
        <v>103682.91</v>
      </c>
      <c r="G487" t="n">
        <v>32</v>
      </c>
      <c r="H487" t="inlineStr">
        <is>
          <t>Performance</t>
        </is>
      </c>
      <c r="I487" t="inlineStr">
        <is>
          <t>RWD</t>
        </is>
      </c>
      <c r="J487" t="inlineStr">
        <is>
          <t>Black</t>
        </is>
      </c>
      <c r="K487" t="n">
        <v>543</v>
      </c>
      <c r="L487" t="n">
        <v>83</v>
      </c>
      <c r="M487" t="n">
        <v>19.99</v>
      </c>
      <c r="N487" t="n">
        <v>3232.76</v>
      </c>
      <c r="O487" t="n">
        <v>3.73</v>
      </c>
      <c r="P487" t="n">
        <v>4</v>
      </c>
      <c r="Q487" t="n">
        <v>0</v>
      </c>
      <c r="R487" t="n">
        <v>2021.1</v>
      </c>
      <c r="S487" t="b">
        <v>0</v>
      </c>
      <c r="T487" t="n">
        <v>4621186</v>
      </c>
      <c r="U487" t="n">
        <v>3</v>
      </c>
      <c r="V487" t="n">
        <v>0.0863</v>
      </c>
      <c r="W487" t="n">
        <v>1.56</v>
      </c>
      <c r="X487" t="n">
        <v>61.54</v>
      </c>
      <c r="Y487">
        <f>VLOOKUP(D487,$AB$2:$AC$7,2,FALSE)</f>
        <v/>
      </c>
      <c r="Z487">
        <f>IF(A487&lt;Y487,"Yes","No")</f>
        <v/>
      </c>
    </row>
    <row r="488">
      <c r="A488" t="n">
        <v>2019</v>
      </c>
      <c r="B488" t="inlineStr">
        <is>
          <t>Q4</t>
        </is>
      </c>
      <c r="C488" t="inlineStr">
        <is>
          <t>Asia</t>
        </is>
      </c>
      <c r="D488" t="inlineStr">
        <is>
          <t>Model X</t>
        </is>
      </c>
      <c r="E488" t="n">
        <v>1647</v>
      </c>
      <c r="F488" t="n">
        <v>106060.76</v>
      </c>
      <c r="G488" t="n">
        <v>18</v>
      </c>
      <c r="H488" t="inlineStr">
        <is>
          <t>Standard</t>
        </is>
      </c>
      <c r="I488" t="inlineStr">
        <is>
          <t>RWD</t>
        </is>
      </c>
      <c r="J488" t="inlineStr">
        <is>
          <t>Black</t>
        </is>
      </c>
      <c r="K488" t="n">
        <v>535</v>
      </c>
      <c r="L488" t="n">
        <v>44</v>
      </c>
      <c r="M488" t="n">
        <v>18.47</v>
      </c>
      <c r="N488" t="n">
        <v>3288.03</v>
      </c>
      <c r="O488" t="n">
        <v>3.67</v>
      </c>
      <c r="P488" t="n">
        <v>5</v>
      </c>
      <c r="Q488" t="n">
        <v>3</v>
      </c>
      <c r="R488" t="n">
        <v>2023.6</v>
      </c>
      <c r="S488" t="b">
        <v>1</v>
      </c>
      <c r="T488" t="n">
        <v>3052660</v>
      </c>
      <c r="U488" t="n">
        <v>10</v>
      </c>
      <c r="V488" t="n">
        <v>0.0555</v>
      </c>
      <c r="W488" t="n">
        <v>2.33</v>
      </c>
      <c r="X488" t="n">
        <v>79.59999999999999</v>
      </c>
      <c r="Y488">
        <f>VLOOKUP(D488,$AB$2:$AC$7,2,FALSE)</f>
        <v/>
      </c>
      <c r="Z488">
        <f>IF(A488&lt;Y488,"Yes","No")</f>
        <v/>
      </c>
    </row>
    <row r="489">
      <c r="A489" t="n">
        <v>2021</v>
      </c>
      <c r="B489" t="inlineStr">
        <is>
          <t>Q2</t>
        </is>
      </c>
      <c r="C489" t="inlineStr">
        <is>
          <t>Australia</t>
        </is>
      </c>
      <c r="D489" t="inlineStr">
        <is>
          <t>Model Y</t>
        </is>
      </c>
      <c r="E489" t="n">
        <v>1932</v>
      </c>
      <c r="F489" t="n">
        <v>83394.09</v>
      </c>
      <c r="G489" t="n">
        <v>52</v>
      </c>
      <c r="H489" t="inlineStr">
        <is>
          <t>Standard</t>
        </is>
      </c>
      <c r="I489" t="inlineStr">
        <is>
          <t>AWD</t>
        </is>
      </c>
      <c r="J489" t="inlineStr">
        <is>
          <t>Blue</t>
        </is>
      </c>
      <c r="K489" t="n">
        <v>695</v>
      </c>
      <c r="L489" t="n">
        <v>67</v>
      </c>
      <c r="M489" t="n">
        <v>20.99</v>
      </c>
      <c r="N489" t="n">
        <v>3305.83</v>
      </c>
      <c r="O489" t="n">
        <v>4.69</v>
      </c>
      <c r="P489" t="n">
        <v>6</v>
      </c>
      <c r="Q489" t="n">
        <v>2</v>
      </c>
      <c r="R489" t="n">
        <v>2020.2</v>
      </c>
      <c r="S489" t="b">
        <v>0</v>
      </c>
      <c r="T489" t="n">
        <v>3631793</v>
      </c>
      <c r="U489" t="n">
        <v>10</v>
      </c>
      <c r="V489" t="n">
        <v>0.0985</v>
      </c>
      <c r="W489" t="n">
        <v>1.65</v>
      </c>
      <c r="X489" t="n">
        <v>78.98</v>
      </c>
      <c r="Y489">
        <f>VLOOKUP(D489,$AB$2:$AC$7,2,FALSE)</f>
        <v/>
      </c>
      <c r="Z489">
        <f>IF(A489&lt;Y489,"Yes","No")</f>
        <v/>
      </c>
    </row>
    <row r="490">
      <c r="A490" t="n">
        <v>2024</v>
      </c>
      <c r="B490" t="inlineStr">
        <is>
          <t>Q2</t>
        </is>
      </c>
      <c r="C490" t="inlineStr">
        <is>
          <t>Europe</t>
        </is>
      </c>
      <c r="D490" t="inlineStr">
        <is>
          <t>Model Y</t>
        </is>
      </c>
      <c r="E490" t="n">
        <v>177</v>
      </c>
      <c r="F490" t="n">
        <v>49175.53</v>
      </c>
      <c r="G490" t="n">
        <v>26</v>
      </c>
      <c r="H490" t="inlineStr">
        <is>
          <t>Long Range</t>
        </is>
      </c>
      <c r="I490" t="inlineStr">
        <is>
          <t>RWD</t>
        </is>
      </c>
      <c r="J490" t="inlineStr">
        <is>
          <t>Green</t>
        </is>
      </c>
      <c r="K490" t="n">
        <v>401</v>
      </c>
      <c r="L490" t="n">
        <v>38</v>
      </c>
      <c r="M490" t="n">
        <v>23.43</v>
      </c>
      <c r="N490" t="n">
        <v>383.69</v>
      </c>
      <c r="O490" t="n">
        <v>3.54</v>
      </c>
      <c r="P490" t="n">
        <v>5</v>
      </c>
      <c r="Q490" t="n">
        <v>0</v>
      </c>
      <c r="R490" t="n">
        <v>2021.9</v>
      </c>
      <c r="S490" t="b">
        <v>0</v>
      </c>
      <c r="T490" t="n">
        <v>3643001</v>
      </c>
      <c r="U490" t="n">
        <v>7</v>
      </c>
      <c r="V490" t="n">
        <v>0.0215</v>
      </c>
      <c r="W490" t="n">
        <v>1.89</v>
      </c>
      <c r="X490" t="n">
        <v>67.23999999999999</v>
      </c>
      <c r="Y490">
        <f>VLOOKUP(D490,$AB$2:$AC$7,2,FALSE)</f>
        <v/>
      </c>
      <c r="Z490">
        <f>IF(A490&lt;Y490,"Yes","No")</f>
        <v/>
      </c>
    </row>
    <row r="491">
      <c r="A491" t="n">
        <v>2016</v>
      </c>
      <c r="B491" t="inlineStr">
        <is>
          <t>Q1</t>
        </is>
      </c>
      <c r="C491" t="inlineStr">
        <is>
          <t>Asia</t>
        </is>
      </c>
      <c r="D491" t="inlineStr">
        <is>
          <t>Model X</t>
        </is>
      </c>
      <c r="E491" t="n">
        <v>4895</v>
      </c>
      <c r="F491" t="n">
        <v>86744.38</v>
      </c>
      <c r="G491" t="n">
        <v>6</v>
      </c>
      <c r="H491" t="inlineStr">
        <is>
          <t>Performance</t>
        </is>
      </c>
      <c r="I491" t="inlineStr">
        <is>
          <t>AWD</t>
        </is>
      </c>
      <c r="J491" t="inlineStr">
        <is>
          <t>Red</t>
        </is>
      </c>
      <c r="K491" t="n">
        <v>531</v>
      </c>
      <c r="L491" t="n">
        <v>90</v>
      </c>
      <c r="M491" t="n">
        <v>18.39</v>
      </c>
      <c r="N491" t="n">
        <v>6450.38</v>
      </c>
      <c r="O491" t="n">
        <v>4.17</v>
      </c>
      <c r="P491" t="n">
        <v>8</v>
      </c>
      <c r="Q491" t="n">
        <v>2</v>
      </c>
      <c r="R491" t="n">
        <v>2023.12</v>
      </c>
      <c r="S491" t="b">
        <v>1</v>
      </c>
      <c r="T491" t="n">
        <v>1638896</v>
      </c>
      <c r="U491" t="n">
        <v>11</v>
      </c>
      <c r="V491" t="n">
        <v>0.0925</v>
      </c>
      <c r="W491" t="n">
        <v>2.37</v>
      </c>
      <c r="X491" t="n">
        <v>62.51</v>
      </c>
      <c r="Y491">
        <f>VLOOKUP(D491,$AB$2:$AC$7,2,FALSE)</f>
        <v/>
      </c>
      <c r="Z491">
        <f>IF(A491&lt;Y491,"Yes","No")</f>
        <v/>
      </c>
    </row>
    <row r="492">
      <c r="A492" t="n">
        <v>2012</v>
      </c>
      <c r="B492" t="inlineStr">
        <is>
          <t>Q3</t>
        </is>
      </c>
      <c r="C492" t="inlineStr">
        <is>
          <t>Australia</t>
        </is>
      </c>
      <c r="D492" t="inlineStr">
        <is>
          <t>Model Y</t>
        </is>
      </c>
      <c r="E492" t="n">
        <v>2675</v>
      </c>
      <c r="F492" t="n">
        <v>72279.89999999999</v>
      </c>
      <c r="G492" t="n">
        <v>32</v>
      </c>
      <c r="H492" t="inlineStr">
        <is>
          <t>Performance</t>
        </is>
      </c>
      <c r="I492" t="inlineStr">
        <is>
          <t>RWD</t>
        </is>
      </c>
      <c r="J492" t="inlineStr">
        <is>
          <t>Red</t>
        </is>
      </c>
      <c r="K492" t="n">
        <v>468</v>
      </c>
      <c r="L492" t="n">
        <v>49</v>
      </c>
      <c r="M492" t="n">
        <v>18.92</v>
      </c>
      <c r="N492" t="n">
        <v>1595.84</v>
      </c>
      <c r="O492" t="n">
        <v>4.28</v>
      </c>
      <c r="P492" t="n">
        <v>8</v>
      </c>
      <c r="Q492" t="n">
        <v>2</v>
      </c>
      <c r="R492" t="n">
        <v>2022.7</v>
      </c>
      <c r="S492" t="b">
        <v>0</v>
      </c>
      <c r="T492" t="n">
        <v>1596660</v>
      </c>
      <c r="U492" t="n">
        <v>4</v>
      </c>
      <c r="V492" t="n">
        <v>0.0138</v>
      </c>
      <c r="W492" t="n">
        <v>2.39</v>
      </c>
      <c r="X492" t="n">
        <v>86.47</v>
      </c>
      <c r="Y492">
        <f>VLOOKUP(D492,$AB$2:$AC$7,2,FALSE)</f>
        <v/>
      </c>
      <c r="Z492">
        <f>IF(A492&lt;Y492,"Yes","No")</f>
        <v/>
      </c>
    </row>
    <row r="493">
      <c r="A493" t="n">
        <v>2023</v>
      </c>
      <c r="B493" t="inlineStr">
        <is>
          <t>Q2</t>
        </is>
      </c>
      <c r="C493" t="inlineStr">
        <is>
          <t>Australia</t>
        </is>
      </c>
      <c r="D493" t="inlineStr">
        <is>
          <t>Cybertruck</t>
        </is>
      </c>
      <c r="E493" t="n">
        <v>2329</v>
      </c>
      <c r="F493" t="n">
        <v>83886.71000000001</v>
      </c>
      <c r="G493" t="n">
        <v>39</v>
      </c>
      <c r="H493" t="inlineStr">
        <is>
          <t>Long Range</t>
        </is>
      </c>
      <c r="I493" t="inlineStr">
        <is>
          <t>AWD</t>
        </is>
      </c>
      <c r="J493" t="inlineStr">
        <is>
          <t>White</t>
        </is>
      </c>
      <c r="K493" t="n">
        <v>495</v>
      </c>
      <c r="L493" t="n">
        <v>40</v>
      </c>
      <c r="M493" t="n">
        <v>14.42</v>
      </c>
      <c r="N493" t="n">
        <v>2440.09</v>
      </c>
      <c r="O493" t="n">
        <v>4.16</v>
      </c>
      <c r="P493" t="n">
        <v>5</v>
      </c>
      <c r="Q493" t="n">
        <v>2</v>
      </c>
      <c r="R493" t="n">
        <v>2022.1</v>
      </c>
      <c r="S493" t="b">
        <v>1</v>
      </c>
      <c r="T493" t="n">
        <v>2043427</v>
      </c>
      <c r="U493" t="n">
        <v>12</v>
      </c>
      <c r="V493" t="n">
        <v>0.0351</v>
      </c>
      <c r="W493" t="n">
        <v>0.6899999999999999</v>
      </c>
      <c r="X493" t="n">
        <v>76.56</v>
      </c>
      <c r="Y493">
        <f>VLOOKUP(D493,$AB$2:$AC$7,2,FALSE)</f>
        <v/>
      </c>
      <c r="Z493">
        <f>IF(A493&lt;Y493,"Yes","No")</f>
        <v/>
      </c>
    </row>
    <row r="494">
      <c r="A494" t="n">
        <v>2020</v>
      </c>
      <c r="B494" t="inlineStr">
        <is>
          <t>Q2</t>
        </is>
      </c>
      <c r="C494" t="inlineStr">
        <is>
          <t>North America</t>
        </is>
      </c>
      <c r="D494" t="inlineStr">
        <is>
          <t>Cybertruck</t>
        </is>
      </c>
      <c r="E494" t="n">
        <v>375</v>
      </c>
      <c r="F494" t="n">
        <v>116587.82</v>
      </c>
      <c r="G494" t="n">
        <v>34</v>
      </c>
      <c r="H494" t="inlineStr">
        <is>
          <t>Performance</t>
        </is>
      </c>
      <c r="I494" t="inlineStr">
        <is>
          <t>AWD</t>
        </is>
      </c>
      <c r="J494" t="inlineStr">
        <is>
          <t>Red</t>
        </is>
      </c>
      <c r="K494" t="n">
        <v>600</v>
      </c>
      <c r="L494" t="n">
        <v>83</v>
      </c>
      <c r="M494" t="n">
        <v>22.87</v>
      </c>
      <c r="N494" t="n">
        <v>464.66</v>
      </c>
      <c r="O494" t="n">
        <v>3.92</v>
      </c>
      <c r="P494" t="n">
        <v>8</v>
      </c>
      <c r="Q494" t="n">
        <v>3</v>
      </c>
      <c r="R494" t="n">
        <v>2024.3</v>
      </c>
      <c r="S494" t="b">
        <v>0</v>
      </c>
      <c r="T494" t="n">
        <v>2574149</v>
      </c>
      <c r="U494" t="n">
        <v>3</v>
      </c>
      <c r="V494" t="n">
        <v>0.0745</v>
      </c>
      <c r="W494" t="n">
        <v>2.34</v>
      </c>
      <c r="X494" t="n">
        <v>63.6</v>
      </c>
      <c r="Y494">
        <f>VLOOKUP(D494,$AB$2:$AC$7,2,FALSE)</f>
        <v/>
      </c>
      <c r="Z494">
        <f>IF(A494&lt;Y494,"Yes","No")</f>
        <v/>
      </c>
    </row>
    <row r="495">
      <c r="A495" t="n">
        <v>2018</v>
      </c>
      <c r="B495" t="inlineStr">
        <is>
          <t>Q4</t>
        </is>
      </c>
      <c r="C495" t="inlineStr">
        <is>
          <t>Asia</t>
        </is>
      </c>
      <c r="D495" t="inlineStr">
        <is>
          <t>Model S</t>
        </is>
      </c>
      <c r="E495" t="n">
        <v>1170</v>
      </c>
      <c r="F495" t="n">
        <v>119411.57</v>
      </c>
      <c r="G495" t="n">
        <v>46</v>
      </c>
      <c r="H495" t="inlineStr">
        <is>
          <t>Performance</t>
        </is>
      </c>
      <c r="I495" t="inlineStr">
        <is>
          <t>AWD</t>
        </is>
      </c>
      <c r="J495" t="inlineStr">
        <is>
          <t>White</t>
        </is>
      </c>
      <c r="K495" t="n">
        <v>390</v>
      </c>
      <c r="L495" t="n">
        <v>77</v>
      </c>
      <c r="M495" t="n">
        <v>22.52</v>
      </c>
      <c r="N495" t="n">
        <v>2287.03</v>
      </c>
      <c r="O495" t="n">
        <v>3.99</v>
      </c>
      <c r="P495" t="n">
        <v>6</v>
      </c>
      <c r="Q495" t="n">
        <v>2</v>
      </c>
      <c r="R495" t="n">
        <v>2023.11</v>
      </c>
      <c r="S495" t="b">
        <v>1</v>
      </c>
      <c r="T495" t="n">
        <v>2740817</v>
      </c>
      <c r="U495" t="n">
        <v>2</v>
      </c>
      <c r="V495" t="n">
        <v>0.049</v>
      </c>
      <c r="W495" t="n">
        <v>2.36</v>
      </c>
      <c r="X495" t="n">
        <v>83.83</v>
      </c>
      <c r="Y495">
        <f>VLOOKUP(D495,$AB$2:$AC$7,2,FALSE)</f>
        <v/>
      </c>
      <c r="Z495">
        <f>IF(A495&lt;Y495,"Yes","No")</f>
        <v/>
      </c>
    </row>
    <row r="496">
      <c r="A496" t="n">
        <v>2017</v>
      </c>
      <c r="B496" t="inlineStr">
        <is>
          <t>Q2</t>
        </is>
      </c>
      <c r="C496" t="inlineStr">
        <is>
          <t>South America</t>
        </is>
      </c>
      <c r="D496" t="inlineStr">
        <is>
          <t>Semi</t>
        </is>
      </c>
      <c r="E496" t="n">
        <v>341</v>
      </c>
      <c r="F496" t="n">
        <v>115680.52</v>
      </c>
      <c r="G496" t="n">
        <v>40</v>
      </c>
      <c r="H496" t="inlineStr">
        <is>
          <t>Standard</t>
        </is>
      </c>
      <c r="I496" t="inlineStr">
        <is>
          <t>AWD</t>
        </is>
      </c>
      <c r="J496" t="inlineStr">
        <is>
          <t>Black</t>
        </is>
      </c>
      <c r="K496" t="n">
        <v>650</v>
      </c>
      <c r="L496" t="n">
        <v>54</v>
      </c>
      <c r="M496" t="n">
        <v>23.47</v>
      </c>
      <c r="N496" t="n">
        <v>320.68</v>
      </c>
      <c r="O496" t="n">
        <v>3.79</v>
      </c>
      <c r="P496" t="n">
        <v>8</v>
      </c>
      <c r="Q496" t="n">
        <v>1</v>
      </c>
      <c r="R496" t="n">
        <v>2023.3</v>
      </c>
      <c r="S496" t="b">
        <v>0</v>
      </c>
      <c r="T496" t="n">
        <v>2470617</v>
      </c>
      <c r="U496" t="n">
        <v>4</v>
      </c>
      <c r="V496" t="n">
        <v>0.0279</v>
      </c>
      <c r="W496" t="n">
        <v>2.25</v>
      </c>
      <c r="X496" t="n">
        <v>88.52</v>
      </c>
      <c r="Y496">
        <f>VLOOKUP(D496,$AB$2:$AC$7,2,FALSE)</f>
        <v/>
      </c>
      <c r="Z496">
        <f>IF(A496&lt;Y496,"Yes","No")</f>
        <v/>
      </c>
    </row>
    <row r="497">
      <c r="A497" t="n">
        <v>2023</v>
      </c>
      <c r="B497" t="inlineStr">
        <is>
          <t>Q2</t>
        </is>
      </c>
      <c r="C497" t="inlineStr">
        <is>
          <t>North America</t>
        </is>
      </c>
      <c r="D497" t="inlineStr">
        <is>
          <t>Model Y</t>
        </is>
      </c>
      <c r="E497" t="n">
        <v>601</v>
      </c>
      <c r="F497" t="n">
        <v>76708.75</v>
      </c>
      <c r="G497" t="n">
        <v>39</v>
      </c>
      <c r="H497" t="inlineStr">
        <is>
          <t>Standard</t>
        </is>
      </c>
      <c r="I497" t="inlineStr">
        <is>
          <t>AWD</t>
        </is>
      </c>
      <c r="J497" t="inlineStr">
        <is>
          <t>Red</t>
        </is>
      </c>
      <c r="K497" t="n">
        <v>564</v>
      </c>
      <c r="L497" t="n">
        <v>74</v>
      </c>
      <c r="M497" t="n">
        <v>16.16</v>
      </c>
      <c r="N497" t="n">
        <v>757.61</v>
      </c>
      <c r="O497" t="n">
        <v>4.38</v>
      </c>
      <c r="P497" t="n">
        <v>6</v>
      </c>
      <c r="Q497" t="n">
        <v>3</v>
      </c>
      <c r="R497" t="n">
        <v>2024.11</v>
      </c>
      <c r="S497" t="b">
        <v>1</v>
      </c>
      <c r="T497" t="n">
        <v>2617426</v>
      </c>
      <c r="U497" t="n">
        <v>5</v>
      </c>
      <c r="V497" t="n">
        <v>0.0888</v>
      </c>
      <c r="W497" t="n">
        <v>1.84</v>
      </c>
      <c r="X497" t="n">
        <v>74.70999999999999</v>
      </c>
      <c r="Y497">
        <f>VLOOKUP(D497,$AB$2:$AC$7,2,FALSE)</f>
        <v/>
      </c>
      <c r="Z497">
        <f>IF(A497&lt;Y497,"Yes","No")</f>
        <v/>
      </c>
    </row>
    <row r="498">
      <c r="A498" t="n">
        <v>2022</v>
      </c>
      <c r="B498" t="inlineStr">
        <is>
          <t>Q4</t>
        </is>
      </c>
      <c r="C498" t="inlineStr">
        <is>
          <t>South America</t>
        </is>
      </c>
      <c r="D498" t="inlineStr">
        <is>
          <t>Model X</t>
        </is>
      </c>
      <c r="E498" t="n">
        <v>4501</v>
      </c>
      <c r="F498" t="n">
        <v>75881.52</v>
      </c>
      <c r="G498" t="n">
        <v>6</v>
      </c>
      <c r="H498" t="inlineStr">
        <is>
          <t>Standard</t>
        </is>
      </c>
      <c r="I498" t="inlineStr">
        <is>
          <t>AWD</t>
        </is>
      </c>
      <c r="J498" t="inlineStr">
        <is>
          <t>White</t>
        </is>
      </c>
      <c r="K498" t="n">
        <v>564</v>
      </c>
      <c r="L498" t="n">
        <v>58</v>
      </c>
      <c r="M498" t="n">
        <v>16.9</v>
      </c>
      <c r="N498" t="n">
        <v>8213.59</v>
      </c>
      <c r="O498" t="n">
        <v>3.67</v>
      </c>
      <c r="P498" t="n">
        <v>8</v>
      </c>
      <c r="Q498" t="n">
        <v>2</v>
      </c>
      <c r="R498" t="n">
        <v>2020.6</v>
      </c>
      <c r="S498" t="b">
        <v>0</v>
      </c>
      <c r="T498" t="n">
        <v>1174227</v>
      </c>
      <c r="U498" t="n">
        <v>9</v>
      </c>
      <c r="V498" t="n">
        <v>0.0856</v>
      </c>
      <c r="W498" t="n">
        <v>2.23</v>
      </c>
      <c r="X498" t="n">
        <v>78.03</v>
      </c>
      <c r="Y498">
        <f>VLOOKUP(D498,$AB$2:$AC$7,2,FALSE)</f>
        <v/>
      </c>
      <c r="Z498">
        <f>IF(A498&lt;Y498,"Yes","No")</f>
        <v/>
      </c>
    </row>
    <row r="499">
      <c r="A499" t="n">
        <v>2022</v>
      </c>
      <c r="B499" t="inlineStr">
        <is>
          <t>Q2</t>
        </is>
      </c>
      <c r="C499" t="inlineStr">
        <is>
          <t>North America</t>
        </is>
      </c>
      <c r="D499" t="inlineStr">
        <is>
          <t>Model X</t>
        </is>
      </c>
      <c r="E499" t="n">
        <v>2244</v>
      </c>
      <c r="F499" t="n">
        <v>78136.42999999999</v>
      </c>
      <c r="G499" t="n">
        <v>56</v>
      </c>
      <c r="H499" t="inlineStr">
        <is>
          <t>Long Range</t>
        </is>
      </c>
      <c r="I499" t="inlineStr">
        <is>
          <t>AWD</t>
        </is>
      </c>
      <c r="J499" t="inlineStr">
        <is>
          <t>Silver</t>
        </is>
      </c>
      <c r="K499" t="n">
        <v>515</v>
      </c>
      <c r="L499" t="n">
        <v>46</v>
      </c>
      <c r="M499" t="n">
        <v>21.1</v>
      </c>
      <c r="N499" t="n">
        <v>2967.6</v>
      </c>
      <c r="O499" t="n">
        <v>4.71</v>
      </c>
      <c r="P499" t="n">
        <v>8</v>
      </c>
      <c r="Q499" t="n">
        <v>3</v>
      </c>
      <c r="R499" t="n">
        <v>2022.1</v>
      </c>
      <c r="S499" t="b">
        <v>0</v>
      </c>
      <c r="T499" t="n">
        <v>4172714</v>
      </c>
      <c r="U499" t="n">
        <v>5</v>
      </c>
      <c r="V499" t="n">
        <v>0.0406</v>
      </c>
      <c r="W499" t="n">
        <v>2.14</v>
      </c>
      <c r="X499" t="n">
        <v>69.26000000000001</v>
      </c>
      <c r="Y499">
        <f>VLOOKUP(D499,$AB$2:$AC$7,2,FALSE)</f>
        <v/>
      </c>
      <c r="Z499">
        <f>IF(A499&lt;Y499,"Yes","No")</f>
        <v/>
      </c>
    </row>
    <row r="500">
      <c r="A500" t="n">
        <v>2018</v>
      </c>
      <c r="B500" t="inlineStr">
        <is>
          <t>Q2</t>
        </is>
      </c>
      <c r="C500" t="inlineStr">
        <is>
          <t>South America</t>
        </is>
      </c>
      <c r="D500" t="inlineStr">
        <is>
          <t>Model 3</t>
        </is>
      </c>
      <c r="E500" t="n">
        <v>4441</v>
      </c>
      <c r="F500" t="n">
        <v>52527.07</v>
      </c>
      <c r="G500" t="n">
        <v>40</v>
      </c>
      <c r="H500" t="inlineStr">
        <is>
          <t>Standard</t>
        </is>
      </c>
      <c r="I500" t="inlineStr">
        <is>
          <t>RWD</t>
        </is>
      </c>
      <c r="J500" t="inlineStr">
        <is>
          <t>Black</t>
        </is>
      </c>
      <c r="K500" t="n">
        <v>659</v>
      </c>
      <c r="L500" t="n">
        <v>64</v>
      </c>
      <c r="M500" t="n">
        <v>13.24</v>
      </c>
      <c r="N500" t="n">
        <v>8635.34</v>
      </c>
      <c r="O500" t="n">
        <v>4.7</v>
      </c>
      <c r="P500" t="n">
        <v>4</v>
      </c>
      <c r="Q500" t="n">
        <v>2</v>
      </c>
      <c r="R500" t="n">
        <v>2022.9</v>
      </c>
      <c r="S500" t="b">
        <v>1</v>
      </c>
      <c r="T500" t="n">
        <v>512847</v>
      </c>
      <c r="U500" t="n">
        <v>10</v>
      </c>
      <c r="V500" t="n">
        <v>0.0289</v>
      </c>
      <c r="W500" t="n">
        <v>1.57</v>
      </c>
      <c r="X500" t="n">
        <v>89.56</v>
      </c>
      <c r="Y500">
        <f>VLOOKUP(D500,$AB$2:$AC$7,2,FALSE)</f>
        <v/>
      </c>
      <c r="Z500">
        <f>IF(A500&lt;Y500,"Yes","No")</f>
        <v/>
      </c>
    </row>
    <row r="501">
      <c r="A501" t="n">
        <v>2020</v>
      </c>
      <c r="B501" t="inlineStr">
        <is>
          <t>Q4</t>
        </is>
      </c>
      <c r="C501" t="inlineStr">
        <is>
          <t>Europe</t>
        </is>
      </c>
      <c r="D501" t="inlineStr">
        <is>
          <t>Model X</t>
        </is>
      </c>
      <c r="E501" t="n">
        <v>1372</v>
      </c>
      <c r="F501" t="n">
        <v>112405.57</v>
      </c>
      <c r="G501" t="n">
        <v>21</v>
      </c>
      <c r="H501" t="inlineStr">
        <is>
          <t>Long Range</t>
        </is>
      </c>
      <c r="I501" t="inlineStr">
        <is>
          <t>AWD</t>
        </is>
      </c>
      <c r="J501" t="inlineStr">
        <is>
          <t>Silver</t>
        </is>
      </c>
      <c r="K501" t="n">
        <v>477</v>
      </c>
      <c r="L501" t="n">
        <v>90</v>
      </c>
      <c r="M501" t="n">
        <v>13.16</v>
      </c>
      <c r="N501" t="n">
        <v>3006</v>
      </c>
      <c r="O501" t="n">
        <v>4.63</v>
      </c>
      <c r="P501" t="n">
        <v>4</v>
      </c>
      <c r="Q501" t="n">
        <v>3</v>
      </c>
      <c r="R501" t="n">
        <v>2023.1</v>
      </c>
      <c r="S501" t="b">
        <v>1</v>
      </c>
      <c r="T501" t="n">
        <v>2474728</v>
      </c>
      <c r="U501" t="n">
        <v>6</v>
      </c>
      <c r="V501" t="n">
        <v>0.0122</v>
      </c>
      <c r="W501" t="n">
        <v>1.76</v>
      </c>
      <c r="X501" t="n">
        <v>80.64</v>
      </c>
      <c r="Y501">
        <f>VLOOKUP(D501,$AB$2:$AC$7,2,FALSE)</f>
        <v/>
      </c>
      <c r="Z501">
        <f>IF(A501&lt;Y501,"Yes","No")</f>
        <v/>
      </c>
    </row>
    <row r="502">
      <c r="A502" t="n">
        <v>2012</v>
      </c>
      <c r="B502" t="inlineStr">
        <is>
          <t>Q3</t>
        </is>
      </c>
      <c r="C502" t="inlineStr">
        <is>
          <t>North America</t>
        </is>
      </c>
      <c r="D502" t="inlineStr">
        <is>
          <t>Model Y</t>
        </is>
      </c>
      <c r="E502" t="n">
        <v>3332</v>
      </c>
      <c r="F502" t="n">
        <v>46151.42</v>
      </c>
      <c r="G502" t="n">
        <v>47</v>
      </c>
      <c r="H502" t="inlineStr">
        <is>
          <t>Long Range</t>
        </is>
      </c>
      <c r="I502" t="inlineStr">
        <is>
          <t>AWD</t>
        </is>
      </c>
      <c r="J502" t="inlineStr">
        <is>
          <t>Red</t>
        </is>
      </c>
      <c r="K502" t="n">
        <v>387</v>
      </c>
      <c r="L502" t="n">
        <v>62</v>
      </c>
      <c r="M502" t="n">
        <v>21.67</v>
      </c>
      <c r="N502" t="n">
        <v>6746.54</v>
      </c>
      <c r="O502" t="n">
        <v>4.12</v>
      </c>
      <c r="P502" t="n">
        <v>4</v>
      </c>
      <c r="Q502" t="n">
        <v>1</v>
      </c>
      <c r="R502" t="n">
        <v>2020.12</v>
      </c>
      <c r="S502" t="b">
        <v>0</v>
      </c>
      <c r="T502" t="n">
        <v>1729772</v>
      </c>
      <c r="U502" t="n">
        <v>11</v>
      </c>
      <c r="V502" t="n">
        <v>0.0873</v>
      </c>
      <c r="W502" t="n">
        <v>2.07</v>
      </c>
      <c r="X502" t="n">
        <v>72.75</v>
      </c>
      <c r="Y502">
        <f>VLOOKUP(D502,$AB$2:$AC$7,2,FALSE)</f>
        <v/>
      </c>
      <c r="Z502">
        <f>IF(A502&lt;Y502,"Yes","No")</f>
        <v/>
      </c>
    </row>
    <row r="503">
      <c r="A503" t="n">
        <v>2023</v>
      </c>
      <c r="B503" t="inlineStr">
        <is>
          <t>Q1</t>
        </is>
      </c>
      <c r="C503" t="inlineStr">
        <is>
          <t>Asia</t>
        </is>
      </c>
      <c r="D503" t="inlineStr">
        <is>
          <t>Model X</t>
        </is>
      </c>
      <c r="E503" t="n">
        <v>3809</v>
      </c>
      <c r="F503" t="n">
        <v>52226.67</v>
      </c>
      <c r="G503" t="n">
        <v>16</v>
      </c>
      <c r="H503" t="inlineStr">
        <is>
          <t>Performance</t>
        </is>
      </c>
      <c r="I503" t="inlineStr">
        <is>
          <t>RWD</t>
        </is>
      </c>
      <c r="J503" t="inlineStr">
        <is>
          <t>Blue</t>
        </is>
      </c>
      <c r="K503" t="n">
        <v>499</v>
      </c>
      <c r="L503" t="n">
        <v>57</v>
      </c>
      <c r="M503" t="n">
        <v>14.12</v>
      </c>
      <c r="N503" t="n">
        <v>9270.24</v>
      </c>
      <c r="O503" t="n">
        <v>4.34</v>
      </c>
      <c r="P503" t="n">
        <v>8</v>
      </c>
      <c r="Q503" t="n">
        <v>2</v>
      </c>
      <c r="R503" t="n">
        <v>2024.9</v>
      </c>
      <c r="S503" t="b">
        <v>1</v>
      </c>
      <c r="T503" t="n">
        <v>3307873</v>
      </c>
      <c r="U503" t="n">
        <v>2</v>
      </c>
      <c r="V503" t="n">
        <v>0.0994</v>
      </c>
      <c r="W503" t="n">
        <v>1.96</v>
      </c>
      <c r="X503" t="n">
        <v>88.54000000000001</v>
      </c>
      <c r="Y503">
        <f>VLOOKUP(D503,$AB$2:$AC$7,2,FALSE)</f>
        <v/>
      </c>
      <c r="Z503">
        <f>IF(A503&lt;Y503,"Yes","No")</f>
        <v/>
      </c>
    </row>
    <row r="504">
      <c r="A504" t="n">
        <v>2024</v>
      </c>
      <c r="B504" t="inlineStr">
        <is>
          <t>Q1</t>
        </is>
      </c>
      <c r="C504" t="inlineStr">
        <is>
          <t>Australia</t>
        </is>
      </c>
      <c r="D504" t="inlineStr">
        <is>
          <t>Model 3</t>
        </is>
      </c>
      <c r="E504" t="n">
        <v>4783</v>
      </c>
      <c r="F504" t="n">
        <v>117891.2</v>
      </c>
      <c r="G504" t="n">
        <v>25</v>
      </c>
      <c r="H504" t="inlineStr">
        <is>
          <t>Standard</t>
        </is>
      </c>
      <c r="I504" t="inlineStr">
        <is>
          <t>RWD</t>
        </is>
      </c>
      <c r="J504" t="inlineStr">
        <is>
          <t>White</t>
        </is>
      </c>
      <c r="K504" t="n">
        <v>594</v>
      </c>
      <c r="L504" t="n">
        <v>66</v>
      </c>
      <c r="M504" t="n">
        <v>14.31</v>
      </c>
      <c r="N504" t="n">
        <v>5362.79</v>
      </c>
      <c r="O504" t="n">
        <v>3.72</v>
      </c>
      <c r="P504" t="n">
        <v>4</v>
      </c>
      <c r="Q504" t="n">
        <v>0</v>
      </c>
      <c r="R504" t="n">
        <v>2024.3</v>
      </c>
      <c r="S504" t="b">
        <v>1</v>
      </c>
      <c r="T504" t="n">
        <v>4208836</v>
      </c>
      <c r="U504" t="n">
        <v>11</v>
      </c>
      <c r="V504" t="n">
        <v>0.0325</v>
      </c>
      <c r="W504" t="n">
        <v>0.78</v>
      </c>
      <c r="X504" t="n">
        <v>78.48999999999999</v>
      </c>
      <c r="Y504">
        <f>VLOOKUP(D504,$AB$2:$AC$7,2,FALSE)</f>
        <v/>
      </c>
      <c r="Z504">
        <f>IF(A504&lt;Y504,"Yes","No")</f>
        <v/>
      </c>
    </row>
    <row r="505">
      <c r="A505" t="n">
        <v>2019</v>
      </c>
      <c r="B505" t="inlineStr">
        <is>
          <t>Q2</t>
        </is>
      </c>
      <c r="C505" t="inlineStr">
        <is>
          <t>North America</t>
        </is>
      </c>
      <c r="D505" t="inlineStr">
        <is>
          <t>Model Y</t>
        </is>
      </c>
      <c r="E505" t="n">
        <v>2114</v>
      </c>
      <c r="F505" t="n">
        <v>70007.98</v>
      </c>
      <c r="G505" t="n">
        <v>47</v>
      </c>
      <c r="H505" t="inlineStr">
        <is>
          <t>Long Range</t>
        </is>
      </c>
      <c r="I505" t="inlineStr">
        <is>
          <t>AWD</t>
        </is>
      </c>
      <c r="J505" t="inlineStr">
        <is>
          <t>Red</t>
        </is>
      </c>
      <c r="K505" t="n">
        <v>514</v>
      </c>
      <c r="L505" t="n">
        <v>74</v>
      </c>
      <c r="M505" t="n">
        <v>19.78</v>
      </c>
      <c r="N505" t="n">
        <v>2775.83</v>
      </c>
      <c r="O505" t="n">
        <v>3.51</v>
      </c>
      <c r="P505" t="n">
        <v>5</v>
      </c>
      <c r="Q505" t="n">
        <v>3</v>
      </c>
      <c r="R505" t="n">
        <v>2024.8</v>
      </c>
      <c r="S505" t="b">
        <v>0</v>
      </c>
      <c r="T505" t="n">
        <v>2077524</v>
      </c>
      <c r="U505" t="n">
        <v>7</v>
      </c>
      <c r="V505" t="n">
        <v>0.0515</v>
      </c>
      <c r="W505" t="n">
        <v>1.47</v>
      </c>
      <c r="X505" t="n">
        <v>76.64</v>
      </c>
      <c r="Y505">
        <f>VLOOKUP(D505,$AB$2:$AC$7,2,FALSE)</f>
        <v/>
      </c>
      <c r="Z505">
        <f>IF(A505&lt;Y505,"Yes","No")</f>
        <v/>
      </c>
    </row>
    <row r="506">
      <c r="A506" t="n">
        <v>2023</v>
      </c>
      <c r="B506" t="inlineStr">
        <is>
          <t>Q1</t>
        </is>
      </c>
      <c r="C506" t="inlineStr">
        <is>
          <t>North America</t>
        </is>
      </c>
      <c r="D506" t="inlineStr">
        <is>
          <t>Model Y</t>
        </is>
      </c>
      <c r="E506" t="n">
        <v>684</v>
      </c>
      <c r="F506" t="n">
        <v>66933.31</v>
      </c>
      <c r="G506" t="n">
        <v>48</v>
      </c>
      <c r="H506" t="inlineStr">
        <is>
          <t>Standard</t>
        </is>
      </c>
      <c r="I506" t="inlineStr">
        <is>
          <t>AWD</t>
        </is>
      </c>
      <c r="J506" t="inlineStr">
        <is>
          <t>Silver</t>
        </is>
      </c>
      <c r="K506" t="n">
        <v>412</v>
      </c>
      <c r="L506" t="n">
        <v>40</v>
      </c>
      <c r="M506" t="n">
        <v>15.37</v>
      </c>
      <c r="N506" t="n">
        <v>1531.82</v>
      </c>
      <c r="O506" t="n">
        <v>3.67</v>
      </c>
      <c r="P506" t="n">
        <v>8</v>
      </c>
      <c r="Q506" t="n">
        <v>3</v>
      </c>
      <c r="R506" t="n">
        <v>2021.11</v>
      </c>
      <c r="S506" t="b">
        <v>0</v>
      </c>
      <c r="T506" t="n">
        <v>1273275</v>
      </c>
      <c r="U506" t="n">
        <v>10</v>
      </c>
      <c r="V506" t="n">
        <v>0.0476</v>
      </c>
      <c r="W506" t="n">
        <v>0.52</v>
      </c>
      <c r="X506" t="n">
        <v>63.53</v>
      </c>
      <c r="Y506">
        <f>VLOOKUP(D506,$AB$2:$AC$7,2,FALSE)</f>
        <v/>
      </c>
      <c r="Z506">
        <f>IF(A506&lt;Y506,"Yes","No")</f>
        <v/>
      </c>
    </row>
    <row r="507">
      <c r="A507" t="n">
        <v>2016</v>
      </c>
      <c r="B507" t="inlineStr">
        <is>
          <t>Q3</t>
        </is>
      </c>
      <c r="C507" t="inlineStr">
        <is>
          <t>South America</t>
        </is>
      </c>
      <c r="D507" t="inlineStr">
        <is>
          <t>Model X</t>
        </is>
      </c>
      <c r="E507" t="n">
        <v>3094</v>
      </c>
      <c r="F507" t="n">
        <v>82923.88</v>
      </c>
      <c r="G507" t="n">
        <v>10</v>
      </c>
      <c r="H507" t="inlineStr">
        <is>
          <t>Standard</t>
        </is>
      </c>
      <c r="I507" t="inlineStr">
        <is>
          <t>RWD</t>
        </is>
      </c>
      <c r="J507" t="inlineStr">
        <is>
          <t>Silver</t>
        </is>
      </c>
      <c r="K507" t="n">
        <v>700</v>
      </c>
      <c r="L507" t="n">
        <v>43</v>
      </c>
      <c r="M507" t="n">
        <v>22.63</v>
      </c>
      <c r="N507" t="n">
        <v>7437.95</v>
      </c>
      <c r="O507" t="n">
        <v>4.06</v>
      </c>
      <c r="P507" t="n">
        <v>6</v>
      </c>
      <c r="Q507" t="n">
        <v>3</v>
      </c>
      <c r="R507" t="n">
        <v>2023.4</v>
      </c>
      <c r="S507" t="b">
        <v>0</v>
      </c>
      <c r="T507" t="n">
        <v>1235307</v>
      </c>
      <c r="U507" t="n">
        <v>4</v>
      </c>
      <c r="V507" t="n">
        <v>0.0572</v>
      </c>
      <c r="W507" t="n">
        <v>2.16</v>
      </c>
      <c r="X507" t="n">
        <v>60.29</v>
      </c>
      <c r="Y507">
        <f>VLOOKUP(D507,$AB$2:$AC$7,2,FALSE)</f>
        <v/>
      </c>
      <c r="Z507">
        <f>IF(A507&lt;Y507,"Yes","No")</f>
        <v/>
      </c>
    </row>
    <row r="508">
      <c r="A508" t="n">
        <v>2018</v>
      </c>
      <c r="B508" t="inlineStr">
        <is>
          <t>Q2</t>
        </is>
      </c>
      <c r="C508" t="inlineStr">
        <is>
          <t>Europe</t>
        </is>
      </c>
      <c r="D508" t="inlineStr">
        <is>
          <t>Model Y</t>
        </is>
      </c>
      <c r="E508" t="n">
        <v>599</v>
      </c>
      <c r="F508" t="n">
        <v>119431.38</v>
      </c>
      <c r="G508" t="n">
        <v>0</v>
      </c>
      <c r="H508" t="inlineStr">
        <is>
          <t>Long Range</t>
        </is>
      </c>
      <c r="I508" t="inlineStr">
        <is>
          <t>AWD</t>
        </is>
      </c>
      <c r="J508" t="inlineStr">
        <is>
          <t>Black</t>
        </is>
      </c>
      <c r="K508" t="n">
        <v>398</v>
      </c>
      <c r="L508" t="n">
        <v>64</v>
      </c>
      <c r="M508" t="n">
        <v>18.5</v>
      </c>
      <c r="N508" t="n">
        <v>412.97</v>
      </c>
      <c r="O508" t="n">
        <v>4.44</v>
      </c>
      <c r="P508" t="n">
        <v>5</v>
      </c>
      <c r="Q508" t="n">
        <v>0</v>
      </c>
      <c r="R508" t="n">
        <v>2022.11</v>
      </c>
      <c r="S508" t="b">
        <v>1</v>
      </c>
      <c r="T508" t="n">
        <v>2993712</v>
      </c>
      <c r="U508" t="n">
        <v>12</v>
      </c>
      <c r="V508" t="n">
        <v>0.0113</v>
      </c>
      <c r="W508" t="n">
        <v>0.89</v>
      </c>
      <c r="X508" t="n">
        <v>68.53</v>
      </c>
      <c r="Y508">
        <f>VLOOKUP(D508,$AB$2:$AC$7,2,FALSE)</f>
        <v/>
      </c>
      <c r="Z508">
        <f>IF(A508&lt;Y508,"Yes","No")</f>
        <v/>
      </c>
    </row>
    <row r="509">
      <c r="A509" t="n">
        <v>2018</v>
      </c>
      <c r="B509" t="inlineStr">
        <is>
          <t>Q3</t>
        </is>
      </c>
      <c r="C509" t="inlineStr">
        <is>
          <t>Asia</t>
        </is>
      </c>
      <c r="D509" t="inlineStr">
        <is>
          <t>Cybertruck</t>
        </is>
      </c>
      <c r="E509" t="n">
        <v>3353</v>
      </c>
      <c r="F509" t="n">
        <v>114416.17</v>
      </c>
      <c r="G509" t="n">
        <v>35</v>
      </c>
      <c r="H509" t="inlineStr">
        <is>
          <t>Performance</t>
        </is>
      </c>
      <c r="I509" t="inlineStr">
        <is>
          <t>AWD</t>
        </is>
      </c>
      <c r="J509" t="inlineStr">
        <is>
          <t>Red</t>
        </is>
      </c>
      <c r="K509" t="n">
        <v>653</v>
      </c>
      <c r="L509" t="n">
        <v>39</v>
      </c>
      <c r="M509" t="n">
        <v>14.24</v>
      </c>
      <c r="N509" t="n">
        <v>3127.96</v>
      </c>
      <c r="O509" t="n">
        <v>3.77</v>
      </c>
      <c r="P509" t="n">
        <v>4</v>
      </c>
      <c r="Q509" t="n">
        <v>1</v>
      </c>
      <c r="R509" t="n">
        <v>2024.1</v>
      </c>
      <c r="S509" t="b">
        <v>0</v>
      </c>
      <c r="T509" t="n">
        <v>2869584</v>
      </c>
      <c r="U509" t="n">
        <v>11</v>
      </c>
      <c r="V509" t="n">
        <v>0.0795</v>
      </c>
      <c r="W509" t="n">
        <v>1.68</v>
      </c>
      <c r="X509" t="n">
        <v>68.31999999999999</v>
      </c>
      <c r="Y509">
        <f>VLOOKUP(D509,$AB$2:$AC$7,2,FALSE)</f>
        <v/>
      </c>
      <c r="Z509">
        <f>IF(A509&lt;Y509,"Yes","No")</f>
        <v/>
      </c>
    </row>
    <row r="510">
      <c r="A510" t="n">
        <v>2024</v>
      </c>
      <c r="B510" t="inlineStr">
        <is>
          <t>Q4</t>
        </is>
      </c>
      <c r="C510" t="inlineStr">
        <is>
          <t>Europe</t>
        </is>
      </c>
      <c r="D510" t="inlineStr">
        <is>
          <t>Model 3</t>
        </is>
      </c>
      <c r="E510" t="n">
        <v>71</v>
      </c>
      <c r="F510" t="n">
        <v>101586.02</v>
      </c>
      <c r="G510" t="n">
        <v>13</v>
      </c>
      <c r="H510" t="inlineStr">
        <is>
          <t>Standard</t>
        </is>
      </c>
      <c r="I510" t="inlineStr">
        <is>
          <t>AWD</t>
        </is>
      </c>
      <c r="J510" t="inlineStr">
        <is>
          <t>Black</t>
        </is>
      </c>
      <c r="K510" t="n">
        <v>434</v>
      </c>
      <c r="L510" t="n">
        <v>60</v>
      </c>
      <c r="M510" t="n">
        <v>23.5</v>
      </c>
      <c r="N510" t="n">
        <v>81.41</v>
      </c>
      <c r="O510" t="n">
        <v>4.84</v>
      </c>
      <c r="P510" t="n">
        <v>4</v>
      </c>
      <c r="Q510" t="n">
        <v>1</v>
      </c>
      <c r="R510" t="n">
        <v>2024.8</v>
      </c>
      <c r="S510" t="b">
        <v>0</v>
      </c>
      <c r="T510" t="n">
        <v>4056814</v>
      </c>
      <c r="U510" t="n">
        <v>7</v>
      </c>
      <c r="V510" t="n">
        <v>0.0372</v>
      </c>
      <c r="W510" t="n">
        <v>2.02</v>
      </c>
      <c r="X510" t="n">
        <v>67.22</v>
      </c>
      <c r="Y510">
        <f>VLOOKUP(D510,$AB$2:$AC$7,2,FALSE)</f>
        <v/>
      </c>
      <c r="Z510">
        <f>IF(A510&lt;Y510,"Yes","No")</f>
        <v/>
      </c>
    </row>
    <row r="511">
      <c r="A511" t="n">
        <v>2018</v>
      </c>
      <c r="B511" t="inlineStr">
        <is>
          <t>Q4</t>
        </is>
      </c>
      <c r="C511" t="inlineStr">
        <is>
          <t>Australia</t>
        </is>
      </c>
      <c r="D511" t="inlineStr">
        <is>
          <t>Semi</t>
        </is>
      </c>
      <c r="E511" t="n">
        <v>3936</v>
      </c>
      <c r="F511" t="n">
        <v>65174.29</v>
      </c>
      <c r="G511" t="n">
        <v>53</v>
      </c>
      <c r="H511" t="inlineStr">
        <is>
          <t>Performance</t>
        </is>
      </c>
      <c r="I511" t="inlineStr">
        <is>
          <t>RWD</t>
        </is>
      </c>
      <c r="J511" t="inlineStr">
        <is>
          <t>Silver</t>
        </is>
      </c>
      <c r="K511" t="n">
        <v>390</v>
      </c>
      <c r="L511" t="n">
        <v>86</v>
      </c>
      <c r="M511" t="n">
        <v>20.26</v>
      </c>
      <c r="N511" t="n">
        <v>3651.82</v>
      </c>
      <c r="O511" t="n">
        <v>3.75</v>
      </c>
      <c r="P511" t="n">
        <v>6</v>
      </c>
      <c r="Q511" t="n">
        <v>1</v>
      </c>
      <c r="R511" t="n">
        <v>2023.9</v>
      </c>
      <c r="S511" t="b">
        <v>0</v>
      </c>
      <c r="T511" t="n">
        <v>4211202</v>
      </c>
      <c r="U511" t="n">
        <v>6</v>
      </c>
      <c r="V511" t="n">
        <v>0.0717</v>
      </c>
      <c r="W511" t="n">
        <v>1.62</v>
      </c>
      <c r="X511" t="n">
        <v>73.06</v>
      </c>
      <c r="Y511">
        <f>VLOOKUP(D511,$AB$2:$AC$7,2,FALSE)</f>
        <v/>
      </c>
      <c r="Z511">
        <f>IF(A511&lt;Y511,"Yes","No")</f>
        <v/>
      </c>
    </row>
    <row r="512">
      <c r="A512" t="n">
        <v>2017</v>
      </c>
      <c r="B512" t="inlineStr">
        <is>
          <t>Q2</t>
        </is>
      </c>
      <c r="C512" t="inlineStr">
        <is>
          <t>North America</t>
        </is>
      </c>
      <c r="D512" t="inlineStr">
        <is>
          <t>Model X</t>
        </is>
      </c>
      <c r="E512" t="n">
        <v>3868</v>
      </c>
      <c r="F512" t="n">
        <v>100513.31</v>
      </c>
      <c r="G512" t="n">
        <v>22</v>
      </c>
      <c r="H512" t="inlineStr">
        <is>
          <t>Performance</t>
        </is>
      </c>
      <c r="I512" t="inlineStr">
        <is>
          <t>RWD</t>
        </is>
      </c>
      <c r="J512" t="inlineStr">
        <is>
          <t>Black</t>
        </is>
      </c>
      <c r="K512" t="n">
        <v>665</v>
      </c>
      <c r="L512" t="n">
        <v>65</v>
      </c>
      <c r="M512" t="n">
        <v>23.52</v>
      </c>
      <c r="N512" t="n">
        <v>9055.809999999999</v>
      </c>
      <c r="O512" t="n">
        <v>3.79</v>
      </c>
      <c r="P512" t="n">
        <v>6</v>
      </c>
      <c r="Q512" t="n">
        <v>1</v>
      </c>
      <c r="R512" t="n">
        <v>2020.4</v>
      </c>
      <c r="S512" t="b">
        <v>0</v>
      </c>
      <c r="T512" t="n">
        <v>3128215</v>
      </c>
      <c r="U512" t="n">
        <v>10</v>
      </c>
      <c r="V512" t="n">
        <v>0.0275</v>
      </c>
      <c r="W512" t="n">
        <v>1.67</v>
      </c>
      <c r="X512" t="n">
        <v>69.84999999999999</v>
      </c>
      <c r="Y512">
        <f>VLOOKUP(D512,$AB$2:$AC$7,2,FALSE)</f>
        <v/>
      </c>
      <c r="Z512">
        <f>IF(A512&lt;Y512,"Yes","No")</f>
        <v/>
      </c>
    </row>
    <row r="513">
      <c r="A513" t="n">
        <v>2017</v>
      </c>
      <c r="B513" t="inlineStr">
        <is>
          <t>Q3</t>
        </is>
      </c>
      <c r="C513" t="inlineStr">
        <is>
          <t>South America</t>
        </is>
      </c>
      <c r="D513" t="inlineStr">
        <is>
          <t>Model S</t>
        </is>
      </c>
      <c r="E513" t="n">
        <v>2286</v>
      </c>
      <c r="F513" t="n">
        <v>37849.9</v>
      </c>
      <c r="G513" t="n">
        <v>17</v>
      </c>
      <c r="H513" t="inlineStr">
        <is>
          <t>Performance</t>
        </is>
      </c>
      <c r="I513" t="inlineStr">
        <is>
          <t>RWD</t>
        </is>
      </c>
      <c r="J513" t="inlineStr">
        <is>
          <t>Blue</t>
        </is>
      </c>
      <c r="K513" t="n">
        <v>372</v>
      </c>
      <c r="L513" t="n">
        <v>74</v>
      </c>
      <c r="M513" t="n">
        <v>21.45</v>
      </c>
      <c r="N513" t="n">
        <v>2396.52</v>
      </c>
      <c r="O513" t="n">
        <v>3.59</v>
      </c>
      <c r="P513" t="n">
        <v>4</v>
      </c>
      <c r="Q513" t="n">
        <v>3</v>
      </c>
      <c r="R513" t="n">
        <v>2024.11</v>
      </c>
      <c r="S513" t="b">
        <v>0</v>
      </c>
      <c r="T513" t="n">
        <v>4212938</v>
      </c>
      <c r="U513" t="n">
        <v>4</v>
      </c>
      <c r="V513" t="n">
        <v>0.0526</v>
      </c>
      <c r="W513" t="n">
        <v>2.25</v>
      </c>
      <c r="X513" t="n">
        <v>82.52</v>
      </c>
      <c r="Y513">
        <f>VLOOKUP(D513,$AB$2:$AC$7,2,FALSE)</f>
        <v/>
      </c>
      <c r="Z513">
        <f>IF(A513&lt;Y513,"Yes","No")</f>
        <v/>
      </c>
    </row>
    <row r="514">
      <c r="A514" t="n">
        <v>2024</v>
      </c>
      <c r="B514" t="inlineStr">
        <is>
          <t>Q1</t>
        </is>
      </c>
      <c r="C514" t="inlineStr">
        <is>
          <t>North America</t>
        </is>
      </c>
      <c r="D514" t="inlineStr">
        <is>
          <t>Model X</t>
        </is>
      </c>
      <c r="E514" t="n">
        <v>286</v>
      </c>
      <c r="F514" t="n">
        <v>87098.24000000001</v>
      </c>
      <c r="G514" t="n">
        <v>45</v>
      </c>
      <c r="H514" t="inlineStr">
        <is>
          <t>Standard</t>
        </is>
      </c>
      <c r="I514" t="inlineStr">
        <is>
          <t>AWD</t>
        </is>
      </c>
      <c r="J514" t="inlineStr">
        <is>
          <t>Black</t>
        </is>
      </c>
      <c r="K514" t="n">
        <v>392</v>
      </c>
      <c r="L514" t="n">
        <v>56</v>
      </c>
      <c r="M514" t="n">
        <v>23.01</v>
      </c>
      <c r="N514" t="n">
        <v>211.31</v>
      </c>
      <c r="O514" t="n">
        <v>4.17</v>
      </c>
      <c r="P514" t="n">
        <v>4</v>
      </c>
      <c r="Q514" t="n">
        <v>2</v>
      </c>
      <c r="R514" t="n">
        <v>2020.9</v>
      </c>
      <c r="S514" t="b">
        <v>0</v>
      </c>
      <c r="T514" t="n">
        <v>1728919</v>
      </c>
      <c r="U514" t="n">
        <v>12</v>
      </c>
      <c r="V514" t="n">
        <v>0.0653</v>
      </c>
      <c r="W514" t="n">
        <v>0.53</v>
      </c>
      <c r="X514" t="n">
        <v>85.12</v>
      </c>
      <c r="Y514">
        <f>VLOOKUP(D514,$AB$2:$AC$7,2,FALSE)</f>
        <v/>
      </c>
      <c r="Z514">
        <f>IF(A514&lt;Y514,"Yes","No")</f>
        <v/>
      </c>
    </row>
    <row r="515">
      <c r="A515" t="n">
        <v>2017</v>
      </c>
      <c r="B515" t="inlineStr">
        <is>
          <t>Q2</t>
        </is>
      </c>
      <c r="C515" t="inlineStr">
        <is>
          <t>South America</t>
        </is>
      </c>
      <c r="D515" t="inlineStr">
        <is>
          <t>Semi</t>
        </is>
      </c>
      <c r="E515" t="n">
        <v>3050</v>
      </c>
      <c r="F515" t="n">
        <v>78888.94</v>
      </c>
      <c r="G515" t="n">
        <v>60</v>
      </c>
      <c r="H515" t="inlineStr">
        <is>
          <t>Performance</t>
        </is>
      </c>
      <c r="I515" t="inlineStr">
        <is>
          <t>RWD</t>
        </is>
      </c>
      <c r="J515" t="inlineStr">
        <is>
          <t>Blue</t>
        </is>
      </c>
      <c r="K515" t="n">
        <v>691</v>
      </c>
      <c r="L515" t="n">
        <v>72</v>
      </c>
      <c r="M515" t="n">
        <v>13.74</v>
      </c>
      <c r="N515" t="n">
        <v>2701.93</v>
      </c>
      <c r="O515" t="n">
        <v>4.64</v>
      </c>
      <c r="P515" t="n">
        <v>5</v>
      </c>
      <c r="Q515" t="n">
        <v>2</v>
      </c>
      <c r="R515" t="n">
        <v>2020.3</v>
      </c>
      <c r="S515" t="b">
        <v>0</v>
      </c>
      <c r="T515" t="n">
        <v>473363</v>
      </c>
      <c r="U515" t="n">
        <v>6</v>
      </c>
      <c r="V515" t="n">
        <v>0.0648</v>
      </c>
      <c r="W515" t="n">
        <v>1.88</v>
      </c>
      <c r="X515" t="n">
        <v>72.28</v>
      </c>
      <c r="Y515">
        <f>VLOOKUP(D515,$AB$2:$AC$7,2,FALSE)</f>
        <v/>
      </c>
      <c r="Z515">
        <f>IF(A515&lt;Y515,"Yes","No")</f>
        <v/>
      </c>
    </row>
    <row r="516">
      <c r="A516" t="n">
        <v>2022</v>
      </c>
      <c r="B516" t="inlineStr">
        <is>
          <t>Q1</t>
        </is>
      </c>
      <c r="C516" t="inlineStr">
        <is>
          <t>Asia</t>
        </is>
      </c>
      <c r="D516" t="inlineStr">
        <is>
          <t>Model X</t>
        </is>
      </c>
      <c r="E516" t="n">
        <v>4642</v>
      </c>
      <c r="F516" t="n">
        <v>64808.21</v>
      </c>
      <c r="G516" t="n">
        <v>21</v>
      </c>
      <c r="H516" t="inlineStr">
        <is>
          <t>Long Range</t>
        </is>
      </c>
      <c r="I516" t="inlineStr">
        <is>
          <t>AWD</t>
        </is>
      </c>
      <c r="J516" t="inlineStr">
        <is>
          <t>Silver</t>
        </is>
      </c>
      <c r="K516" t="n">
        <v>587</v>
      </c>
      <c r="L516" t="n">
        <v>35</v>
      </c>
      <c r="M516" t="n">
        <v>14.4</v>
      </c>
      <c r="N516" t="n">
        <v>3161.78</v>
      </c>
      <c r="O516" t="n">
        <v>4.59</v>
      </c>
      <c r="P516" t="n">
        <v>5</v>
      </c>
      <c r="Q516" t="n">
        <v>2</v>
      </c>
      <c r="R516" t="n">
        <v>2024.11</v>
      </c>
      <c r="S516" t="b">
        <v>1</v>
      </c>
      <c r="T516" t="n">
        <v>1520491</v>
      </c>
      <c r="U516" t="n">
        <v>2</v>
      </c>
      <c r="V516" t="n">
        <v>0.0296</v>
      </c>
      <c r="W516" t="n">
        <v>1.25</v>
      </c>
      <c r="X516" t="n">
        <v>62.44</v>
      </c>
      <c r="Y516">
        <f>VLOOKUP(D516,$AB$2:$AC$7,2,FALSE)</f>
        <v/>
      </c>
      <c r="Z516">
        <f>IF(A516&lt;Y516,"Yes","No")</f>
        <v/>
      </c>
    </row>
    <row r="517">
      <c r="A517" t="n">
        <v>2023</v>
      </c>
      <c r="B517" t="inlineStr">
        <is>
          <t>Q2</t>
        </is>
      </c>
      <c r="C517" t="inlineStr">
        <is>
          <t>Asia</t>
        </is>
      </c>
      <c r="D517" t="inlineStr">
        <is>
          <t>Semi</t>
        </is>
      </c>
      <c r="E517" t="n">
        <v>1615</v>
      </c>
      <c r="F517" t="n">
        <v>98529.72</v>
      </c>
      <c r="G517" t="n">
        <v>47</v>
      </c>
      <c r="H517" t="inlineStr">
        <is>
          <t>Standard</t>
        </is>
      </c>
      <c r="I517" t="inlineStr">
        <is>
          <t>RWD</t>
        </is>
      </c>
      <c r="J517" t="inlineStr">
        <is>
          <t>Red</t>
        </is>
      </c>
      <c r="K517" t="n">
        <v>544</v>
      </c>
      <c r="L517" t="n">
        <v>75</v>
      </c>
      <c r="M517" t="n">
        <v>16.44</v>
      </c>
      <c r="N517" t="n">
        <v>1708.55</v>
      </c>
      <c r="O517" t="n">
        <v>4.35</v>
      </c>
      <c r="P517" t="n">
        <v>8</v>
      </c>
      <c r="Q517" t="n">
        <v>1</v>
      </c>
      <c r="R517" t="n">
        <v>2021.5</v>
      </c>
      <c r="S517" t="b">
        <v>1</v>
      </c>
      <c r="T517" t="n">
        <v>1585723</v>
      </c>
      <c r="U517" t="n">
        <v>6</v>
      </c>
      <c r="V517" t="n">
        <v>0.0333</v>
      </c>
      <c r="W517" t="n">
        <v>1.38</v>
      </c>
      <c r="X517" t="n">
        <v>62.77</v>
      </c>
      <c r="Y517">
        <f>VLOOKUP(D517,$AB$2:$AC$7,2,FALSE)</f>
        <v/>
      </c>
      <c r="Z517">
        <f>IF(A517&lt;Y517,"Yes","No")</f>
        <v/>
      </c>
    </row>
    <row r="518">
      <c r="A518" t="n">
        <v>2017</v>
      </c>
      <c r="B518" t="inlineStr">
        <is>
          <t>Q3</t>
        </is>
      </c>
      <c r="C518" t="inlineStr">
        <is>
          <t>Asia</t>
        </is>
      </c>
      <c r="D518" t="inlineStr">
        <is>
          <t>Semi</t>
        </is>
      </c>
      <c r="E518" t="n">
        <v>4334</v>
      </c>
      <c r="F518" t="n">
        <v>73222.22</v>
      </c>
      <c r="G518" t="n">
        <v>40</v>
      </c>
      <c r="H518" t="inlineStr">
        <is>
          <t>Performance</t>
        </is>
      </c>
      <c r="I518" t="inlineStr">
        <is>
          <t>AWD</t>
        </is>
      </c>
      <c r="J518" t="inlineStr">
        <is>
          <t>Red</t>
        </is>
      </c>
      <c r="K518" t="n">
        <v>649</v>
      </c>
      <c r="L518" t="n">
        <v>54</v>
      </c>
      <c r="M518" t="n">
        <v>14.87</v>
      </c>
      <c r="N518" t="n">
        <v>7096.59</v>
      </c>
      <c r="O518" t="n">
        <v>4.99</v>
      </c>
      <c r="P518" t="n">
        <v>8</v>
      </c>
      <c r="Q518" t="n">
        <v>2</v>
      </c>
      <c r="R518" t="n">
        <v>2022.4</v>
      </c>
      <c r="S518" t="b">
        <v>0</v>
      </c>
      <c r="T518" t="n">
        <v>4325889</v>
      </c>
      <c r="U518" t="n">
        <v>10</v>
      </c>
      <c r="V518" t="n">
        <v>0.0847</v>
      </c>
      <c r="W518" t="n">
        <v>2.09</v>
      </c>
      <c r="X518" t="n">
        <v>62.72</v>
      </c>
      <c r="Y518">
        <f>VLOOKUP(D518,$AB$2:$AC$7,2,FALSE)</f>
        <v/>
      </c>
      <c r="Z518">
        <f>IF(A518&lt;Y518,"Yes","No")</f>
        <v/>
      </c>
    </row>
    <row r="519">
      <c r="A519" t="n">
        <v>2024</v>
      </c>
      <c r="B519" t="inlineStr">
        <is>
          <t>Q2</t>
        </is>
      </c>
      <c r="C519" t="inlineStr">
        <is>
          <t>Asia</t>
        </is>
      </c>
      <c r="D519" t="inlineStr">
        <is>
          <t>Model 3</t>
        </is>
      </c>
      <c r="E519" t="n">
        <v>3881</v>
      </c>
      <c r="F519" t="n">
        <v>57171.9</v>
      </c>
      <c r="G519" t="n">
        <v>59</v>
      </c>
      <c r="H519" t="inlineStr">
        <is>
          <t>Standard</t>
        </is>
      </c>
      <c r="I519" t="inlineStr">
        <is>
          <t>AWD</t>
        </is>
      </c>
      <c r="J519" t="inlineStr">
        <is>
          <t>Blue</t>
        </is>
      </c>
      <c r="K519" t="n">
        <v>421</v>
      </c>
      <c r="L519" t="n">
        <v>59</v>
      </c>
      <c r="M519" t="n">
        <v>20.04</v>
      </c>
      <c r="N519" t="n">
        <v>4830.16</v>
      </c>
      <c r="O519" t="n">
        <v>4.07</v>
      </c>
      <c r="P519" t="n">
        <v>4</v>
      </c>
      <c r="Q519" t="n">
        <v>2</v>
      </c>
      <c r="R519" t="n">
        <v>2020.11</v>
      </c>
      <c r="S519" t="b">
        <v>0</v>
      </c>
      <c r="T519" t="n">
        <v>166255</v>
      </c>
      <c r="U519" t="n">
        <v>4</v>
      </c>
      <c r="V519" t="n">
        <v>0.0479</v>
      </c>
      <c r="W519" t="n">
        <v>1.17</v>
      </c>
      <c r="X519" t="n">
        <v>79.44</v>
      </c>
      <c r="Y519">
        <f>VLOOKUP(D519,$AB$2:$AC$7,2,FALSE)</f>
        <v/>
      </c>
      <c r="Z519">
        <f>IF(A519&lt;Y519,"Yes","No")</f>
        <v/>
      </c>
    </row>
    <row r="520">
      <c r="A520" t="n">
        <v>2013</v>
      </c>
      <c r="B520" t="inlineStr">
        <is>
          <t>Q2</t>
        </is>
      </c>
      <c r="C520" t="inlineStr">
        <is>
          <t>Asia</t>
        </is>
      </c>
      <c r="D520" t="inlineStr">
        <is>
          <t>Model X</t>
        </is>
      </c>
      <c r="E520" t="n">
        <v>1383</v>
      </c>
      <c r="F520" t="n">
        <v>74681.5</v>
      </c>
      <c r="G520" t="n">
        <v>11</v>
      </c>
      <c r="H520" t="inlineStr">
        <is>
          <t>Standard</t>
        </is>
      </c>
      <c r="I520" t="inlineStr">
        <is>
          <t>RWD</t>
        </is>
      </c>
      <c r="J520" t="inlineStr">
        <is>
          <t>Silver</t>
        </is>
      </c>
      <c r="K520" t="n">
        <v>583</v>
      </c>
      <c r="L520" t="n">
        <v>67</v>
      </c>
      <c r="M520" t="n">
        <v>19.91</v>
      </c>
      <c r="N520" t="n">
        <v>1894.62</v>
      </c>
      <c r="O520" t="n">
        <v>4.1</v>
      </c>
      <c r="P520" t="n">
        <v>5</v>
      </c>
      <c r="Q520" t="n">
        <v>2</v>
      </c>
      <c r="R520" t="n">
        <v>2022.1</v>
      </c>
      <c r="S520" t="b">
        <v>0</v>
      </c>
      <c r="T520" t="n">
        <v>4147986</v>
      </c>
      <c r="U520" t="n">
        <v>12</v>
      </c>
      <c r="V520" t="n">
        <v>0.0461</v>
      </c>
      <c r="W520" t="n">
        <v>0.58</v>
      </c>
      <c r="X520" t="n">
        <v>87.87</v>
      </c>
      <c r="Y520">
        <f>VLOOKUP(D520,$AB$2:$AC$7,2,FALSE)</f>
        <v/>
      </c>
      <c r="Z520">
        <f>IF(A520&lt;Y520,"Yes","No")</f>
        <v/>
      </c>
    </row>
    <row r="521">
      <c r="A521" t="n">
        <v>2015</v>
      </c>
      <c r="B521" t="inlineStr">
        <is>
          <t>Q1</t>
        </is>
      </c>
      <c r="C521" t="inlineStr">
        <is>
          <t>Australia</t>
        </is>
      </c>
      <c r="D521" t="inlineStr">
        <is>
          <t>Model Y</t>
        </is>
      </c>
      <c r="E521" t="n">
        <v>2256</v>
      </c>
      <c r="F521" t="n">
        <v>116088.46</v>
      </c>
      <c r="G521" t="n">
        <v>25</v>
      </c>
      <c r="H521" t="inlineStr">
        <is>
          <t>Performance</t>
        </is>
      </c>
      <c r="I521" t="inlineStr">
        <is>
          <t>AWD</t>
        </is>
      </c>
      <c r="J521" t="inlineStr">
        <is>
          <t>Black</t>
        </is>
      </c>
      <c r="K521" t="n">
        <v>612</v>
      </c>
      <c r="L521" t="n">
        <v>40</v>
      </c>
      <c r="M521" t="n">
        <v>24.07</v>
      </c>
      <c r="N521" t="n">
        <v>5128.32</v>
      </c>
      <c r="O521" t="n">
        <v>4.95</v>
      </c>
      <c r="P521" t="n">
        <v>5</v>
      </c>
      <c r="Q521" t="n">
        <v>1</v>
      </c>
      <c r="R521" t="n">
        <v>2021.11</v>
      </c>
      <c r="S521" t="b">
        <v>0</v>
      </c>
      <c r="T521" t="n">
        <v>551307</v>
      </c>
      <c r="U521" t="n">
        <v>3</v>
      </c>
      <c r="V521" t="n">
        <v>0.0378</v>
      </c>
      <c r="W521" t="n">
        <v>2.03</v>
      </c>
      <c r="X521" t="n">
        <v>84.04000000000001</v>
      </c>
      <c r="Y521">
        <f>VLOOKUP(D521,$AB$2:$AC$7,2,FALSE)</f>
        <v/>
      </c>
      <c r="Z521">
        <f>IF(A521&lt;Y521,"Yes","No")</f>
        <v/>
      </c>
    </row>
    <row r="522">
      <c r="A522" t="n">
        <v>2019</v>
      </c>
      <c r="B522" t="inlineStr">
        <is>
          <t>Q4</t>
        </is>
      </c>
      <c r="C522" t="inlineStr">
        <is>
          <t>Europe</t>
        </is>
      </c>
      <c r="D522" t="inlineStr">
        <is>
          <t>Model Y</t>
        </is>
      </c>
      <c r="E522" t="n">
        <v>56</v>
      </c>
      <c r="F522" t="n">
        <v>90981.73</v>
      </c>
      <c r="G522" t="n">
        <v>12</v>
      </c>
      <c r="H522" t="inlineStr">
        <is>
          <t>Standard</t>
        </is>
      </c>
      <c r="I522" t="inlineStr">
        <is>
          <t>RWD</t>
        </is>
      </c>
      <c r="J522" t="inlineStr">
        <is>
          <t>White</t>
        </is>
      </c>
      <c r="K522" t="n">
        <v>391</v>
      </c>
      <c r="L522" t="n">
        <v>41</v>
      </c>
      <c r="M522" t="n">
        <v>15.83</v>
      </c>
      <c r="N522" t="n">
        <v>50.77</v>
      </c>
      <c r="O522" t="n">
        <v>3.64</v>
      </c>
      <c r="P522" t="n">
        <v>5</v>
      </c>
      <c r="Q522" t="n">
        <v>1</v>
      </c>
      <c r="R522" t="n">
        <v>2024.6</v>
      </c>
      <c r="S522" t="b">
        <v>1</v>
      </c>
      <c r="T522" t="n">
        <v>4104252</v>
      </c>
      <c r="U522" t="n">
        <v>4</v>
      </c>
      <c r="V522" t="n">
        <v>0.041</v>
      </c>
      <c r="W522" t="n">
        <v>1.44</v>
      </c>
      <c r="X522" t="n">
        <v>80.59999999999999</v>
      </c>
      <c r="Y522">
        <f>VLOOKUP(D522,$AB$2:$AC$7,2,FALSE)</f>
        <v/>
      </c>
      <c r="Z522">
        <f>IF(A522&lt;Y522,"Yes","No")</f>
        <v/>
      </c>
    </row>
    <row r="523">
      <c r="A523" t="n">
        <v>2023</v>
      </c>
      <c r="B523" t="inlineStr">
        <is>
          <t>Q2</t>
        </is>
      </c>
      <c r="C523" t="inlineStr">
        <is>
          <t>Australia</t>
        </is>
      </c>
      <c r="D523" t="inlineStr">
        <is>
          <t>Semi</t>
        </is>
      </c>
      <c r="E523" t="n">
        <v>3132</v>
      </c>
      <c r="F523" t="n">
        <v>105664.49</v>
      </c>
      <c r="G523" t="n">
        <v>45</v>
      </c>
      <c r="H523" t="inlineStr">
        <is>
          <t>Standard</t>
        </is>
      </c>
      <c r="I523" t="inlineStr">
        <is>
          <t>AWD</t>
        </is>
      </c>
      <c r="J523" t="inlineStr">
        <is>
          <t>Blue</t>
        </is>
      </c>
      <c r="K523" t="n">
        <v>415</v>
      </c>
      <c r="L523" t="n">
        <v>50</v>
      </c>
      <c r="M523" t="n">
        <v>22.16</v>
      </c>
      <c r="N523" t="n">
        <v>2402.41</v>
      </c>
      <c r="O523" t="n">
        <v>4.66</v>
      </c>
      <c r="P523" t="n">
        <v>6</v>
      </c>
      <c r="Q523" t="n">
        <v>3</v>
      </c>
      <c r="R523" t="n">
        <v>2024.7</v>
      </c>
      <c r="S523" t="b">
        <v>1</v>
      </c>
      <c r="T523" t="n">
        <v>3009732</v>
      </c>
      <c r="U523" t="n">
        <v>9</v>
      </c>
      <c r="V523" t="n">
        <v>0.0703</v>
      </c>
      <c r="W523" t="n">
        <v>2.44</v>
      </c>
      <c r="X523" t="n">
        <v>60.81</v>
      </c>
      <c r="Y523">
        <f>VLOOKUP(D523,$AB$2:$AC$7,2,FALSE)</f>
        <v/>
      </c>
      <c r="Z523">
        <f>IF(A523&lt;Y523,"Yes","No")</f>
        <v/>
      </c>
    </row>
    <row r="524">
      <c r="A524" t="n">
        <v>2021</v>
      </c>
      <c r="B524" t="inlineStr">
        <is>
          <t>Q2</t>
        </is>
      </c>
      <c r="C524" t="inlineStr">
        <is>
          <t>Europe</t>
        </is>
      </c>
      <c r="D524" t="inlineStr">
        <is>
          <t>Model X</t>
        </is>
      </c>
      <c r="E524" t="n">
        <v>3017</v>
      </c>
      <c r="F524" t="n">
        <v>63887.33</v>
      </c>
      <c r="G524" t="n">
        <v>52</v>
      </c>
      <c r="H524" t="inlineStr">
        <is>
          <t>Standard</t>
        </is>
      </c>
      <c r="I524" t="inlineStr">
        <is>
          <t>RWD</t>
        </is>
      </c>
      <c r="J524" t="inlineStr">
        <is>
          <t>Red</t>
        </is>
      </c>
      <c r="K524" t="n">
        <v>680</v>
      </c>
      <c r="L524" t="n">
        <v>44</v>
      </c>
      <c r="M524" t="n">
        <v>14.66</v>
      </c>
      <c r="N524" t="n">
        <v>2642.71</v>
      </c>
      <c r="O524" t="n">
        <v>3.82</v>
      </c>
      <c r="P524" t="n">
        <v>8</v>
      </c>
      <c r="Q524" t="n">
        <v>0</v>
      </c>
      <c r="R524" t="n">
        <v>2022.7</v>
      </c>
      <c r="S524" t="b">
        <v>1</v>
      </c>
      <c r="T524" t="n">
        <v>3671125</v>
      </c>
      <c r="U524" t="n">
        <v>4</v>
      </c>
      <c r="V524" t="n">
        <v>0.0356</v>
      </c>
      <c r="W524" t="n">
        <v>1.27</v>
      </c>
      <c r="X524" t="n">
        <v>84.64</v>
      </c>
      <c r="Y524">
        <f>VLOOKUP(D524,$AB$2:$AC$7,2,FALSE)</f>
        <v/>
      </c>
      <c r="Z524">
        <f>IF(A524&lt;Y524,"Yes","No")</f>
        <v/>
      </c>
    </row>
    <row r="525">
      <c r="A525" t="n">
        <v>2012</v>
      </c>
      <c r="B525" t="inlineStr">
        <is>
          <t>Q3</t>
        </is>
      </c>
      <c r="C525" t="inlineStr">
        <is>
          <t>Australia</t>
        </is>
      </c>
      <c r="D525" t="inlineStr">
        <is>
          <t>Model 3</t>
        </is>
      </c>
      <c r="E525" t="n">
        <v>1389</v>
      </c>
      <c r="F525" t="n">
        <v>68848.37</v>
      </c>
      <c r="G525" t="n">
        <v>33</v>
      </c>
      <c r="H525" t="inlineStr">
        <is>
          <t>Standard</t>
        </is>
      </c>
      <c r="I525" t="inlineStr">
        <is>
          <t>RWD</t>
        </is>
      </c>
      <c r="J525" t="inlineStr">
        <is>
          <t>Red</t>
        </is>
      </c>
      <c r="K525" t="n">
        <v>527</v>
      </c>
      <c r="L525" t="n">
        <v>73</v>
      </c>
      <c r="M525" t="n">
        <v>21.79</v>
      </c>
      <c r="N525" t="n">
        <v>2516.5</v>
      </c>
      <c r="O525" t="n">
        <v>4.11</v>
      </c>
      <c r="P525" t="n">
        <v>4</v>
      </c>
      <c r="Q525" t="n">
        <v>1</v>
      </c>
      <c r="R525" t="n">
        <v>2022.3</v>
      </c>
      <c r="S525" t="b">
        <v>0</v>
      </c>
      <c r="T525" t="n">
        <v>3914233</v>
      </c>
      <c r="U525" t="n">
        <v>2</v>
      </c>
      <c r="V525" t="n">
        <v>0.0538</v>
      </c>
      <c r="W525" t="n">
        <v>2.42</v>
      </c>
      <c r="X525" t="n">
        <v>72.05</v>
      </c>
      <c r="Y525">
        <f>VLOOKUP(D525,$AB$2:$AC$7,2,FALSE)</f>
        <v/>
      </c>
      <c r="Z525">
        <f>IF(A525&lt;Y525,"Yes","No")</f>
        <v/>
      </c>
    </row>
    <row r="526">
      <c r="A526" t="n">
        <v>2024</v>
      </c>
      <c r="B526" t="inlineStr">
        <is>
          <t>Q1</t>
        </is>
      </c>
      <c r="C526" t="inlineStr">
        <is>
          <t>Asia</t>
        </is>
      </c>
      <c r="D526" t="inlineStr">
        <is>
          <t>Model Y</t>
        </is>
      </c>
      <c r="E526" t="n">
        <v>2168</v>
      </c>
      <c r="F526" t="n">
        <v>98075.53</v>
      </c>
      <c r="G526" t="n">
        <v>7</v>
      </c>
      <c r="H526" t="inlineStr">
        <is>
          <t>Performance</t>
        </is>
      </c>
      <c r="I526" t="inlineStr">
        <is>
          <t>RWD</t>
        </is>
      </c>
      <c r="J526" t="inlineStr">
        <is>
          <t>Silver</t>
        </is>
      </c>
      <c r="K526" t="n">
        <v>540</v>
      </c>
      <c r="L526" t="n">
        <v>79</v>
      </c>
      <c r="M526" t="n">
        <v>18.68</v>
      </c>
      <c r="N526" t="n">
        <v>2536.84</v>
      </c>
      <c r="O526" t="n">
        <v>4.3</v>
      </c>
      <c r="P526" t="n">
        <v>6</v>
      </c>
      <c r="Q526" t="n">
        <v>0</v>
      </c>
      <c r="R526" t="n">
        <v>2021.7</v>
      </c>
      <c r="S526" t="b">
        <v>0</v>
      </c>
      <c r="T526" t="n">
        <v>771165</v>
      </c>
      <c r="U526" t="n">
        <v>4</v>
      </c>
      <c r="V526" t="n">
        <v>0.0106</v>
      </c>
      <c r="W526" t="n">
        <v>2.4</v>
      </c>
      <c r="X526" t="n">
        <v>81.23</v>
      </c>
      <c r="Y526">
        <f>VLOOKUP(D526,$AB$2:$AC$7,2,FALSE)</f>
        <v/>
      </c>
      <c r="Z526">
        <f>IF(A526&lt;Y526,"Yes","No")</f>
        <v/>
      </c>
    </row>
    <row r="527">
      <c r="A527" t="n">
        <v>2016</v>
      </c>
      <c r="B527" t="inlineStr">
        <is>
          <t>Q2</t>
        </is>
      </c>
      <c r="C527" t="inlineStr">
        <is>
          <t>South America</t>
        </is>
      </c>
      <c r="D527" t="inlineStr">
        <is>
          <t>Cybertruck</t>
        </is>
      </c>
      <c r="E527" t="n">
        <v>3777</v>
      </c>
      <c r="F527" t="n">
        <v>71965.48</v>
      </c>
      <c r="G527" t="n">
        <v>29</v>
      </c>
      <c r="H527" t="inlineStr">
        <is>
          <t>Long Range</t>
        </is>
      </c>
      <c r="I527" t="inlineStr">
        <is>
          <t>AWD</t>
        </is>
      </c>
      <c r="J527" t="inlineStr">
        <is>
          <t>Red</t>
        </is>
      </c>
      <c r="K527" t="n">
        <v>600</v>
      </c>
      <c r="L527" t="n">
        <v>59</v>
      </c>
      <c r="M527" t="n">
        <v>17.41</v>
      </c>
      <c r="N527" t="n">
        <v>8605.26</v>
      </c>
      <c r="O527" t="n">
        <v>4.53</v>
      </c>
      <c r="P527" t="n">
        <v>6</v>
      </c>
      <c r="Q527" t="n">
        <v>3</v>
      </c>
      <c r="R527" t="n">
        <v>2022.11</v>
      </c>
      <c r="S527" t="b">
        <v>0</v>
      </c>
      <c r="T527" t="n">
        <v>297386</v>
      </c>
      <c r="U527" t="n">
        <v>10</v>
      </c>
      <c r="V527" t="n">
        <v>0.0341</v>
      </c>
      <c r="W527" t="n">
        <v>1.09</v>
      </c>
      <c r="X527" t="n">
        <v>72.51000000000001</v>
      </c>
      <c r="Y527">
        <f>VLOOKUP(D527,$AB$2:$AC$7,2,FALSE)</f>
        <v/>
      </c>
      <c r="Z527">
        <f>IF(A527&lt;Y527,"Yes","No")</f>
        <v/>
      </c>
    </row>
    <row r="528">
      <c r="A528" t="n">
        <v>2019</v>
      </c>
      <c r="B528" t="inlineStr">
        <is>
          <t>Q3</t>
        </is>
      </c>
      <c r="C528" t="inlineStr">
        <is>
          <t>Asia</t>
        </is>
      </c>
      <c r="D528" t="inlineStr">
        <is>
          <t>Semi</t>
        </is>
      </c>
      <c r="E528" t="n">
        <v>341</v>
      </c>
      <c r="F528" t="n">
        <v>85641.21000000001</v>
      </c>
      <c r="G528" t="n">
        <v>22</v>
      </c>
      <c r="H528" t="inlineStr">
        <is>
          <t>Performance</t>
        </is>
      </c>
      <c r="I528" t="inlineStr">
        <is>
          <t>AWD</t>
        </is>
      </c>
      <c r="J528" t="inlineStr">
        <is>
          <t>Silver</t>
        </is>
      </c>
      <c r="K528" t="n">
        <v>552</v>
      </c>
      <c r="L528" t="n">
        <v>45</v>
      </c>
      <c r="M528" t="n">
        <v>15.1</v>
      </c>
      <c r="N528" t="n">
        <v>535.36</v>
      </c>
      <c r="O528" t="n">
        <v>3.69</v>
      </c>
      <c r="P528" t="n">
        <v>5</v>
      </c>
      <c r="Q528" t="n">
        <v>3</v>
      </c>
      <c r="R528" t="n">
        <v>2023.5</v>
      </c>
      <c r="S528" t="b">
        <v>0</v>
      </c>
      <c r="T528" t="n">
        <v>3942241</v>
      </c>
      <c r="U528" t="n">
        <v>11</v>
      </c>
      <c r="V528" t="n">
        <v>0.032</v>
      </c>
      <c r="W528" t="n">
        <v>2.15</v>
      </c>
      <c r="X528" t="n">
        <v>85.05</v>
      </c>
      <c r="Y528">
        <f>VLOOKUP(D528,$AB$2:$AC$7,2,FALSE)</f>
        <v/>
      </c>
      <c r="Z528">
        <f>IF(A528&lt;Y528,"Yes","No")</f>
        <v/>
      </c>
    </row>
    <row r="529">
      <c r="A529" t="n">
        <v>2023</v>
      </c>
      <c r="B529" t="inlineStr">
        <is>
          <t>Q4</t>
        </is>
      </c>
      <c r="C529" t="inlineStr">
        <is>
          <t>North America</t>
        </is>
      </c>
      <c r="D529" t="inlineStr">
        <is>
          <t>Model S</t>
        </is>
      </c>
      <c r="E529" t="n">
        <v>2725</v>
      </c>
      <c r="F529" t="n">
        <v>66687.60000000001</v>
      </c>
      <c r="G529" t="n">
        <v>9</v>
      </c>
      <c r="H529" t="inlineStr">
        <is>
          <t>Performance</t>
        </is>
      </c>
      <c r="I529" t="inlineStr">
        <is>
          <t>AWD</t>
        </is>
      </c>
      <c r="J529" t="inlineStr">
        <is>
          <t>Blue</t>
        </is>
      </c>
      <c r="K529" t="n">
        <v>612</v>
      </c>
      <c r="L529" t="n">
        <v>76</v>
      </c>
      <c r="M529" t="n">
        <v>13.95</v>
      </c>
      <c r="N529" t="n">
        <v>6417.05</v>
      </c>
      <c r="O529" t="n">
        <v>4.62</v>
      </c>
      <c r="P529" t="n">
        <v>8</v>
      </c>
      <c r="Q529" t="n">
        <v>3</v>
      </c>
      <c r="R529" t="n">
        <v>2020.3</v>
      </c>
      <c r="S529" t="b">
        <v>0</v>
      </c>
      <c r="T529" t="n">
        <v>765076</v>
      </c>
      <c r="U529" t="n">
        <v>8</v>
      </c>
      <c r="V529" t="n">
        <v>0.0969</v>
      </c>
      <c r="W529" t="n">
        <v>2.09</v>
      </c>
      <c r="X529" t="n">
        <v>77.13</v>
      </c>
      <c r="Y529">
        <f>VLOOKUP(D529,$AB$2:$AC$7,2,FALSE)</f>
        <v/>
      </c>
      <c r="Z529">
        <f>IF(A529&lt;Y529,"Yes","No")</f>
        <v/>
      </c>
    </row>
    <row r="530">
      <c r="A530" t="n">
        <v>2016</v>
      </c>
      <c r="B530" t="inlineStr">
        <is>
          <t>Q2</t>
        </is>
      </c>
      <c r="C530" t="inlineStr">
        <is>
          <t>North America</t>
        </is>
      </c>
      <c r="D530" t="inlineStr">
        <is>
          <t>Model X</t>
        </is>
      </c>
      <c r="E530" t="n">
        <v>4746</v>
      </c>
      <c r="F530" t="n">
        <v>75198.06</v>
      </c>
      <c r="G530" t="n">
        <v>48</v>
      </c>
      <c r="H530" t="inlineStr">
        <is>
          <t>Long Range</t>
        </is>
      </c>
      <c r="I530" t="inlineStr">
        <is>
          <t>RWD</t>
        </is>
      </c>
      <c r="J530" t="inlineStr">
        <is>
          <t>Green</t>
        </is>
      </c>
      <c r="K530" t="n">
        <v>445</v>
      </c>
      <c r="L530" t="n">
        <v>47</v>
      </c>
      <c r="M530" t="n">
        <v>19.02</v>
      </c>
      <c r="N530" t="n">
        <v>2807.18</v>
      </c>
      <c r="O530" t="n">
        <v>4.1</v>
      </c>
      <c r="P530" t="n">
        <v>5</v>
      </c>
      <c r="Q530" t="n">
        <v>2</v>
      </c>
      <c r="R530" t="n">
        <v>2022.1</v>
      </c>
      <c r="S530" t="b">
        <v>0</v>
      </c>
      <c r="T530" t="n">
        <v>1837585</v>
      </c>
      <c r="U530" t="n">
        <v>2</v>
      </c>
      <c r="V530" t="n">
        <v>0.0804</v>
      </c>
      <c r="W530" t="n">
        <v>1.81</v>
      </c>
      <c r="X530" t="n">
        <v>68.23999999999999</v>
      </c>
      <c r="Y530">
        <f>VLOOKUP(D530,$AB$2:$AC$7,2,FALSE)</f>
        <v/>
      </c>
      <c r="Z530">
        <f>IF(A530&lt;Y530,"Yes","No")</f>
        <v/>
      </c>
    </row>
    <row r="531">
      <c r="A531" t="n">
        <v>2019</v>
      </c>
      <c r="B531" t="inlineStr">
        <is>
          <t>Q3</t>
        </is>
      </c>
      <c r="C531" t="inlineStr">
        <is>
          <t>North America</t>
        </is>
      </c>
      <c r="D531" t="inlineStr">
        <is>
          <t>Model 3</t>
        </is>
      </c>
      <c r="E531" t="n">
        <v>1891</v>
      </c>
      <c r="F531" t="n">
        <v>36536.2</v>
      </c>
      <c r="G531" t="n">
        <v>20</v>
      </c>
      <c r="H531" t="inlineStr">
        <is>
          <t>Standard</t>
        </is>
      </c>
      <c r="I531" t="inlineStr">
        <is>
          <t>AWD</t>
        </is>
      </c>
      <c r="J531" t="inlineStr">
        <is>
          <t>Silver</t>
        </is>
      </c>
      <c r="K531" t="n">
        <v>497</v>
      </c>
      <c r="L531" t="n">
        <v>76</v>
      </c>
      <c r="M531" t="n">
        <v>21.54</v>
      </c>
      <c r="N531" t="n">
        <v>4073.12</v>
      </c>
      <c r="O531" t="n">
        <v>4.38</v>
      </c>
      <c r="P531" t="n">
        <v>6</v>
      </c>
      <c r="Q531" t="n">
        <v>3</v>
      </c>
      <c r="R531" t="n">
        <v>2023.9</v>
      </c>
      <c r="S531" t="b">
        <v>1</v>
      </c>
      <c r="T531" t="n">
        <v>2976879</v>
      </c>
      <c r="U531" t="n">
        <v>7</v>
      </c>
      <c r="V531" t="n">
        <v>0.0388</v>
      </c>
      <c r="W531" t="n">
        <v>2.15</v>
      </c>
      <c r="X531" t="n">
        <v>64.55</v>
      </c>
      <c r="Y531">
        <f>VLOOKUP(D531,$AB$2:$AC$7,2,FALSE)</f>
        <v/>
      </c>
      <c r="Z531">
        <f>IF(A531&lt;Y531,"Yes","No")</f>
        <v/>
      </c>
    </row>
    <row r="532">
      <c r="A532" t="n">
        <v>2023</v>
      </c>
      <c r="B532" t="inlineStr">
        <is>
          <t>Q4</t>
        </is>
      </c>
      <c r="C532" t="inlineStr">
        <is>
          <t>Europe</t>
        </is>
      </c>
      <c r="D532" t="inlineStr">
        <is>
          <t>Cybertruck</t>
        </is>
      </c>
      <c r="E532" t="n">
        <v>1442</v>
      </c>
      <c r="F532" t="n">
        <v>92203.81</v>
      </c>
      <c r="G532" t="n">
        <v>16</v>
      </c>
      <c r="H532" t="inlineStr">
        <is>
          <t>Long Range</t>
        </is>
      </c>
      <c r="I532" t="inlineStr">
        <is>
          <t>AWD</t>
        </is>
      </c>
      <c r="J532" t="inlineStr">
        <is>
          <t>Green</t>
        </is>
      </c>
      <c r="K532" t="n">
        <v>642</v>
      </c>
      <c r="L532" t="n">
        <v>35</v>
      </c>
      <c r="M532" t="n">
        <v>20.58</v>
      </c>
      <c r="N532" t="n">
        <v>2339.86</v>
      </c>
      <c r="O532" t="n">
        <v>4.02</v>
      </c>
      <c r="P532" t="n">
        <v>5</v>
      </c>
      <c r="Q532" t="n">
        <v>2</v>
      </c>
      <c r="R532" t="n">
        <v>2022.5</v>
      </c>
      <c r="S532" t="b">
        <v>0</v>
      </c>
      <c r="T532" t="n">
        <v>3887449</v>
      </c>
      <c r="U532" t="n">
        <v>12</v>
      </c>
      <c r="V532" t="n">
        <v>0.0521</v>
      </c>
      <c r="W532" t="n">
        <v>0.8100000000000001</v>
      </c>
      <c r="X532" t="n">
        <v>77.55</v>
      </c>
      <c r="Y532">
        <f>VLOOKUP(D532,$AB$2:$AC$7,2,FALSE)</f>
        <v/>
      </c>
      <c r="Z532">
        <f>IF(A532&lt;Y532,"Yes","No")</f>
        <v/>
      </c>
    </row>
    <row r="533">
      <c r="A533" t="n">
        <v>2021</v>
      </c>
      <c r="B533" t="inlineStr">
        <is>
          <t>Q3</t>
        </is>
      </c>
      <c r="C533" t="inlineStr">
        <is>
          <t>South America</t>
        </is>
      </c>
      <c r="D533" t="inlineStr">
        <is>
          <t>Model Y</t>
        </is>
      </c>
      <c r="E533" t="n">
        <v>3452</v>
      </c>
      <c r="F533" t="n">
        <v>119645.2</v>
      </c>
      <c r="G533" t="n">
        <v>1</v>
      </c>
      <c r="H533" t="inlineStr">
        <is>
          <t>Long Range</t>
        </is>
      </c>
      <c r="I533" t="inlineStr">
        <is>
          <t>RWD</t>
        </is>
      </c>
      <c r="J533" t="inlineStr">
        <is>
          <t>Black</t>
        </is>
      </c>
      <c r="K533" t="n">
        <v>542</v>
      </c>
      <c r="L533" t="n">
        <v>88</v>
      </c>
      <c r="M533" t="n">
        <v>19.45</v>
      </c>
      <c r="N533" t="n">
        <v>4338.67</v>
      </c>
      <c r="O533" t="n">
        <v>4.92</v>
      </c>
      <c r="P533" t="n">
        <v>4</v>
      </c>
      <c r="Q533" t="n">
        <v>0</v>
      </c>
      <c r="R533" t="n">
        <v>2023.4</v>
      </c>
      <c r="S533" t="b">
        <v>1</v>
      </c>
      <c r="T533" t="n">
        <v>1028054</v>
      </c>
      <c r="U533" t="n">
        <v>11</v>
      </c>
      <c r="V533" t="n">
        <v>0.036</v>
      </c>
      <c r="W533" t="n">
        <v>2.23</v>
      </c>
      <c r="X533" t="n">
        <v>83.01000000000001</v>
      </c>
      <c r="Y533">
        <f>VLOOKUP(D533,$AB$2:$AC$7,2,FALSE)</f>
        <v/>
      </c>
      <c r="Z533">
        <f>IF(A533&lt;Y533,"Yes","No")</f>
        <v/>
      </c>
    </row>
    <row r="534">
      <c r="A534" t="n">
        <v>2023</v>
      </c>
      <c r="B534" t="inlineStr">
        <is>
          <t>Q4</t>
        </is>
      </c>
      <c r="C534" t="inlineStr">
        <is>
          <t>South America</t>
        </is>
      </c>
      <c r="D534" t="inlineStr">
        <is>
          <t>Model Y</t>
        </is>
      </c>
      <c r="E534" t="n">
        <v>2933</v>
      </c>
      <c r="F534" t="n">
        <v>98858.88</v>
      </c>
      <c r="G534" t="n">
        <v>26</v>
      </c>
      <c r="H534" t="inlineStr">
        <is>
          <t>Performance</t>
        </is>
      </c>
      <c r="I534" t="inlineStr">
        <is>
          <t>RWD</t>
        </is>
      </c>
      <c r="J534" t="inlineStr">
        <is>
          <t>White</t>
        </is>
      </c>
      <c r="K534" t="n">
        <v>535</v>
      </c>
      <c r="L534" t="n">
        <v>70</v>
      </c>
      <c r="M534" t="n">
        <v>14.27</v>
      </c>
      <c r="N534" t="n">
        <v>6656.49</v>
      </c>
      <c r="O534" t="n">
        <v>4.94</v>
      </c>
      <c r="P534" t="n">
        <v>6</v>
      </c>
      <c r="Q534" t="n">
        <v>3</v>
      </c>
      <c r="R534" t="n">
        <v>2021.7</v>
      </c>
      <c r="S534" t="b">
        <v>0</v>
      </c>
      <c r="T534" t="n">
        <v>3991592</v>
      </c>
      <c r="U534" t="n">
        <v>6</v>
      </c>
      <c r="V534" t="n">
        <v>0.0844</v>
      </c>
      <c r="W534" t="n">
        <v>1.4</v>
      </c>
      <c r="X534" t="n">
        <v>87.72</v>
      </c>
      <c r="Y534">
        <f>VLOOKUP(D534,$AB$2:$AC$7,2,FALSE)</f>
        <v/>
      </c>
      <c r="Z534">
        <f>IF(A534&lt;Y534,"Yes","No")</f>
        <v/>
      </c>
    </row>
    <row r="535">
      <c r="A535" t="n">
        <v>2014</v>
      </c>
      <c r="B535" t="inlineStr">
        <is>
          <t>Q4</t>
        </is>
      </c>
      <c r="C535" t="inlineStr">
        <is>
          <t>Asia</t>
        </is>
      </c>
      <c r="D535" t="inlineStr">
        <is>
          <t>Model S</t>
        </is>
      </c>
      <c r="E535" t="n">
        <v>4413</v>
      </c>
      <c r="F535" t="n">
        <v>105538.64</v>
      </c>
      <c r="G535" t="n">
        <v>48</v>
      </c>
      <c r="H535" t="inlineStr">
        <is>
          <t>Long Range</t>
        </is>
      </c>
      <c r="I535" t="inlineStr">
        <is>
          <t>AWD</t>
        </is>
      </c>
      <c r="J535" t="inlineStr">
        <is>
          <t>Green</t>
        </is>
      </c>
      <c r="K535" t="n">
        <v>400</v>
      </c>
      <c r="L535" t="n">
        <v>54</v>
      </c>
      <c r="M535" t="n">
        <v>19.96</v>
      </c>
      <c r="N535" t="n">
        <v>5896.65</v>
      </c>
      <c r="O535" t="n">
        <v>4.13</v>
      </c>
      <c r="P535" t="n">
        <v>5</v>
      </c>
      <c r="Q535" t="n">
        <v>0</v>
      </c>
      <c r="R535" t="n">
        <v>2024.4</v>
      </c>
      <c r="S535" t="b">
        <v>1</v>
      </c>
      <c r="T535" t="n">
        <v>4322500</v>
      </c>
      <c r="U535" t="n">
        <v>3</v>
      </c>
      <c r="V535" t="n">
        <v>0.064</v>
      </c>
      <c r="W535" t="n">
        <v>1.96</v>
      </c>
      <c r="X535" t="n">
        <v>88.36</v>
      </c>
      <c r="Y535">
        <f>VLOOKUP(D535,$AB$2:$AC$7,2,FALSE)</f>
        <v/>
      </c>
      <c r="Z535">
        <f>IF(A535&lt;Y535,"Yes","No")</f>
        <v/>
      </c>
    </row>
    <row r="536">
      <c r="A536" t="n">
        <v>2017</v>
      </c>
      <c r="B536" t="inlineStr">
        <is>
          <t>Q2</t>
        </is>
      </c>
      <c r="C536" t="inlineStr">
        <is>
          <t>Europe</t>
        </is>
      </c>
      <c r="D536" t="inlineStr">
        <is>
          <t>Cybertruck</t>
        </is>
      </c>
      <c r="E536" t="n">
        <v>3915</v>
      </c>
      <c r="F536" t="n">
        <v>93170.86</v>
      </c>
      <c r="G536" t="n">
        <v>60</v>
      </c>
      <c r="H536" t="inlineStr">
        <is>
          <t>Long Range</t>
        </is>
      </c>
      <c r="I536" t="inlineStr">
        <is>
          <t>AWD</t>
        </is>
      </c>
      <c r="J536" t="inlineStr">
        <is>
          <t>Green</t>
        </is>
      </c>
      <c r="K536" t="n">
        <v>657</v>
      </c>
      <c r="L536" t="n">
        <v>86</v>
      </c>
      <c r="M536" t="n">
        <v>22.48</v>
      </c>
      <c r="N536" t="n">
        <v>5006.03</v>
      </c>
      <c r="O536" t="n">
        <v>4.27</v>
      </c>
      <c r="P536" t="n">
        <v>5</v>
      </c>
      <c r="Q536" t="n">
        <v>1</v>
      </c>
      <c r="R536" t="n">
        <v>2023.6</v>
      </c>
      <c r="S536" t="b">
        <v>1</v>
      </c>
      <c r="T536" t="n">
        <v>1569776</v>
      </c>
      <c r="U536" t="n">
        <v>9</v>
      </c>
      <c r="V536" t="n">
        <v>0.09429999999999999</v>
      </c>
      <c r="W536" t="n">
        <v>2.34</v>
      </c>
      <c r="X536" t="n">
        <v>69.68000000000001</v>
      </c>
      <c r="Y536">
        <f>VLOOKUP(D536,$AB$2:$AC$7,2,FALSE)</f>
        <v/>
      </c>
      <c r="Z536">
        <f>IF(A536&lt;Y536,"Yes","No")</f>
        <v/>
      </c>
    </row>
    <row r="537">
      <c r="A537" t="n">
        <v>2016</v>
      </c>
      <c r="B537" t="inlineStr">
        <is>
          <t>Q1</t>
        </is>
      </c>
      <c r="C537" t="inlineStr">
        <is>
          <t>North America</t>
        </is>
      </c>
      <c r="D537" t="inlineStr">
        <is>
          <t>Model 3</t>
        </is>
      </c>
      <c r="E537" t="n">
        <v>4781</v>
      </c>
      <c r="F537" t="n">
        <v>74200.25999999999</v>
      </c>
      <c r="G537" t="n">
        <v>15</v>
      </c>
      <c r="H537" t="inlineStr">
        <is>
          <t>Performance</t>
        </is>
      </c>
      <c r="I537" t="inlineStr">
        <is>
          <t>RWD</t>
        </is>
      </c>
      <c r="J537" t="inlineStr">
        <is>
          <t>Black</t>
        </is>
      </c>
      <c r="K537" t="n">
        <v>440</v>
      </c>
      <c r="L537" t="n">
        <v>59</v>
      </c>
      <c r="M537" t="n">
        <v>19</v>
      </c>
      <c r="N537" t="n">
        <v>3453.39</v>
      </c>
      <c r="O537" t="n">
        <v>4.41</v>
      </c>
      <c r="P537" t="n">
        <v>6</v>
      </c>
      <c r="Q537" t="n">
        <v>1</v>
      </c>
      <c r="R537" t="n">
        <v>2021.8</v>
      </c>
      <c r="S537" t="b">
        <v>1</v>
      </c>
      <c r="T537" t="n">
        <v>157741</v>
      </c>
      <c r="U537" t="n">
        <v>2</v>
      </c>
      <c r="V537" t="n">
        <v>0.07140000000000001</v>
      </c>
      <c r="W537" t="n">
        <v>1.31</v>
      </c>
      <c r="X537" t="n">
        <v>75.59</v>
      </c>
      <c r="Y537">
        <f>VLOOKUP(D537,$AB$2:$AC$7,2,FALSE)</f>
        <v/>
      </c>
      <c r="Z537">
        <f>IF(A537&lt;Y537,"Yes","No")</f>
        <v/>
      </c>
    </row>
    <row r="538">
      <c r="A538" t="n">
        <v>2019</v>
      </c>
      <c r="B538" t="inlineStr">
        <is>
          <t>Q4</t>
        </is>
      </c>
      <c r="C538" t="inlineStr">
        <is>
          <t>North America</t>
        </is>
      </c>
      <c r="D538" t="inlineStr">
        <is>
          <t>Model Y</t>
        </is>
      </c>
      <c r="E538" t="n">
        <v>2180</v>
      </c>
      <c r="F538" t="n">
        <v>110085.35</v>
      </c>
      <c r="G538" t="n">
        <v>34</v>
      </c>
      <c r="H538" t="inlineStr">
        <is>
          <t>Standard</t>
        </is>
      </c>
      <c r="I538" t="inlineStr">
        <is>
          <t>AWD</t>
        </is>
      </c>
      <c r="J538" t="inlineStr">
        <is>
          <t>Blue</t>
        </is>
      </c>
      <c r="K538" t="n">
        <v>596</v>
      </c>
      <c r="L538" t="n">
        <v>82</v>
      </c>
      <c r="M538" t="n">
        <v>21.71</v>
      </c>
      <c r="N538" t="n">
        <v>2367.32</v>
      </c>
      <c r="O538" t="n">
        <v>4.1</v>
      </c>
      <c r="P538" t="n">
        <v>4</v>
      </c>
      <c r="Q538" t="n">
        <v>2</v>
      </c>
      <c r="R538" t="n">
        <v>2023.12</v>
      </c>
      <c r="S538" t="b">
        <v>0</v>
      </c>
      <c r="T538" t="n">
        <v>3695261</v>
      </c>
      <c r="U538" t="n">
        <v>3</v>
      </c>
      <c r="V538" t="n">
        <v>0.0193</v>
      </c>
      <c r="W538" t="n">
        <v>2.19</v>
      </c>
      <c r="X538" t="n">
        <v>82.73999999999999</v>
      </c>
      <c r="Y538">
        <f>VLOOKUP(D538,$AB$2:$AC$7,2,FALSE)</f>
        <v/>
      </c>
      <c r="Z538">
        <f>IF(A538&lt;Y538,"Yes","No")</f>
        <v/>
      </c>
    </row>
    <row r="539">
      <c r="A539" t="n">
        <v>2021</v>
      </c>
      <c r="B539" t="inlineStr">
        <is>
          <t>Q1</t>
        </is>
      </c>
      <c r="C539" t="inlineStr">
        <is>
          <t>Europe</t>
        </is>
      </c>
      <c r="D539" t="inlineStr">
        <is>
          <t>Model X</t>
        </is>
      </c>
      <c r="E539" t="n">
        <v>3432</v>
      </c>
      <c r="F539" t="n">
        <v>90805.64</v>
      </c>
      <c r="G539" t="n">
        <v>9</v>
      </c>
      <c r="H539" t="inlineStr">
        <is>
          <t>Standard</t>
        </is>
      </c>
      <c r="I539" t="inlineStr">
        <is>
          <t>RWD</t>
        </is>
      </c>
      <c r="J539" t="inlineStr">
        <is>
          <t>Black</t>
        </is>
      </c>
      <c r="K539" t="n">
        <v>485</v>
      </c>
      <c r="L539" t="n">
        <v>36</v>
      </c>
      <c r="M539" t="n">
        <v>16.96</v>
      </c>
      <c r="N539" t="n">
        <v>6477.67</v>
      </c>
      <c r="O539" t="n">
        <v>4.19</v>
      </c>
      <c r="P539" t="n">
        <v>8</v>
      </c>
      <c r="Q539" t="n">
        <v>1</v>
      </c>
      <c r="R539" t="n">
        <v>2022.6</v>
      </c>
      <c r="S539" t="b">
        <v>0</v>
      </c>
      <c r="T539" t="n">
        <v>3830179</v>
      </c>
      <c r="U539" t="n">
        <v>7</v>
      </c>
      <c r="V539" t="n">
        <v>0.0809</v>
      </c>
      <c r="W539" t="n">
        <v>1.9</v>
      </c>
      <c r="X539" t="n">
        <v>77.05</v>
      </c>
      <c r="Y539">
        <f>VLOOKUP(D539,$AB$2:$AC$7,2,FALSE)</f>
        <v/>
      </c>
      <c r="Z539">
        <f>IF(A539&lt;Y539,"Yes","No")</f>
        <v/>
      </c>
    </row>
    <row r="540">
      <c r="A540" t="n">
        <v>2021</v>
      </c>
      <c r="B540" t="inlineStr">
        <is>
          <t>Q1</t>
        </is>
      </c>
      <c r="C540" t="inlineStr">
        <is>
          <t>Europe</t>
        </is>
      </c>
      <c r="D540" t="inlineStr">
        <is>
          <t>Model 3</t>
        </is>
      </c>
      <c r="E540" t="n">
        <v>4324</v>
      </c>
      <c r="F540" t="n">
        <v>59516.59</v>
      </c>
      <c r="G540" t="n">
        <v>14</v>
      </c>
      <c r="H540" t="inlineStr">
        <is>
          <t>Long Range</t>
        </is>
      </c>
      <c r="I540" t="inlineStr">
        <is>
          <t>RWD</t>
        </is>
      </c>
      <c r="J540" t="inlineStr">
        <is>
          <t>Green</t>
        </is>
      </c>
      <c r="K540" t="n">
        <v>499</v>
      </c>
      <c r="L540" t="n">
        <v>49</v>
      </c>
      <c r="M540" t="n">
        <v>24.34</v>
      </c>
      <c r="N540" t="n">
        <v>3531</v>
      </c>
      <c r="O540" t="n">
        <v>4.45</v>
      </c>
      <c r="P540" t="n">
        <v>8</v>
      </c>
      <c r="Q540" t="n">
        <v>3</v>
      </c>
      <c r="R540" t="n">
        <v>2022.3</v>
      </c>
      <c r="S540" t="b">
        <v>1</v>
      </c>
      <c r="T540" t="n">
        <v>1329150</v>
      </c>
      <c r="U540" t="n">
        <v>11</v>
      </c>
      <c r="V540" t="n">
        <v>0.0363</v>
      </c>
      <c r="W540" t="n">
        <v>1.27</v>
      </c>
      <c r="X540" t="n">
        <v>79.09999999999999</v>
      </c>
      <c r="Y540">
        <f>VLOOKUP(D540,$AB$2:$AC$7,2,FALSE)</f>
        <v/>
      </c>
      <c r="Z540">
        <f>IF(A540&lt;Y540,"Yes","No")</f>
        <v/>
      </c>
    </row>
    <row r="541">
      <c r="A541" t="n">
        <v>2012</v>
      </c>
      <c r="B541" t="inlineStr">
        <is>
          <t>Q2</t>
        </is>
      </c>
      <c r="C541" t="inlineStr">
        <is>
          <t>South America</t>
        </is>
      </c>
      <c r="D541" t="inlineStr">
        <is>
          <t>Model X</t>
        </is>
      </c>
      <c r="E541" t="n">
        <v>1265</v>
      </c>
      <c r="F541" t="n">
        <v>84659.96000000001</v>
      </c>
      <c r="G541" t="n">
        <v>16</v>
      </c>
      <c r="H541" t="inlineStr">
        <is>
          <t>Long Range</t>
        </is>
      </c>
      <c r="I541" t="inlineStr">
        <is>
          <t>RWD</t>
        </is>
      </c>
      <c r="J541" t="inlineStr">
        <is>
          <t>Blue</t>
        </is>
      </c>
      <c r="K541" t="n">
        <v>666</v>
      </c>
      <c r="L541" t="n">
        <v>87</v>
      </c>
      <c r="M541" t="n">
        <v>15.04</v>
      </c>
      <c r="N541" t="n">
        <v>1503.36</v>
      </c>
      <c r="O541" t="n">
        <v>3.73</v>
      </c>
      <c r="P541" t="n">
        <v>6</v>
      </c>
      <c r="Q541" t="n">
        <v>2</v>
      </c>
      <c r="R541" t="n">
        <v>2023.8</v>
      </c>
      <c r="S541" t="b">
        <v>1</v>
      </c>
      <c r="T541" t="n">
        <v>4506006</v>
      </c>
      <c r="U541" t="n">
        <v>9</v>
      </c>
      <c r="V541" t="n">
        <v>0.0258</v>
      </c>
      <c r="W541" t="n">
        <v>2.29</v>
      </c>
      <c r="X541" t="n">
        <v>60.43</v>
      </c>
      <c r="Y541">
        <f>VLOOKUP(D541,$AB$2:$AC$7,2,FALSE)</f>
        <v/>
      </c>
      <c r="Z541">
        <f>IF(A541&lt;Y541,"Yes","No")</f>
        <v/>
      </c>
    </row>
    <row r="542">
      <c r="A542" t="n">
        <v>2013</v>
      </c>
      <c r="B542" t="inlineStr">
        <is>
          <t>Q3</t>
        </is>
      </c>
      <c r="C542" t="inlineStr">
        <is>
          <t>Europe</t>
        </is>
      </c>
      <c r="D542" t="inlineStr">
        <is>
          <t>Model X</t>
        </is>
      </c>
      <c r="E542" t="n">
        <v>1741</v>
      </c>
      <c r="F542" t="n">
        <v>54066.35</v>
      </c>
      <c r="G542" t="n">
        <v>17</v>
      </c>
      <c r="H542" t="inlineStr">
        <is>
          <t>Performance</t>
        </is>
      </c>
      <c r="I542" t="inlineStr">
        <is>
          <t>AWD</t>
        </is>
      </c>
      <c r="J542" t="inlineStr">
        <is>
          <t>Green</t>
        </is>
      </c>
      <c r="K542" t="n">
        <v>450</v>
      </c>
      <c r="L542" t="n">
        <v>52</v>
      </c>
      <c r="M542" t="n">
        <v>18.99</v>
      </c>
      <c r="N542" t="n">
        <v>2853.18</v>
      </c>
      <c r="O542" t="n">
        <v>4.46</v>
      </c>
      <c r="P542" t="n">
        <v>4</v>
      </c>
      <c r="Q542" t="n">
        <v>1</v>
      </c>
      <c r="R542" t="n">
        <v>2021.6</v>
      </c>
      <c r="S542" t="b">
        <v>1</v>
      </c>
      <c r="T542" t="n">
        <v>3442786</v>
      </c>
      <c r="U542" t="n">
        <v>12</v>
      </c>
      <c r="V542" t="n">
        <v>0.0189</v>
      </c>
      <c r="W542" t="n">
        <v>1.16</v>
      </c>
      <c r="X542" t="n">
        <v>62.02</v>
      </c>
      <c r="Y542">
        <f>VLOOKUP(D542,$AB$2:$AC$7,2,FALSE)</f>
        <v/>
      </c>
      <c r="Z542">
        <f>IF(A542&lt;Y542,"Yes","No")</f>
        <v/>
      </c>
    </row>
    <row r="543">
      <c r="A543" t="n">
        <v>2020</v>
      </c>
      <c r="B543" t="inlineStr">
        <is>
          <t>Q1</t>
        </is>
      </c>
      <c r="C543" t="inlineStr">
        <is>
          <t>North America</t>
        </is>
      </c>
      <c r="D543" t="inlineStr">
        <is>
          <t>Model Y</t>
        </is>
      </c>
      <c r="E543" t="n">
        <v>4692</v>
      </c>
      <c r="F543" t="n">
        <v>79450.64999999999</v>
      </c>
      <c r="G543" t="n">
        <v>15</v>
      </c>
      <c r="H543" t="inlineStr">
        <is>
          <t>Long Range</t>
        </is>
      </c>
      <c r="I543" t="inlineStr">
        <is>
          <t>AWD</t>
        </is>
      </c>
      <c r="J543" t="inlineStr">
        <is>
          <t>Green</t>
        </is>
      </c>
      <c r="K543" t="n">
        <v>683</v>
      </c>
      <c r="L543" t="n">
        <v>84</v>
      </c>
      <c r="M543" t="n">
        <v>15.94</v>
      </c>
      <c r="N543" t="n">
        <v>8817.559999999999</v>
      </c>
      <c r="O543" t="n">
        <v>4.18</v>
      </c>
      <c r="P543" t="n">
        <v>4</v>
      </c>
      <c r="Q543" t="n">
        <v>2</v>
      </c>
      <c r="R543" t="n">
        <v>2024.5</v>
      </c>
      <c r="S543" t="b">
        <v>1</v>
      </c>
      <c r="T543" t="n">
        <v>1693954</v>
      </c>
      <c r="U543" t="n">
        <v>3</v>
      </c>
      <c r="V543" t="n">
        <v>0.0916</v>
      </c>
      <c r="W543" t="n">
        <v>0.77</v>
      </c>
      <c r="X543" t="n">
        <v>69.08</v>
      </c>
      <c r="Y543">
        <f>VLOOKUP(D543,$AB$2:$AC$7,2,FALSE)</f>
        <v/>
      </c>
      <c r="Z543">
        <f>IF(A543&lt;Y543,"Yes","No")</f>
        <v/>
      </c>
    </row>
    <row r="544">
      <c r="A544" t="n">
        <v>2015</v>
      </c>
      <c r="B544" t="inlineStr">
        <is>
          <t>Q2</t>
        </is>
      </c>
      <c r="C544" t="inlineStr">
        <is>
          <t>Europe</t>
        </is>
      </c>
      <c r="D544" t="inlineStr">
        <is>
          <t>Cybertruck</t>
        </is>
      </c>
      <c r="E544" t="n">
        <v>4811</v>
      </c>
      <c r="F544" t="n">
        <v>75569</v>
      </c>
      <c r="G544" t="n">
        <v>6</v>
      </c>
      <c r="H544" t="inlineStr">
        <is>
          <t>Performance</t>
        </is>
      </c>
      <c r="I544" t="inlineStr">
        <is>
          <t>AWD</t>
        </is>
      </c>
      <c r="J544" t="inlineStr">
        <is>
          <t>White</t>
        </is>
      </c>
      <c r="K544" t="n">
        <v>674</v>
      </c>
      <c r="L544" t="n">
        <v>34</v>
      </c>
      <c r="M544" t="n">
        <v>15.36</v>
      </c>
      <c r="N544" t="n">
        <v>3525.56</v>
      </c>
      <c r="O544" t="n">
        <v>3.63</v>
      </c>
      <c r="P544" t="n">
        <v>5</v>
      </c>
      <c r="Q544" t="n">
        <v>0</v>
      </c>
      <c r="R544" t="n">
        <v>2024.1</v>
      </c>
      <c r="S544" t="b">
        <v>1</v>
      </c>
      <c r="T544" t="n">
        <v>4187187</v>
      </c>
      <c r="U544" t="n">
        <v>6</v>
      </c>
      <c r="V544" t="n">
        <v>0.0612</v>
      </c>
      <c r="W544" t="n">
        <v>1.66</v>
      </c>
      <c r="X544" t="n">
        <v>85.83</v>
      </c>
      <c r="Y544">
        <f>VLOOKUP(D544,$AB$2:$AC$7,2,FALSE)</f>
        <v/>
      </c>
      <c r="Z544">
        <f>IF(A544&lt;Y544,"Yes","No")</f>
        <v/>
      </c>
    </row>
    <row r="545">
      <c r="A545" t="n">
        <v>2013</v>
      </c>
      <c r="B545" t="inlineStr">
        <is>
          <t>Q4</t>
        </is>
      </c>
      <c r="C545" t="inlineStr">
        <is>
          <t>Europe</t>
        </is>
      </c>
      <c r="D545" t="inlineStr">
        <is>
          <t>Cybertruck</t>
        </is>
      </c>
      <c r="E545" t="n">
        <v>3787</v>
      </c>
      <c r="F545" t="n">
        <v>119340.2</v>
      </c>
      <c r="G545" t="n">
        <v>16</v>
      </c>
      <c r="H545" t="inlineStr">
        <is>
          <t>Long Range</t>
        </is>
      </c>
      <c r="I545" t="inlineStr">
        <is>
          <t>RWD</t>
        </is>
      </c>
      <c r="J545" t="inlineStr">
        <is>
          <t>Blue</t>
        </is>
      </c>
      <c r="K545" t="n">
        <v>673</v>
      </c>
      <c r="L545" t="n">
        <v>41</v>
      </c>
      <c r="M545" t="n">
        <v>16.94</v>
      </c>
      <c r="N545" t="n">
        <v>5553.86</v>
      </c>
      <c r="O545" t="n">
        <v>3.93</v>
      </c>
      <c r="P545" t="n">
        <v>6</v>
      </c>
      <c r="Q545" t="n">
        <v>2</v>
      </c>
      <c r="R545" t="n">
        <v>2024.4</v>
      </c>
      <c r="S545" t="b">
        <v>0</v>
      </c>
      <c r="T545" t="n">
        <v>2409286</v>
      </c>
      <c r="U545" t="n">
        <v>12</v>
      </c>
      <c r="V545" t="n">
        <v>0.0605</v>
      </c>
      <c r="W545" t="n">
        <v>1.12</v>
      </c>
      <c r="X545" t="n">
        <v>73.2</v>
      </c>
      <c r="Y545">
        <f>VLOOKUP(D545,$AB$2:$AC$7,2,FALSE)</f>
        <v/>
      </c>
      <c r="Z545">
        <f>IF(A545&lt;Y545,"Yes","No")</f>
        <v/>
      </c>
    </row>
    <row r="546">
      <c r="A546" t="n">
        <v>2024</v>
      </c>
      <c r="B546" t="inlineStr">
        <is>
          <t>Q2</t>
        </is>
      </c>
      <c r="C546" t="inlineStr">
        <is>
          <t>Australia</t>
        </is>
      </c>
      <c r="D546" t="inlineStr">
        <is>
          <t>Model S</t>
        </is>
      </c>
      <c r="E546" t="n">
        <v>2664</v>
      </c>
      <c r="F546" t="n">
        <v>110936.21</v>
      </c>
      <c r="G546" t="n">
        <v>32</v>
      </c>
      <c r="H546" t="inlineStr">
        <is>
          <t>Long Range</t>
        </is>
      </c>
      <c r="I546" t="inlineStr">
        <is>
          <t>RWD</t>
        </is>
      </c>
      <c r="J546" t="inlineStr">
        <is>
          <t>Black</t>
        </is>
      </c>
      <c r="K546" t="n">
        <v>441</v>
      </c>
      <c r="L546" t="n">
        <v>34</v>
      </c>
      <c r="M546" t="n">
        <v>22.13</v>
      </c>
      <c r="N546" t="n">
        <v>4917.62</v>
      </c>
      <c r="O546" t="n">
        <v>3.64</v>
      </c>
      <c r="P546" t="n">
        <v>8</v>
      </c>
      <c r="Q546" t="n">
        <v>2</v>
      </c>
      <c r="R546" t="n">
        <v>2024.3</v>
      </c>
      <c r="S546" t="b">
        <v>1</v>
      </c>
      <c r="T546" t="n">
        <v>1011939</v>
      </c>
      <c r="U546" t="n">
        <v>5</v>
      </c>
      <c r="V546" t="n">
        <v>0.0292</v>
      </c>
      <c r="W546" t="n">
        <v>1.5</v>
      </c>
      <c r="X546" t="n">
        <v>69.59999999999999</v>
      </c>
      <c r="Y546">
        <f>VLOOKUP(D546,$AB$2:$AC$7,2,FALSE)</f>
        <v/>
      </c>
      <c r="Z546">
        <f>IF(A546&lt;Y546,"Yes","No")</f>
        <v/>
      </c>
    </row>
    <row r="547">
      <c r="A547" t="n">
        <v>2020</v>
      </c>
      <c r="B547" t="inlineStr">
        <is>
          <t>Q4</t>
        </is>
      </c>
      <c r="C547" t="inlineStr">
        <is>
          <t>North America</t>
        </is>
      </c>
      <c r="D547" t="inlineStr">
        <is>
          <t>Semi</t>
        </is>
      </c>
      <c r="E547" t="n">
        <v>2508</v>
      </c>
      <c r="F547" t="n">
        <v>113841.88</v>
      </c>
      <c r="G547" t="n">
        <v>13</v>
      </c>
      <c r="H547" t="inlineStr">
        <is>
          <t>Performance</t>
        </is>
      </c>
      <c r="I547" t="inlineStr">
        <is>
          <t>AWD</t>
        </is>
      </c>
      <c r="J547" t="inlineStr">
        <is>
          <t>White</t>
        </is>
      </c>
      <c r="K547" t="n">
        <v>430</v>
      </c>
      <c r="L547" t="n">
        <v>42</v>
      </c>
      <c r="M547" t="n">
        <v>22.2</v>
      </c>
      <c r="N547" t="n">
        <v>5195.63</v>
      </c>
      <c r="O547" t="n">
        <v>4.78</v>
      </c>
      <c r="P547" t="n">
        <v>5</v>
      </c>
      <c r="Q547" t="n">
        <v>2</v>
      </c>
      <c r="R547" t="n">
        <v>2024.8</v>
      </c>
      <c r="S547" t="b">
        <v>0</v>
      </c>
      <c r="T547" t="n">
        <v>2359749</v>
      </c>
      <c r="U547" t="n">
        <v>5</v>
      </c>
      <c r="V547" t="n">
        <v>0.094</v>
      </c>
      <c r="W547" t="n">
        <v>1.44</v>
      </c>
      <c r="X547" t="n">
        <v>85.69</v>
      </c>
      <c r="Y547">
        <f>VLOOKUP(D547,$AB$2:$AC$7,2,FALSE)</f>
        <v/>
      </c>
      <c r="Z547">
        <f>IF(A547&lt;Y547,"Yes","No")</f>
        <v/>
      </c>
    </row>
    <row r="548">
      <c r="A548" t="n">
        <v>2016</v>
      </c>
      <c r="B548" t="inlineStr">
        <is>
          <t>Q3</t>
        </is>
      </c>
      <c r="C548" t="inlineStr">
        <is>
          <t>Europe</t>
        </is>
      </c>
      <c r="D548" t="inlineStr">
        <is>
          <t>Model X</t>
        </is>
      </c>
      <c r="E548" t="n">
        <v>2783</v>
      </c>
      <c r="F548" t="n">
        <v>96770.32000000001</v>
      </c>
      <c r="G548" t="n">
        <v>53</v>
      </c>
      <c r="H548" t="inlineStr">
        <is>
          <t>Performance</t>
        </is>
      </c>
      <c r="I548" t="inlineStr">
        <is>
          <t>RWD</t>
        </is>
      </c>
      <c r="J548" t="inlineStr">
        <is>
          <t>Blue</t>
        </is>
      </c>
      <c r="K548" t="n">
        <v>507</v>
      </c>
      <c r="L548" t="n">
        <v>57</v>
      </c>
      <c r="M548" t="n">
        <v>19.76</v>
      </c>
      <c r="N548" t="n">
        <v>5636.66</v>
      </c>
      <c r="O548" t="n">
        <v>3.51</v>
      </c>
      <c r="P548" t="n">
        <v>8</v>
      </c>
      <c r="Q548" t="n">
        <v>0</v>
      </c>
      <c r="R548" t="n">
        <v>2023.6</v>
      </c>
      <c r="S548" t="b">
        <v>1</v>
      </c>
      <c r="T548" t="n">
        <v>3932668</v>
      </c>
      <c r="U548" t="n">
        <v>6</v>
      </c>
      <c r="V548" t="n">
        <v>0.0118</v>
      </c>
      <c r="W548" t="n">
        <v>1.91</v>
      </c>
      <c r="X548" t="n">
        <v>66.26000000000001</v>
      </c>
      <c r="Y548">
        <f>VLOOKUP(D548,$AB$2:$AC$7,2,FALSE)</f>
        <v/>
      </c>
      <c r="Z548">
        <f>IF(A548&lt;Y548,"Yes","No")</f>
        <v/>
      </c>
    </row>
    <row r="549">
      <c r="A549" t="n">
        <v>2023</v>
      </c>
      <c r="B549" t="inlineStr">
        <is>
          <t>Q3</t>
        </is>
      </c>
      <c r="C549" t="inlineStr">
        <is>
          <t>Asia</t>
        </is>
      </c>
      <c r="D549" t="inlineStr">
        <is>
          <t>Model X</t>
        </is>
      </c>
      <c r="E549" t="n">
        <v>243</v>
      </c>
      <c r="F549" t="n">
        <v>62356.89</v>
      </c>
      <c r="G549" t="n">
        <v>50</v>
      </c>
      <c r="H549" t="inlineStr">
        <is>
          <t>Long Range</t>
        </is>
      </c>
      <c r="I549" t="inlineStr">
        <is>
          <t>RWD</t>
        </is>
      </c>
      <c r="J549" t="inlineStr">
        <is>
          <t>Silver</t>
        </is>
      </c>
      <c r="K549" t="n">
        <v>636</v>
      </c>
      <c r="L549" t="n">
        <v>77</v>
      </c>
      <c r="M549" t="n">
        <v>15.39</v>
      </c>
      <c r="N549" t="n">
        <v>225.98</v>
      </c>
      <c r="O549" t="n">
        <v>4.25</v>
      </c>
      <c r="P549" t="n">
        <v>6</v>
      </c>
      <c r="Q549" t="n">
        <v>0</v>
      </c>
      <c r="R549" t="n">
        <v>2020.4</v>
      </c>
      <c r="S549" t="b">
        <v>1</v>
      </c>
      <c r="T549" t="n">
        <v>2830349</v>
      </c>
      <c r="U549" t="n">
        <v>9</v>
      </c>
      <c r="V549" t="n">
        <v>0.09470000000000001</v>
      </c>
      <c r="W549" t="n">
        <v>1.69</v>
      </c>
      <c r="X549" t="n">
        <v>88.56</v>
      </c>
      <c r="Y549">
        <f>VLOOKUP(D549,$AB$2:$AC$7,2,FALSE)</f>
        <v/>
      </c>
      <c r="Z549">
        <f>IF(A549&lt;Y549,"Yes","No")</f>
        <v/>
      </c>
    </row>
    <row r="550">
      <c r="A550" t="n">
        <v>2012</v>
      </c>
      <c r="B550" t="inlineStr">
        <is>
          <t>Q4</t>
        </is>
      </c>
      <c r="C550" t="inlineStr">
        <is>
          <t>Australia</t>
        </is>
      </c>
      <c r="D550" t="inlineStr">
        <is>
          <t>Model 3</t>
        </is>
      </c>
      <c r="E550" t="n">
        <v>2344</v>
      </c>
      <c r="F550" t="n">
        <v>118888.98</v>
      </c>
      <c r="G550" t="n">
        <v>37</v>
      </c>
      <c r="H550" t="inlineStr">
        <is>
          <t>Long Range</t>
        </is>
      </c>
      <c r="I550" t="inlineStr">
        <is>
          <t>AWD</t>
        </is>
      </c>
      <c r="J550" t="inlineStr">
        <is>
          <t>Red</t>
        </is>
      </c>
      <c r="K550" t="n">
        <v>378</v>
      </c>
      <c r="L550" t="n">
        <v>70</v>
      </c>
      <c r="M550" t="n">
        <v>17.11</v>
      </c>
      <c r="N550" t="n">
        <v>3693.66</v>
      </c>
      <c r="O550" t="n">
        <v>4.16</v>
      </c>
      <c r="P550" t="n">
        <v>6</v>
      </c>
      <c r="Q550" t="n">
        <v>0</v>
      </c>
      <c r="R550" t="n">
        <v>2023.3</v>
      </c>
      <c r="S550" t="b">
        <v>1</v>
      </c>
      <c r="T550" t="n">
        <v>2822485</v>
      </c>
      <c r="U550" t="n">
        <v>8</v>
      </c>
      <c r="V550" t="n">
        <v>0.0842</v>
      </c>
      <c r="W550" t="n">
        <v>2.25</v>
      </c>
      <c r="X550" t="n">
        <v>77.69</v>
      </c>
      <c r="Y550">
        <f>VLOOKUP(D550,$AB$2:$AC$7,2,FALSE)</f>
        <v/>
      </c>
      <c r="Z550">
        <f>IF(A550&lt;Y550,"Yes","No")</f>
        <v/>
      </c>
    </row>
    <row r="551">
      <c r="A551" t="n">
        <v>2021</v>
      </c>
      <c r="B551" t="inlineStr">
        <is>
          <t>Q2</t>
        </is>
      </c>
      <c r="C551" t="inlineStr">
        <is>
          <t>South America</t>
        </is>
      </c>
      <c r="D551" t="inlineStr">
        <is>
          <t>Model S</t>
        </is>
      </c>
      <c r="E551" t="n">
        <v>3640</v>
      </c>
      <c r="F551" t="n">
        <v>55844.27</v>
      </c>
      <c r="G551" t="n">
        <v>36</v>
      </c>
      <c r="H551" t="inlineStr">
        <is>
          <t>Performance</t>
        </is>
      </c>
      <c r="I551" t="inlineStr">
        <is>
          <t>RWD</t>
        </is>
      </c>
      <c r="J551" t="inlineStr">
        <is>
          <t>Silver</t>
        </is>
      </c>
      <c r="K551" t="n">
        <v>621</v>
      </c>
      <c r="L551" t="n">
        <v>82</v>
      </c>
      <c r="M551" t="n">
        <v>16.5</v>
      </c>
      <c r="N551" t="n">
        <v>1979.08</v>
      </c>
      <c r="O551" t="n">
        <v>4.66</v>
      </c>
      <c r="P551" t="n">
        <v>4</v>
      </c>
      <c r="Q551" t="n">
        <v>2</v>
      </c>
      <c r="R551" t="n">
        <v>2022.8</v>
      </c>
      <c r="S551" t="b">
        <v>1</v>
      </c>
      <c r="T551" t="n">
        <v>1644678</v>
      </c>
      <c r="U551" t="n">
        <v>7</v>
      </c>
      <c r="V551" t="n">
        <v>0.0521</v>
      </c>
      <c r="W551" t="n">
        <v>1.42</v>
      </c>
      <c r="X551" t="n">
        <v>69.98999999999999</v>
      </c>
      <c r="Y551">
        <f>VLOOKUP(D551,$AB$2:$AC$7,2,FALSE)</f>
        <v/>
      </c>
      <c r="Z551">
        <f>IF(A551&lt;Y551,"Yes","No")</f>
        <v/>
      </c>
    </row>
    <row r="552">
      <c r="A552" t="n">
        <v>2022</v>
      </c>
      <c r="B552" t="inlineStr">
        <is>
          <t>Q3</t>
        </is>
      </c>
      <c r="C552" t="inlineStr">
        <is>
          <t>Asia</t>
        </is>
      </c>
      <c r="D552" t="inlineStr">
        <is>
          <t>Cybertruck</t>
        </is>
      </c>
      <c r="E552" t="n">
        <v>239</v>
      </c>
      <c r="F552" t="n">
        <v>46922.94</v>
      </c>
      <c r="G552" t="n">
        <v>41</v>
      </c>
      <c r="H552" t="inlineStr">
        <is>
          <t>Long Range</t>
        </is>
      </c>
      <c r="I552" t="inlineStr">
        <is>
          <t>RWD</t>
        </is>
      </c>
      <c r="J552" t="inlineStr">
        <is>
          <t>Blue</t>
        </is>
      </c>
      <c r="K552" t="n">
        <v>599</v>
      </c>
      <c r="L552" t="n">
        <v>81</v>
      </c>
      <c r="M552" t="n">
        <v>13.58</v>
      </c>
      <c r="N552" t="n">
        <v>372.07</v>
      </c>
      <c r="O552" t="n">
        <v>4.87</v>
      </c>
      <c r="P552" t="n">
        <v>6</v>
      </c>
      <c r="Q552" t="n">
        <v>0</v>
      </c>
      <c r="R552" t="n">
        <v>2024.7</v>
      </c>
      <c r="S552" t="b">
        <v>1</v>
      </c>
      <c r="T552" t="n">
        <v>4329633</v>
      </c>
      <c r="U552" t="n">
        <v>7</v>
      </c>
      <c r="V552" t="n">
        <v>0.08110000000000001</v>
      </c>
      <c r="W552" t="n">
        <v>1.48</v>
      </c>
      <c r="X552" t="n">
        <v>77.23999999999999</v>
      </c>
      <c r="Y552">
        <f>VLOOKUP(D552,$AB$2:$AC$7,2,FALSE)</f>
        <v/>
      </c>
      <c r="Z552">
        <f>IF(A552&lt;Y552,"Yes","No")</f>
        <v/>
      </c>
    </row>
    <row r="553">
      <c r="A553" t="n">
        <v>2022</v>
      </c>
      <c r="B553" t="inlineStr">
        <is>
          <t>Q1</t>
        </is>
      </c>
      <c r="C553" t="inlineStr">
        <is>
          <t>North America</t>
        </is>
      </c>
      <c r="D553" t="inlineStr">
        <is>
          <t>Cybertruck</t>
        </is>
      </c>
      <c r="E553" t="n">
        <v>804</v>
      </c>
      <c r="F553" t="n">
        <v>117809.34</v>
      </c>
      <c r="G553" t="n">
        <v>49</v>
      </c>
      <c r="H553" t="inlineStr">
        <is>
          <t>Standard</t>
        </is>
      </c>
      <c r="I553" t="inlineStr">
        <is>
          <t>AWD</t>
        </is>
      </c>
      <c r="J553" t="inlineStr">
        <is>
          <t>Silver</t>
        </is>
      </c>
      <c r="K553" t="n">
        <v>394</v>
      </c>
      <c r="L553" t="n">
        <v>66</v>
      </c>
      <c r="M553" t="n">
        <v>24.07</v>
      </c>
      <c r="N553" t="n">
        <v>1382.93</v>
      </c>
      <c r="O553" t="n">
        <v>4.99</v>
      </c>
      <c r="P553" t="n">
        <v>4</v>
      </c>
      <c r="Q553" t="n">
        <v>3</v>
      </c>
      <c r="R553" t="n">
        <v>2022.8</v>
      </c>
      <c r="S553" t="b">
        <v>0</v>
      </c>
      <c r="T553" t="n">
        <v>1376790</v>
      </c>
      <c r="U553" t="n">
        <v>12</v>
      </c>
      <c r="V553" t="n">
        <v>0.0397</v>
      </c>
      <c r="W553" t="n">
        <v>0.86</v>
      </c>
      <c r="X553" t="n">
        <v>77.26000000000001</v>
      </c>
      <c r="Y553">
        <f>VLOOKUP(D553,$AB$2:$AC$7,2,FALSE)</f>
        <v/>
      </c>
      <c r="Z553">
        <f>IF(A553&lt;Y553,"Yes","No")</f>
        <v/>
      </c>
    </row>
    <row r="554">
      <c r="A554" t="n">
        <v>2019</v>
      </c>
      <c r="B554" t="inlineStr">
        <is>
          <t>Q4</t>
        </is>
      </c>
      <c r="C554" t="inlineStr">
        <is>
          <t>North America</t>
        </is>
      </c>
      <c r="D554" t="inlineStr">
        <is>
          <t>Model Y</t>
        </is>
      </c>
      <c r="E554" t="n">
        <v>4758</v>
      </c>
      <c r="F554" t="n">
        <v>59974.17</v>
      </c>
      <c r="G554" t="n">
        <v>39</v>
      </c>
      <c r="H554" t="inlineStr">
        <is>
          <t>Long Range</t>
        </is>
      </c>
      <c r="I554" t="inlineStr">
        <is>
          <t>AWD</t>
        </is>
      </c>
      <c r="J554" t="inlineStr">
        <is>
          <t>Red</t>
        </is>
      </c>
      <c r="K554" t="n">
        <v>465</v>
      </c>
      <c r="L554" t="n">
        <v>50</v>
      </c>
      <c r="M554" t="n">
        <v>18.13</v>
      </c>
      <c r="N554" t="n">
        <v>4842.24</v>
      </c>
      <c r="O554" t="n">
        <v>3.83</v>
      </c>
      <c r="P554" t="n">
        <v>6</v>
      </c>
      <c r="Q554" t="n">
        <v>3</v>
      </c>
      <c r="R554" t="n">
        <v>2021.1</v>
      </c>
      <c r="S554" t="b">
        <v>0</v>
      </c>
      <c r="T554" t="n">
        <v>4939019</v>
      </c>
      <c r="U554" t="n">
        <v>4</v>
      </c>
      <c r="V554" t="n">
        <v>0.027</v>
      </c>
      <c r="W554" t="n">
        <v>0.8</v>
      </c>
      <c r="X554" t="n">
        <v>69.25</v>
      </c>
      <c r="Y554">
        <f>VLOOKUP(D554,$AB$2:$AC$7,2,FALSE)</f>
        <v/>
      </c>
      <c r="Z554">
        <f>IF(A554&lt;Y554,"Yes","No")</f>
        <v/>
      </c>
    </row>
    <row r="555">
      <c r="A555" t="n">
        <v>2013</v>
      </c>
      <c r="B555" t="inlineStr">
        <is>
          <t>Q1</t>
        </is>
      </c>
      <c r="C555" t="inlineStr">
        <is>
          <t>South America</t>
        </is>
      </c>
      <c r="D555" t="inlineStr">
        <is>
          <t>Cybertruck</t>
        </is>
      </c>
      <c r="E555" t="n">
        <v>373</v>
      </c>
      <c r="F555" t="n">
        <v>101254.37</v>
      </c>
      <c r="G555" t="n">
        <v>34</v>
      </c>
      <c r="H555" t="inlineStr">
        <is>
          <t>Long Range</t>
        </is>
      </c>
      <c r="I555" t="inlineStr">
        <is>
          <t>AWD</t>
        </is>
      </c>
      <c r="J555" t="inlineStr">
        <is>
          <t>White</t>
        </is>
      </c>
      <c r="K555" t="n">
        <v>511</v>
      </c>
      <c r="L555" t="n">
        <v>89</v>
      </c>
      <c r="M555" t="n">
        <v>15.76</v>
      </c>
      <c r="N555" t="n">
        <v>342.27</v>
      </c>
      <c r="O555" t="n">
        <v>3.95</v>
      </c>
      <c r="P555" t="n">
        <v>8</v>
      </c>
      <c r="Q555" t="n">
        <v>2</v>
      </c>
      <c r="R555" t="n">
        <v>2021.4</v>
      </c>
      <c r="S555" t="b">
        <v>0</v>
      </c>
      <c r="T555" t="n">
        <v>328979</v>
      </c>
      <c r="U555" t="n">
        <v>4</v>
      </c>
      <c r="V555" t="n">
        <v>0.089</v>
      </c>
      <c r="W555" t="n">
        <v>2.39</v>
      </c>
      <c r="X555" t="n">
        <v>63.69</v>
      </c>
      <c r="Y555">
        <f>VLOOKUP(D555,$AB$2:$AC$7,2,FALSE)</f>
        <v/>
      </c>
      <c r="Z555">
        <f>IF(A555&lt;Y555,"Yes","No")</f>
        <v/>
      </c>
    </row>
    <row r="556">
      <c r="A556" t="n">
        <v>2018</v>
      </c>
      <c r="B556" t="inlineStr">
        <is>
          <t>Q1</t>
        </is>
      </c>
      <c r="C556" t="inlineStr">
        <is>
          <t>Australia</t>
        </is>
      </c>
      <c r="D556" t="inlineStr">
        <is>
          <t>Semi</t>
        </is>
      </c>
      <c r="E556" t="n">
        <v>1758</v>
      </c>
      <c r="F556" t="n">
        <v>67335.41</v>
      </c>
      <c r="G556" t="n">
        <v>28</v>
      </c>
      <c r="H556" t="inlineStr">
        <is>
          <t>Long Range</t>
        </is>
      </c>
      <c r="I556" t="inlineStr">
        <is>
          <t>RWD</t>
        </is>
      </c>
      <c r="J556" t="inlineStr">
        <is>
          <t>Black</t>
        </is>
      </c>
      <c r="K556" t="n">
        <v>455</v>
      </c>
      <c r="L556" t="n">
        <v>79</v>
      </c>
      <c r="M556" t="n">
        <v>17.57</v>
      </c>
      <c r="N556" t="n">
        <v>3742.78</v>
      </c>
      <c r="O556" t="n">
        <v>3.64</v>
      </c>
      <c r="P556" t="n">
        <v>5</v>
      </c>
      <c r="Q556" t="n">
        <v>0</v>
      </c>
      <c r="R556" t="n">
        <v>2021.4</v>
      </c>
      <c r="S556" t="b">
        <v>1</v>
      </c>
      <c r="T556" t="n">
        <v>4202938</v>
      </c>
      <c r="U556" t="n">
        <v>11</v>
      </c>
      <c r="V556" t="n">
        <v>0.0423</v>
      </c>
      <c r="W556" t="n">
        <v>2.49</v>
      </c>
      <c r="X556" t="n">
        <v>72.45</v>
      </c>
      <c r="Y556">
        <f>VLOOKUP(D556,$AB$2:$AC$7,2,FALSE)</f>
        <v/>
      </c>
      <c r="Z556">
        <f>IF(A556&lt;Y556,"Yes","No")</f>
        <v/>
      </c>
    </row>
    <row r="557">
      <c r="A557" t="n">
        <v>2015</v>
      </c>
      <c r="B557" t="inlineStr">
        <is>
          <t>Q1</t>
        </is>
      </c>
      <c r="C557" t="inlineStr">
        <is>
          <t>South America</t>
        </is>
      </c>
      <c r="D557" t="inlineStr">
        <is>
          <t>Model X</t>
        </is>
      </c>
      <c r="E557" t="n">
        <v>3965</v>
      </c>
      <c r="F557" t="n">
        <v>56699.19</v>
      </c>
      <c r="G557" t="n">
        <v>7</v>
      </c>
      <c r="H557" t="inlineStr">
        <is>
          <t>Long Range</t>
        </is>
      </c>
      <c r="I557" t="inlineStr">
        <is>
          <t>AWD</t>
        </is>
      </c>
      <c r="J557" t="inlineStr">
        <is>
          <t>Red</t>
        </is>
      </c>
      <c r="K557" t="n">
        <v>544</v>
      </c>
      <c r="L557" t="n">
        <v>81</v>
      </c>
      <c r="M557" t="n">
        <v>18.04</v>
      </c>
      <c r="N557" t="n">
        <v>9607.74</v>
      </c>
      <c r="O557" t="n">
        <v>3.65</v>
      </c>
      <c r="P557" t="n">
        <v>6</v>
      </c>
      <c r="Q557" t="n">
        <v>2</v>
      </c>
      <c r="R557" t="n">
        <v>2020.7</v>
      </c>
      <c r="S557" t="b">
        <v>0</v>
      </c>
      <c r="T557" t="n">
        <v>2024001</v>
      </c>
      <c r="U557" t="n">
        <v>3</v>
      </c>
      <c r="V557" t="n">
        <v>0.06850000000000001</v>
      </c>
      <c r="W557" t="n">
        <v>2.12</v>
      </c>
      <c r="X557" t="n">
        <v>86.28</v>
      </c>
      <c r="Y557">
        <f>VLOOKUP(D557,$AB$2:$AC$7,2,FALSE)</f>
        <v/>
      </c>
      <c r="Z557">
        <f>IF(A557&lt;Y557,"Yes","No")</f>
        <v/>
      </c>
    </row>
    <row r="558">
      <c r="A558" t="n">
        <v>2012</v>
      </c>
      <c r="B558" t="inlineStr">
        <is>
          <t>Q3</t>
        </is>
      </c>
      <c r="C558" t="inlineStr">
        <is>
          <t>Asia</t>
        </is>
      </c>
      <c r="D558" t="inlineStr">
        <is>
          <t>Model S</t>
        </is>
      </c>
      <c r="E558" t="n">
        <v>1202</v>
      </c>
      <c r="F558" t="n">
        <v>107030.26</v>
      </c>
      <c r="G558" t="n">
        <v>11</v>
      </c>
      <c r="H558" t="inlineStr">
        <is>
          <t>Performance</t>
        </is>
      </c>
      <c r="I558" t="inlineStr">
        <is>
          <t>AWD</t>
        </is>
      </c>
      <c r="J558" t="inlineStr">
        <is>
          <t>Black</t>
        </is>
      </c>
      <c r="K558" t="n">
        <v>615</v>
      </c>
      <c r="L558" t="n">
        <v>39</v>
      </c>
      <c r="M558" t="n">
        <v>14.68</v>
      </c>
      <c r="N558" t="n">
        <v>1730.43</v>
      </c>
      <c r="O558" t="n">
        <v>3.56</v>
      </c>
      <c r="P558" t="n">
        <v>5</v>
      </c>
      <c r="Q558" t="n">
        <v>2</v>
      </c>
      <c r="R558" t="n">
        <v>2022.1</v>
      </c>
      <c r="S558" t="b">
        <v>0</v>
      </c>
      <c r="T558" t="n">
        <v>1421060</v>
      </c>
      <c r="U558" t="n">
        <v>8</v>
      </c>
      <c r="V558" t="n">
        <v>0.0255</v>
      </c>
      <c r="W558" t="n">
        <v>2.37</v>
      </c>
      <c r="X558" t="n">
        <v>88.95999999999999</v>
      </c>
      <c r="Y558">
        <f>VLOOKUP(D558,$AB$2:$AC$7,2,FALSE)</f>
        <v/>
      </c>
      <c r="Z558">
        <f>IF(A558&lt;Y558,"Yes","No")</f>
        <v/>
      </c>
    </row>
    <row r="559">
      <c r="A559" t="n">
        <v>2023</v>
      </c>
      <c r="B559" t="inlineStr">
        <is>
          <t>Q2</t>
        </is>
      </c>
      <c r="C559" t="inlineStr">
        <is>
          <t>Asia</t>
        </is>
      </c>
      <c r="D559" t="inlineStr">
        <is>
          <t>Model S</t>
        </is>
      </c>
      <c r="E559" t="n">
        <v>1380</v>
      </c>
      <c r="F559" t="n">
        <v>37548.31</v>
      </c>
      <c r="G559" t="n">
        <v>13</v>
      </c>
      <c r="H559" t="inlineStr">
        <is>
          <t>Long Range</t>
        </is>
      </c>
      <c r="I559" t="inlineStr">
        <is>
          <t>RWD</t>
        </is>
      </c>
      <c r="J559" t="inlineStr">
        <is>
          <t>Green</t>
        </is>
      </c>
      <c r="K559" t="n">
        <v>541</v>
      </c>
      <c r="L559" t="n">
        <v>88</v>
      </c>
      <c r="M559" t="n">
        <v>23.1</v>
      </c>
      <c r="N559" t="n">
        <v>2406.48</v>
      </c>
      <c r="O559" t="n">
        <v>3.54</v>
      </c>
      <c r="P559" t="n">
        <v>4</v>
      </c>
      <c r="Q559" t="n">
        <v>2</v>
      </c>
      <c r="R559" t="n">
        <v>2020.8</v>
      </c>
      <c r="S559" t="b">
        <v>1</v>
      </c>
      <c r="T559" t="n">
        <v>1310818</v>
      </c>
      <c r="U559" t="n">
        <v>8</v>
      </c>
      <c r="V559" t="n">
        <v>0.0142</v>
      </c>
      <c r="W559" t="n">
        <v>1.25</v>
      </c>
      <c r="X559" t="n">
        <v>77.95999999999999</v>
      </c>
      <c r="Y559">
        <f>VLOOKUP(D559,$AB$2:$AC$7,2,FALSE)</f>
        <v/>
      </c>
      <c r="Z559">
        <f>IF(A559&lt;Y559,"Yes","No")</f>
        <v/>
      </c>
    </row>
    <row r="560">
      <c r="A560" t="n">
        <v>2020</v>
      </c>
      <c r="B560" t="inlineStr">
        <is>
          <t>Q2</t>
        </is>
      </c>
      <c r="C560" t="inlineStr">
        <is>
          <t>Europe</t>
        </is>
      </c>
      <c r="D560" t="inlineStr">
        <is>
          <t>Model S</t>
        </is>
      </c>
      <c r="E560" t="n">
        <v>172</v>
      </c>
      <c r="F560" t="n">
        <v>64636.64</v>
      </c>
      <c r="G560" t="n">
        <v>14</v>
      </c>
      <c r="H560" t="inlineStr">
        <is>
          <t>Standard</t>
        </is>
      </c>
      <c r="I560" t="inlineStr">
        <is>
          <t>RWD</t>
        </is>
      </c>
      <c r="J560" t="inlineStr">
        <is>
          <t>Red</t>
        </is>
      </c>
      <c r="K560" t="n">
        <v>407</v>
      </c>
      <c r="L560" t="n">
        <v>60</v>
      </c>
      <c r="M560" t="n">
        <v>18.57</v>
      </c>
      <c r="N560" t="n">
        <v>228.79</v>
      </c>
      <c r="O560" t="n">
        <v>4.85</v>
      </c>
      <c r="P560" t="n">
        <v>8</v>
      </c>
      <c r="Q560" t="n">
        <v>1</v>
      </c>
      <c r="R560" t="n">
        <v>2024.11</v>
      </c>
      <c r="S560" t="b">
        <v>1</v>
      </c>
      <c r="T560" t="n">
        <v>2712471</v>
      </c>
      <c r="U560" t="n">
        <v>9</v>
      </c>
      <c r="V560" t="n">
        <v>0.0523</v>
      </c>
      <c r="W560" t="n">
        <v>2.31</v>
      </c>
      <c r="X560" t="n">
        <v>63.85</v>
      </c>
      <c r="Y560">
        <f>VLOOKUP(D560,$AB$2:$AC$7,2,FALSE)</f>
        <v/>
      </c>
      <c r="Z560">
        <f>IF(A560&lt;Y560,"Yes","No")</f>
        <v/>
      </c>
    </row>
    <row r="561">
      <c r="A561" t="n">
        <v>2022</v>
      </c>
      <c r="B561" t="inlineStr">
        <is>
          <t>Q3</t>
        </is>
      </c>
      <c r="C561" t="inlineStr">
        <is>
          <t>South America</t>
        </is>
      </c>
      <c r="D561" t="inlineStr">
        <is>
          <t>Semi</t>
        </is>
      </c>
      <c r="E561" t="n">
        <v>839</v>
      </c>
      <c r="F561" t="n">
        <v>75612.14</v>
      </c>
      <c r="G561" t="n">
        <v>47</v>
      </c>
      <c r="H561" t="inlineStr">
        <is>
          <t>Performance</t>
        </is>
      </c>
      <c r="I561" t="inlineStr">
        <is>
          <t>AWD</t>
        </is>
      </c>
      <c r="J561" t="inlineStr">
        <is>
          <t>Black</t>
        </is>
      </c>
      <c r="K561" t="n">
        <v>462</v>
      </c>
      <c r="L561" t="n">
        <v>62</v>
      </c>
      <c r="M561" t="n">
        <v>14.56</v>
      </c>
      <c r="N561" t="n">
        <v>2000.66</v>
      </c>
      <c r="O561" t="n">
        <v>3.84</v>
      </c>
      <c r="P561" t="n">
        <v>4</v>
      </c>
      <c r="Q561" t="n">
        <v>0</v>
      </c>
      <c r="R561" t="n">
        <v>2023.5</v>
      </c>
      <c r="S561" t="b">
        <v>1</v>
      </c>
      <c r="T561" t="n">
        <v>2195296</v>
      </c>
      <c r="U561" t="n">
        <v>5</v>
      </c>
      <c r="V561" t="n">
        <v>0.0326</v>
      </c>
      <c r="W561" t="n">
        <v>1.96</v>
      </c>
      <c r="X561" t="n">
        <v>69.03</v>
      </c>
      <c r="Y561">
        <f>VLOOKUP(D561,$AB$2:$AC$7,2,FALSE)</f>
        <v/>
      </c>
      <c r="Z561">
        <f>IF(A561&lt;Y561,"Yes","No")</f>
        <v/>
      </c>
    </row>
    <row r="562">
      <c r="A562" t="n">
        <v>2023</v>
      </c>
      <c r="B562" t="inlineStr">
        <is>
          <t>Q4</t>
        </is>
      </c>
      <c r="C562" t="inlineStr">
        <is>
          <t>South America</t>
        </is>
      </c>
      <c r="D562" t="inlineStr">
        <is>
          <t>Cybertruck</t>
        </is>
      </c>
      <c r="E562" t="n">
        <v>4284</v>
      </c>
      <c r="F562" t="n">
        <v>84059.2</v>
      </c>
      <c r="G562" t="n">
        <v>56</v>
      </c>
      <c r="H562" t="inlineStr">
        <is>
          <t>Long Range</t>
        </is>
      </c>
      <c r="I562" t="inlineStr">
        <is>
          <t>AWD</t>
        </is>
      </c>
      <c r="J562" t="inlineStr">
        <is>
          <t>White</t>
        </is>
      </c>
      <c r="K562" t="n">
        <v>566</v>
      </c>
      <c r="L562" t="n">
        <v>53</v>
      </c>
      <c r="M562" t="n">
        <v>20.93</v>
      </c>
      <c r="N562" t="n">
        <v>7106.03</v>
      </c>
      <c r="O562" t="n">
        <v>4.9</v>
      </c>
      <c r="P562" t="n">
        <v>4</v>
      </c>
      <c r="Q562" t="n">
        <v>3</v>
      </c>
      <c r="R562" t="n">
        <v>2020.4</v>
      </c>
      <c r="S562" t="b">
        <v>1</v>
      </c>
      <c r="T562" t="n">
        <v>220139</v>
      </c>
      <c r="U562" t="n">
        <v>4</v>
      </c>
      <c r="V562" t="n">
        <v>0.06710000000000001</v>
      </c>
      <c r="W562" t="n">
        <v>2.17</v>
      </c>
      <c r="X562" t="n">
        <v>67.13</v>
      </c>
      <c r="Y562">
        <f>VLOOKUP(D562,$AB$2:$AC$7,2,FALSE)</f>
        <v/>
      </c>
      <c r="Z562">
        <f>IF(A562&lt;Y562,"Yes","No")</f>
        <v/>
      </c>
    </row>
    <row r="563">
      <c r="A563" t="n">
        <v>2018</v>
      </c>
      <c r="B563" t="inlineStr">
        <is>
          <t>Q3</t>
        </is>
      </c>
      <c r="C563" t="inlineStr">
        <is>
          <t>North America</t>
        </is>
      </c>
      <c r="D563" t="inlineStr">
        <is>
          <t>Cybertruck</t>
        </is>
      </c>
      <c r="E563" t="n">
        <v>3988</v>
      </c>
      <c r="F563" t="n">
        <v>76126.81</v>
      </c>
      <c r="G563" t="n">
        <v>22</v>
      </c>
      <c r="H563" t="inlineStr">
        <is>
          <t>Standard</t>
        </is>
      </c>
      <c r="I563" t="inlineStr">
        <is>
          <t>RWD</t>
        </is>
      </c>
      <c r="J563" t="inlineStr">
        <is>
          <t>Blue</t>
        </is>
      </c>
      <c r="K563" t="n">
        <v>459</v>
      </c>
      <c r="L563" t="n">
        <v>59</v>
      </c>
      <c r="M563" t="n">
        <v>20.46</v>
      </c>
      <c r="N563" t="n">
        <v>6347.93</v>
      </c>
      <c r="O563" t="n">
        <v>3.68</v>
      </c>
      <c r="P563" t="n">
        <v>6</v>
      </c>
      <c r="Q563" t="n">
        <v>2</v>
      </c>
      <c r="R563" t="n">
        <v>2022.3</v>
      </c>
      <c r="S563" t="b">
        <v>0</v>
      </c>
      <c r="T563" t="n">
        <v>2960372</v>
      </c>
      <c r="U563" t="n">
        <v>9</v>
      </c>
      <c r="V563" t="n">
        <v>0.0795</v>
      </c>
      <c r="W563" t="n">
        <v>1.41</v>
      </c>
      <c r="X563" t="n">
        <v>62.9</v>
      </c>
      <c r="Y563">
        <f>VLOOKUP(D563,$AB$2:$AC$7,2,FALSE)</f>
        <v/>
      </c>
      <c r="Z563">
        <f>IF(A563&lt;Y563,"Yes","No")</f>
        <v/>
      </c>
    </row>
    <row r="564">
      <c r="A564" t="n">
        <v>2017</v>
      </c>
      <c r="B564" t="inlineStr">
        <is>
          <t>Q3</t>
        </is>
      </c>
      <c r="C564" t="inlineStr">
        <is>
          <t>North America</t>
        </is>
      </c>
      <c r="D564" t="inlineStr">
        <is>
          <t>Model X</t>
        </is>
      </c>
      <c r="E564" t="n">
        <v>3544</v>
      </c>
      <c r="F564" t="n">
        <v>89594.88</v>
      </c>
      <c r="G564" t="n">
        <v>34</v>
      </c>
      <c r="H564" t="inlineStr">
        <is>
          <t>Standard</t>
        </is>
      </c>
      <c r="I564" t="inlineStr">
        <is>
          <t>AWD</t>
        </is>
      </c>
      <c r="J564" t="inlineStr">
        <is>
          <t>Black</t>
        </is>
      </c>
      <c r="K564" t="n">
        <v>584</v>
      </c>
      <c r="L564" t="n">
        <v>83</v>
      </c>
      <c r="M564" t="n">
        <v>14.33</v>
      </c>
      <c r="N564" t="n">
        <v>5673.69</v>
      </c>
      <c r="O564" t="n">
        <v>3.94</v>
      </c>
      <c r="P564" t="n">
        <v>6</v>
      </c>
      <c r="Q564" t="n">
        <v>2</v>
      </c>
      <c r="R564" t="n">
        <v>2023.7</v>
      </c>
      <c r="S564" t="b">
        <v>1</v>
      </c>
      <c r="T564" t="n">
        <v>4333929</v>
      </c>
      <c r="U564" t="n">
        <v>4</v>
      </c>
      <c r="V564" t="n">
        <v>0.0458</v>
      </c>
      <c r="W564" t="n">
        <v>2.38</v>
      </c>
      <c r="X564" t="n">
        <v>89.95999999999999</v>
      </c>
      <c r="Y564">
        <f>VLOOKUP(D564,$AB$2:$AC$7,2,FALSE)</f>
        <v/>
      </c>
      <c r="Z564">
        <f>IF(A564&lt;Y564,"Yes","No")</f>
        <v/>
      </c>
    </row>
    <row r="565">
      <c r="A565" t="n">
        <v>2015</v>
      </c>
      <c r="B565" t="inlineStr">
        <is>
          <t>Q2</t>
        </is>
      </c>
      <c r="C565" t="inlineStr">
        <is>
          <t>Europe</t>
        </is>
      </c>
      <c r="D565" t="inlineStr">
        <is>
          <t>Model S</t>
        </is>
      </c>
      <c r="E565" t="n">
        <v>1677</v>
      </c>
      <c r="F565" t="n">
        <v>97340.05</v>
      </c>
      <c r="G565" t="n">
        <v>22</v>
      </c>
      <c r="H565" t="inlineStr">
        <is>
          <t>Performance</t>
        </is>
      </c>
      <c r="I565" t="inlineStr">
        <is>
          <t>AWD</t>
        </is>
      </c>
      <c r="J565" t="inlineStr">
        <is>
          <t>Silver</t>
        </is>
      </c>
      <c r="K565" t="n">
        <v>621</v>
      </c>
      <c r="L565" t="n">
        <v>63</v>
      </c>
      <c r="M565" t="n">
        <v>13.56</v>
      </c>
      <c r="N565" t="n">
        <v>2626.71</v>
      </c>
      <c r="O565" t="n">
        <v>4.31</v>
      </c>
      <c r="P565" t="n">
        <v>5</v>
      </c>
      <c r="Q565" t="n">
        <v>2</v>
      </c>
      <c r="R565" t="n">
        <v>2021.2</v>
      </c>
      <c r="S565" t="b">
        <v>1</v>
      </c>
      <c r="T565" t="n">
        <v>1997985</v>
      </c>
      <c r="U565" t="n">
        <v>4</v>
      </c>
      <c r="V565" t="n">
        <v>0.0587</v>
      </c>
      <c r="W565" t="n">
        <v>2.41</v>
      </c>
      <c r="X565" t="n">
        <v>72.72</v>
      </c>
      <c r="Y565">
        <f>VLOOKUP(D565,$AB$2:$AC$7,2,FALSE)</f>
        <v/>
      </c>
      <c r="Z565">
        <f>IF(A565&lt;Y565,"Yes","No")</f>
        <v/>
      </c>
    </row>
    <row r="566">
      <c r="A566" t="n">
        <v>2015</v>
      </c>
      <c r="B566" t="inlineStr">
        <is>
          <t>Q3</t>
        </is>
      </c>
      <c r="C566" t="inlineStr">
        <is>
          <t>North America</t>
        </is>
      </c>
      <c r="D566" t="inlineStr">
        <is>
          <t>Model Y</t>
        </is>
      </c>
      <c r="E566" t="n">
        <v>2478</v>
      </c>
      <c r="F566" t="n">
        <v>68130.64999999999</v>
      </c>
      <c r="G566" t="n">
        <v>33</v>
      </c>
      <c r="H566" t="inlineStr">
        <is>
          <t>Long Range</t>
        </is>
      </c>
      <c r="I566" t="inlineStr">
        <is>
          <t>RWD</t>
        </is>
      </c>
      <c r="J566" t="inlineStr">
        <is>
          <t>Blue</t>
        </is>
      </c>
      <c r="K566" t="n">
        <v>514</v>
      </c>
      <c r="L566" t="n">
        <v>38</v>
      </c>
      <c r="M566" t="n">
        <v>21.66</v>
      </c>
      <c r="N566" t="n">
        <v>2725.77</v>
      </c>
      <c r="O566" t="n">
        <v>3.61</v>
      </c>
      <c r="P566" t="n">
        <v>6</v>
      </c>
      <c r="Q566" t="n">
        <v>1</v>
      </c>
      <c r="R566" t="n">
        <v>2024.1</v>
      </c>
      <c r="S566" t="b">
        <v>1</v>
      </c>
      <c r="T566" t="n">
        <v>596792</v>
      </c>
      <c r="U566" t="n">
        <v>8</v>
      </c>
      <c r="V566" t="n">
        <v>0.0226</v>
      </c>
      <c r="W566" t="n">
        <v>1.46</v>
      </c>
      <c r="X566" t="n">
        <v>64.81</v>
      </c>
      <c r="Y566">
        <f>VLOOKUP(D566,$AB$2:$AC$7,2,FALSE)</f>
        <v/>
      </c>
      <c r="Z566">
        <f>IF(A566&lt;Y566,"Yes","No")</f>
        <v/>
      </c>
    </row>
    <row r="567">
      <c r="A567" t="n">
        <v>2024</v>
      </c>
      <c r="B567" t="inlineStr">
        <is>
          <t>Q2</t>
        </is>
      </c>
      <c r="C567" t="inlineStr">
        <is>
          <t>Australia</t>
        </is>
      </c>
      <c r="D567" t="inlineStr">
        <is>
          <t>Model 3</t>
        </is>
      </c>
      <c r="E567" t="n">
        <v>3482</v>
      </c>
      <c r="F567" t="n">
        <v>68234.97</v>
      </c>
      <c r="G567" t="n">
        <v>12</v>
      </c>
      <c r="H567" t="inlineStr">
        <is>
          <t>Standard</t>
        </is>
      </c>
      <c r="I567" t="inlineStr">
        <is>
          <t>RWD</t>
        </is>
      </c>
      <c r="J567" t="inlineStr">
        <is>
          <t>Red</t>
        </is>
      </c>
      <c r="K567" t="n">
        <v>465</v>
      </c>
      <c r="L567" t="n">
        <v>90</v>
      </c>
      <c r="M567" t="n">
        <v>16.31</v>
      </c>
      <c r="N567" t="n">
        <v>7957.33</v>
      </c>
      <c r="O567" t="n">
        <v>3.69</v>
      </c>
      <c r="P567" t="n">
        <v>5</v>
      </c>
      <c r="Q567" t="n">
        <v>1</v>
      </c>
      <c r="R567" t="n">
        <v>2023.3</v>
      </c>
      <c r="S567" t="b">
        <v>0</v>
      </c>
      <c r="T567" t="n">
        <v>2847012</v>
      </c>
      <c r="U567" t="n">
        <v>2</v>
      </c>
      <c r="V567" t="n">
        <v>0.0673</v>
      </c>
      <c r="W567" t="n">
        <v>1.54</v>
      </c>
      <c r="X567" t="n">
        <v>75.73</v>
      </c>
      <c r="Y567">
        <f>VLOOKUP(D567,$AB$2:$AC$7,2,FALSE)</f>
        <v/>
      </c>
      <c r="Z567">
        <f>IF(A567&lt;Y567,"Yes","No")</f>
        <v/>
      </c>
    </row>
    <row r="568">
      <c r="A568" t="n">
        <v>2024</v>
      </c>
      <c r="B568" t="inlineStr">
        <is>
          <t>Q4</t>
        </is>
      </c>
      <c r="C568" t="inlineStr">
        <is>
          <t>Europe</t>
        </is>
      </c>
      <c r="D568" t="inlineStr">
        <is>
          <t>Semi</t>
        </is>
      </c>
      <c r="E568" t="n">
        <v>3640</v>
      </c>
      <c r="F568" t="n">
        <v>60399.89</v>
      </c>
      <c r="G568" t="n">
        <v>7</v>
      </c>
      <c r="H568" t="inlineStr">
        <is>
          <t>Performance</t>
        </is>
      </c>
      <c r="I568" t="inlineStr">
        <is>
          <t>RWD</t>
        </is>
      </c>
      <c r="J568" t="inlineStr">
        <is>
          <t>Black</t>
        </is>
      </c>
      <c r="K568" t="n">
        <v>386</v>
      </c>
      <c r="L568" t="n">
        <v>86</v>
      </c>
      <c r="M568" t="n">
        <v>24.75</v>
      </c>
      <c r="N568" t="n">
        <v>8448.48</v>
      </c>
      <c r="O568" t="n">
        <v>4.01</v>
      </c>
      <c r="P568" t="n">
        <v>6</v>
      </c>
      <c r="Q568" t="n">
        <v>0</v>
      </c>
      <c r="R568" t="n">
        <v>2023.5</v>
      </c>
      <c r="S568" t="b">
        <v>1</v>
      </c>
      <c r="T568" t="n">
        <v>4013501</v>
      </c>
      <c r="U568" t="n">
        <v>8</v>
      </c>
      <c r="V568" t="n">
        <v>0.0626</v>
      </c>
      <c r="W568" t="n">
        <v>2.25</v>
      </c>
      <c r="X568" t="n">
        <v>80.73999999999999</v>
      </c>
      <c r="Y568">
        <f>VLOOKUP(D568,$AB$2:$AC$7,2,FALSE)</f>
        <v/>
      </c>
      <c r="Z568">
        <f>IF(A568&lt;Y568,"Yes","No")</f>
        <v/>
      </c>
    </row>
    <row r="569">
      <c r="A569" t="n">
        <v>2024</v>
      </c>
      <c r="B569" t="inlineStr">
        <is>
          <t>Q4</t>
        </is>
      </c>
      <c r="C569" t="inlineStr">
        <is>
          <t>Asia</t>
        </is>
      </c>
      <c r="D569" t="inlineStr">
        <is>
          <t>Model 3</t>
        </is>
      </c>
      <c r="E569" t="n">
        <v>4333</v>
      </c>
      <c r="F569" t="n">
        <v>43759.26</v>
      </c>
      <c r="G569" t="n">
        <v>46</v>
      </c>
      <c r="H569" t="inlineStr">
        <is>
          <t>Performance</t>
        </is>
      </c>
      <c r="I569" t="inlineStr">
        <is>
          <t>RWD</t>
        </is>
      </c>
      <c r="J569" t="inlineStr">
        <is>
          <t>Black</t>
        </is>
      </c>
      <c r="K569" t="n">
        <v>690</v>
      </c>
      <c r="L569" t="n">
        <v>61</v>
      </c>
      <c r="M569" t="n">
        <v>23.04</v>
      </c>
      <c r="N569" t="n">
        <v>10513.98</v>
      </c>
      <c r="O569" t="n">
        <v>4.13</v>
      </c>
      <c r="P569" t="n">
        <v>4</v>
      </c>
      <c r="Q569" t="n">
        <v>2</v>
      </c>
      <c r="R569" t="n">
        <v>2022.5</v>
      </c>
      <c r="S569" t="b">
        <v>0</v>
      </c>
      <c r="T569" t="n">
        <v>3620240</v>
      </c>
      <c r="U569" t="n">
        <v>12</v>
      </c>
      <c r="V569" t="n">
        <v>0.0853</v>
      </c>
      <c r="W569" t="n">
        <v>2.47</v>
      </c>
      <c r="X569" t="n">
        <v>62.49</v>
      </c>
      <c r="Y569">
        <f>VLOOKUP(D569,$AB$2:$AC$7,2,FALSE)</f>
        <v/>
      </c>
      <c r="Z569">
        <f>IF(A569&lt;Y569,"Yes","No")</f>
        <v/>
      </c>
    </row>
    <row r="570">
      <c r="A570" t="n">
        <v>2013</v>
      </c>
      <c r="B570" t="inlineStr">
        <is>
          <t>Q4</t>
        </is>
      </c>
      <c r="C570" t="inlineStr">
        <is>
          <t>Europe</t>
        </is>
      </c>
      <c r="D570" t="inlineStr">
        <is>
          <t>Cybertruck</t>
        </is>
      </c>
      <c r="E570" t="n">
        <v>4104</v>
      </c>
      <c r="F570" t="n">
        <v>53817.99</v>
      </c>
      <c r="G570" t="n">
        <v>27</v>
      </c>
      <c r="H570" t="inlineStr">
        <is>
          <t>Performance</t>
        </is>
      </c>
      <c r="I570" t="inlineStr">
        <is>
          <t>RWD</t>
        </is>
      </c>
      <c r="J570" t="inlineStr">
        <is>
          <t>Red</t>
        </is>
      </c>
      <c r="K570" t="n">
        <v>599</v>
      </c>
      <c r="L570" t="n">
        <v>65</v>
      </c>
      <c r="M570" t="n">
        <v>20.28</v>
      </c>
      <c r="N570" t="n">
        <v>6694.61</v>
      </c>
      <c r="O570" t="n">
        <v>4.41</v>
      </c>
      <c r="P570" t="n">
        <v>8</v>
      </c>
      <c r="Q570" t="n">
        <v>0</v>
      </c>
      <c r="R570" t="n">
        <v>2024.2</v>
      </c>
      <c r="S570" t="b">
        <v>1</v>
      </c>
      <c r="T570" t="n">
        <v>4928696</v>
      </c>
      <c r="U570" t="n">
        <v>3</v>
      </c>
      <c r="V570" t="n">
        <v>0.0206</v>
      </c>
      <c r="W570" t="n">
        <v>2.03</v>
      </c>
      <c r="X570" t="n">
        <v>70.81999999999999</v>
      </c>
      <c r="Y570">
        <f>VLOOKUP(D570,$AB$2:$AC$7,2,FALSE)</f>
        <v/>
      </c>
      <c r="Z570">
        <f>IF(A570&lt;Y570,"Yes","No")</f>
        <v/>
      </c>
    </row>
    <row r="571">
      <c r="A571" t="n">
        <v>2022</v>
      </c>
      <c r="B571" t="inlineStr">
        <is>
          <t>Q4</t>
        </is>
      </c>
      <c r="C571" t="inlineStr">
        <is>
          <t>Australia</t>
        </is>
      </c>
      <c r="D571" t="inlineStr">
        <is>
          <t>Semi</t>
        </is>
      </c>
      <c r="E571" t="n">
        <v>376</v>
      </c>
      <c r="F571" t="n">
        <v>64520.88</v>
      </c>
      <c r="G571" t="n">
        <v>50</v>
      </c>
      <c r="H571" t="inlineStr">
        <is>
          <t>Long Range</t>
        </is>
      </c>
      <c r="I571" t="inlineStr">
        <is>
          <t>RWD</t>
        </is>
      </c>
      <c r="J571" t="inlineStr">
        <is>
          <t>Silver</t>
        </is>
      </c>
      <c r="K571" t="n">
        <v>617</v>
      </c>
      <c r="L571" t="n">
        <v>32</v>
      </c>
      <c r="M571" t="n">
        <v>24.28</v>
      </c>
      <c r="N571" t="n">
        <v>799.5</v>
      </c>
      <c r="O571" t="n">
        <v>4.44</v>
      </c>
      <c r="P571" t="n">
        <v>8</v>
      </c>
      <c r="Q571" t="n">
        <v>0</v>
      </c>
      <c r="R571" t="n">
        <v>2021.1</v>
      </c>
      <c r="S571" t="b">
        <v>1</v>
      </c>
      <c r="T571" t="n">
        <v>302538</v>
      </c>
      <c r="U571" t="n">
        <v>12</v>
      </c>
      <c r="V571" t="n">
        <v>0.0951</v>
      </c>
      <c r="W571" t="n">
        <v>0.7</v>
      </c>
      <c r="X571" t="n">
        <v>87.62</v>
      </c>
      <c r="Y571">
        <f>VLOOKUP(D571,$AB$2:$AC$7,2,FALSE)</f>
        <v/>
      </c>
      <c r="Z571">
        <f>IF(A571&lt;Y571,"Yes","No")</f>
        <v/>
      </c>
    </row>
    <row r="572">
      <c r="A572" t="n">
        <v>2024</v>
      </c>
      <c r="B572" t="inlineStr">
        <is>
          <t>Q1</t>
        </is>
      </c>
      <c r="C572" t="inlineStr">
        <is>
          <t>Australia</t>
        </is>
      </c>
      <c r="D572" t="inlineStr">
        <is>
          <t>Model X</t>
        </is>
      </c>
      <c r="E572" t="n">
        <v>2987</v>
      </c>
      <c r="F572" t="n">
        <v>104561.32</v>
      </c>
      <c r="G572" t="n">
        <v>22</v>
      </c>
      <c r="H572" t="inlineStr">
        <is>
          <t>Long Range</t>
        </is>
      </c>
      <c r="I572" t="inlineStr">
        <is>
          <t>AWD</t>
        </is>
      </c>
      <c r="J572" t="inlineStr">
        <is>
          <t>White</t>
        </is>
      </c>
      <c r="K572" t="n">
        <v>578</v>
      </c>
      <c r="L572" t="n">
        <v>80</v>
      </c>
      <c r="M572" t="n">
        <v>13.57</v>
      </c>
      <c r="N572" t="n">
        <v>4230.81</v>
      </c>
      <c r="O572" t="n">
        <v>4.99</v>
      </c>
      <c r="P572" t="n">
        <v>6</v>
      </c>
      <c r="Q572" t="n">
        <v>1</v>
      </c>
      <c r="R572" t="n">
        <v>2021.9</v>
      </c>
      <c r="S572" t="b">
        <v>0</v>
      </c>
      <c r="T572" t="n">
        <v>3466523</v>
      </c>
      <c r="U572" t="n">
        <v>7</v>
      </c>
      <c r="V572" t="n">
        <v>0.0803</v>
      </c>
      <c r="W572" t="n">
        <v>0.84</v>
      </c>
      <c r="X572" t="n">
        <v>75</v>
      </c>
      <c r="Y572">
        <f>VLOOKUP(D572,$AB$2:$AC$7,2,FALSE)</f>
        <v/>
      </c>
      <c r="Z572">
        <f>IF(A572&lt;Y572,"Yes","No")</f>
        <v/>
      </c>
    </row>
    <row r="573">
      <c r="A573" t="n">
        <v>2013</v>
      </c>
      <c r="B573" t="inlineStr">
        <is>
          <t>Q3</t>
        </is>
      </c>
      <c r="C573" t="inlineStr">
        <is>
          <t>Asia</t>
        </is>
      </c>
      <c r="D573" t="inlineStr">
        <is>
          <t>Cybertruck</t>
        </is>
      </c>
      <c r="E573" t="n">
        <v>4459</v>
      </c>
      <c r="F573" t="n">
        <v>97888.03999999999</v>
      </c>
      <c r="G573" t="n">
        <v>53</v>
      </c>
      <c r="H573" t="inlineStr">
        <is>
          <t>Standard</t>
        </is>
      </c>
      <c r="I573" t="inlineStr">
        <is>
          <t>RWD</t>
        </is>
      </c>
      <c r="J573" t="inlineStr">
        <is>
          <t>White</t>
        </is>
      </c>
      <c r="K573" t="n">
        <v>401</v>
      </c>
      <c r="L573" t="n">
        <v>88</v>
      </c>
      <c r="M573" t="n">
        <v>21.66</v>
      </c>
      <c r="N573" t="n">
        <v>7932.13</v>
      </c>
      <c r="O573" t="n">
        <v>3.97</v>
      </c>
      <c r="P573" t="n">
        <v>8</v>
      </c>
      <c r="Q573" t="n">
        <v>1</v>
      </c>
      <c r="R573" t="n">
        <v>2023.4</v>
      </c>
      <c r="S573" t="b">
        <v>0</v>
      </c>
      <c r="T573" t="n">
        <v>4172171</v>
      </c>
      <c r="U573" t="n">
        <v>7</v>
      </c>
      <c r="V573" t="n">
        <v>0.0403</v>
      </c>
      <c r="W573" t="n">
        <v>1.38</v>
      </c>
      <c r="X573" t="n">
        <v>70.84</v>
      </c>
      <c r="Y573">
        <f>VLOOKUP(D573,$AB$2:$AC$7,2,FALSE)</f>
        <v/>
      </c>
      <c r="Z573">
        <f>IF(A573&lt;Y573,"Yes","No")</f>
        <v/>
      </c>
    </row>
    <row r="574">
      <c r="A574" t="n">
        <v>2014</v>
      </c>
      <c r="B574" t="inlineStr">
        <is>
          <t>Q2</t>
        </is>
      </c>
      <c r="C574" t="inlineStr">
        <is>
          <t>Asia</t>
        </is>
      </c>
      <c r="D574" t="inlineStr">
        <is>
          <t>Model S</t>
        </is>
      </c>
      <c r="E574" t="n">
        <v>963</v>
      </c>
      <c r="F574" t="n">
        <v>51132.13</v>
      </c>
      <c r="G574" t="n">
        <v>19</v>
      </c>
      <c r="H574" t="inlineStr">
        <is>
          <t>Performance</t>
        </is>
      </c>
      <c r="I574" t="inlineStr">
        <is>
          <t>RWD</t>
        </is>
      </c>
      <c r="J574" t="inlineStr">
        <is>
          <t>Silver</t>
        </is>
      </c>
      <c r="K574" t="n">
        <v>625</v>
      </c>
      <c r="L574" t="n">
        <v>41</v>
      </c>
      <c r="M574" t="n">
        <v>17.78</v>
      </c>
      <c r="N574" t="n">
        <v>1821.3</v>
      </c>
      <c r="O574" t="n">
        <v>3.8</v>
      </c>
      <c r="P574" t="n">
        <v>4</v>
      </c>
      <c r="Q574" t="n">
        <v>3</v>
      </c>
      <c r="R574" t="n">
        <v>2022.3</v>
      </c>
      <c r="S574" t="b">
        <v>0</v>
      </c>
      <c r="T574" t="n">
        <v>4569683</v>
      </c>
      <c r="U574" t="n">
        <v>7</v>
      </c>
      <c r="V574" t="n">
        <v>0.0457</v>
      </c>
      <c r="W574" t="n">
        <v>2.34</v>
      </c>
      <c r="X574" t="n">
        <v>63.11</v>
      </c>
      <c r="Y574">
        <f>VLOOKUP(D574,$AB$2:$AC$7,2,FALSE)</f>
        <v/>
      </c>
      <c r="Z574">
        <f>IF(A574&lt;Y574,"Yes","No")</f>
        <v/>
      </c>
    </row>
    <row r="575">
      <c r="A575" t="n">
        <v>2023</v>
      </c>
      <c r="B575" t="inlineStr">
        <is>
          <t>Q3</t>
        </is>
      </c>
      <c r="C575" t="inlineStr">
        <is>
          <t>South America</t>
        </is>
      </c>
      <c r="D575" t="inlineStr">
        <is>
          <t>Cybertruck</t>
        </is>
      </c>
      <c r="E575" t="n">
        <v>723</v>
      </c>
      <c r="F575" t="n">
        <v>62526.09</v>
      </c>
      <c r="G575" t="n">
        <v>14</v>
      </c>
      <c r="H575" t="inlineStr">
        <is>
          <t>Long Range</t>
        </is>
      </c>
      <c r="I575" t="inlineStr">
        <is>
          <t>AWD</t>
        </is>
      </c>
      <c r="J575" t="inlineStr">
        <is>
          <t>Black</t>
        </is>
      </c>
      <c r="K575" t="n">
        <v>630</v>
      </c>
      <c r="L575" t="n">
        <v>39</v>
      </c>
      <c r="M575" t="n">
        <v>21.01</v>
      </c>
      <c r="N575" t="n">
        <v>757.4</v>
      </c>
      <c r="O575" t="n">
        <v>4.24</v>
      </c>
      <c r="P575" t="n">
        <v>5</v>
      </c>
      <c r="Q575" t="n">
        <v>1</v>
      </c>
      <c r="R575" t="n">
        <v>2021.8</v>
      </c>
      <c r="S575" t="b">
        <v>1</v>
      </c>
      <c r="T575" t="n">
        <v>1319508</v>
      </c>
      <c r="U575" t="n">
        <v>2</v>
      </c>
      <c r="V575" t="n">
        <v>0.0367</v>
      </c>
      <c r="W575" t="n">
        <v>2.43</v>
      </c>
      <c r="X575" t="n">
        <v>85.73</v>
      </c>
      <c r="Y575">
        <f>VLOOKUP(D575,$AB$2:$AC$7,2,FALSE)</f>
        <v/>
      </c>
      <c r="Z575">
        <f>IF(A575&lt;Y575,"Yes","No")</f>
        <v/>
      </c>
    </row>
    <row r="576">
      <c r="A576" t="n">
        <v>2019</v>
      </c>
      <c r="B576" t="inlineStr">
        <is>
          <t>Q4</t>
        </is>
      </c>
      <c r="C576" t="inlineStr">
        <is>
          <t>Australia</t>
        </is>
      </c>
      <c r="D576" t="inlineStr">
        <is>
          <t>Cybertruck</t>
        </is>
      </c>
      <c r="E576" t="n">
        <v>4565</v>
      </c>
      <c r="F576" t="n">
        <v>119861.67</v>
      </c>
      <c r="G576" t="n">
        <v>12</v>
      </c>
      <c r="H576" t="inlineStr">
        <is>
          <t>Long Range</t>
        </is>
      </c>
      <c r="I576" t="inlineStr">
        <is>
          <t>AWD</t>
        </is>
      </c>
      <c r="J576" t="inlineStr">
        <is>
          <t>Silver</t>
        </is>
      </c>
      <c r="K576" t="n">
        <v>647</v>
      </c>
      <c r="L576" t="n">
        <v>55</v>
      </c>
      <c r="M576" t="n">
        <v>20.53</v>
      </c>
      <c r="N576" t="n">
        <v>10395.46</v>
      </c>
      <c r="O576" t="n">
        <v>4.97</v>
      </c>
      <c r="P576" t="n">
        <v>6</v>
      </c>
      <c r="Q576" t="n">
        <v>2</v>
      </c>
      <c r="R576" t="n">
        <v>2022.7</v>
      </c>
      <c r="S576" t="b">
        <v>0</v>
      </c>
      <c r="T576" t="n">
        <v>3157769</v>
      </c>
      <c r="U576" t="n">
        <v>5</v>
      </c>
      <c r="V576" t="n">
        <v>0.0388</v>
      </c>
      <c r="W576" t="n">
        <v>1.21</v>
      </c>
      <c r="X576" t="n">
        <v>88.73999999999999</v>
      </c>
      <c r="Y576">
        <f>VLOOKUP(D576,$AB$2:$AC$7,2,FALSE)</f>
        <v/>
      </c>
      <c r="Z576">
        <f>IF(A576&lt;Y576,"Yes","No")</f>
        <v/>
      </c>
    </row>
    <row r="577">
      <c r="A577" t="n">
        <v>2014</v>
      </c>
      <c r="B577" t="inlineStr">
        <is>
          <t>Q3</t>
        </is>
      </c>
      <c r="C577" t="inlineStr">
        <is>
          <t>Europe</t>
        </is>
      </c>
      <c r="D577" t="inlineStr">
        <is>
          <t>Cybertruck</t>
        </is>
      </c>
      <c r="E577" t="n">
        <v>4792</v>
      </c>
      <c r="F577" t="n">
        <v>45945</v>
      </c>
      <c r="G577" t="n">
        <v>58</v>
      </c>
      <c r="H577" t="inlineStr">
        <is>
          <t>Performance</t>
        </is>
      </c>
      <c r="I577" t="inlineStr">
        <is>
          <t>RWD</t>
        </is>
      </c>
      <c r="J577" t="inlineStr">
        <is>
          <t>Silver</t>
        </is>
      </c>
      <c r="K577" t="n">
        <v>510</v>
      </c>
      <c r="L577" t="n">
        <v>36</v>
      </c>
      <c r="M577" t="n">
        <v>22.69</v>
      </c>
      <c r="N577" t="n">
        <v>8185.61</v>
      </c>
      <c r="O577" t="n">
        <v>4.58</v>
      </c>
      <c r="P577" t="n">
        <v>5</v>
      </c>
      <c r="Q577" t="n">
        <v>3</v>
      </c>
      <c r="R577" t="n">
        <v>2022.1</v>
      </c>
      <c r="S577" t="b">
        <v>1</v>
      </c>
      <c r="T577" t="n">
        <v>3960763</v>
      </c>
      <c r="U577" t="n">
        <v>11</v>
      </c>
      <c r="V577" t="n">
        <v>0.0494</v>
      </c>
      <c r="W577" t="n">
        <v>1.68</v>
      </c>
      <c r="X577" t="n">
        <v>61.94</v>
      </c>
      <c r="Y577">
        <f>VLOOKUP(D577,$AB$2:$AC$7,2,FALSE)</f>
        <v/>
      </c>
      <c r="Z577">
        <f>IF(A577&lt;Y577,"Yes","No")</f>
        <v/>
      </c>
    </row>
    <row r="578">
      <c r="A578" t="n">
        <v>2014</v>
      </c>
      <c r="B578" t="inlineStr">
        <is>
          <t>Q1</t>
        </is>
      </c>
      <c r="C578" t="inlineStr">
        <is>
          <t>South America</t>
        </is>
      </c>
      <c r="D578" t="inlineStr">
        <is>
          <t>Model Y</t>
        </is>
      </c>
      <c r="E578" t="n">
        <v>4629</v>
      </c>
      <c r="F578" t="n">
        <v>90273.59</v>
      </c>
      <c r="G578" t="n">
        <v>57</v>
      </c>
      <c r="H578" t="inlineStr">
        <is>
          <t>Long Range</t>
        </is>
      </c>
      <c r="I578" t="inlineStr">
        <is>
          <t>RWD</t>
        </is>
      </c>
      <c r="J578" t="inlineStr">
        <is>
          <t>Green</t>
        </is>
      </c>
      <c r="K578" t="n">
        <v>425</v>
      </c>
      <c r="L578" t="n">
        <v>34</v>
      </c>
      <c r="M578" t="n">
        <v>21.18</v>
      </c>
      <c r="N578" t="n">
        <v>2920.09</v>
      </c>
      <c r="O578" t="n">
        <v>4.58</v>
      </c>
      <c r="P578" t="n">
        <v>6</v>
      </c>
      <c r="Q578" t="n">
        <v>0</v>
      </c>
      <c r="R578" t="n">
        <v>2024.8</v>
      </c>
      <c r="S578" t="b">
        <v>0</v>
      </c>
      <c r="T578" t="n">
        <v>1218677</v>
      </c>
      <c r="U578" t="n">
        <v>8</v>
      </c>
      <c r="V578" t="n">
        <v>0.0294</v>
      </c>
      <c r="W578" t="n">
        <v>1.4</v>
      </c>
      <c r="X578" t="n">
        <v>76.15000000000001</v>
      </c>
      <c r="Y578">
        <f>VLOOKUP(D578,$AB$2:$AC$7,2,FALSE)</f>
        <v/>
      </c>
      <c r="Z578">
        <f>IF(A578&lt;Y578,"Yes","No")</f>
        <v/>
      </c>
    </row>
    <row r="579">
      <c r="A579" t="n">
        <v>2022</v>
      </c>
      <c r="B579" t="inlineStr">
        <is>
          <t>Q3</t>
        </is>
      </c>
      <c r="C579" t="inlineStr">
        <is>
          <t>Asia</t>
        </is>
      </c>
      <c r="D579" t="inlineStr">
        <is>
          <t>Model 3</t>
        </is>
      </c>
      <c r="E579" t="n">
        <v>4718</v>
      </c>
      <c r="F579" t="n">
        <v>102865.39</v>
      </c>
      <c r="G579" t="n">
        <v>32</v>
      </c>
      <c r="H579" t="inlineStr">
        <is>
          <t>Long Range</t>
        </is>
      </c>
      <c r="I579" t="inlineStr">
        <is>
          <t>AWD</t>
        </is>
      </c>
      <c r="J579" t="inlineStr">
        <is>
          <t>Silver</t>
        </is>
      </c>
      <c r="K579" t="n">
        <v>698</v>
      </c>
      <c r="L579" t="n">
        <v>67</v>
      </c>
      <c r="M579" t="n">
        <v>16.77</v>
      </c>
      <c r="N579" t="n">
        <v>2422.93</v>
      </c>
      <c r="O579" t="n">
        <v>4.41</v>
      </c>
      <c r="P579" t="n">
        <v>6</v>
      </c>
      <c r="Q579" t="n">
        <v>0</v>
      </c>
      <c r="R579" t="n">
        <v>2020.1</v>
      </c>
      <c r="S579" t="b">
        <v>1</v>
      </c>
      <c r="T579" t="n">
        <v>4544049</v>
      </c>
      <c r="U579" t="n">
        <v>8</v>
      </c>
      <c r="V579" t="n">
        <v>0.0757</v>
      </c>
      <c r="W579" t="n">
        <v>1.97</v>
      </c>
      <c r="X579" t="n">
        <v>67.45999999999999</v>
      </c>
      <c r="Y579">
        <f>VLOOKUP(D579,$AB$2:$AC$7,2,FALSE)</f>
        <v/>
      </c>
      <c r="Z579">
        <f>IF(A579&lt;Y579,"Yes","No")</f>
        <v/>
      </c>
    </row>
    <row r="580">
      <c r="A580" t="n">
        <v>2021</v>
      </c>
      <c r="B580" t="inlineStr">
        <is>
          <t>Q2</t>
        </is>
      </c>
      <c r="C580" t="inlineStr">
        <is>
          <t>Europe</t>
        </is>
      </c>
      <c r="D580" t="inlineStr">
        <is>
          <t>Model S</t>
        </is>
      </c>
      <c r="E580" t="n">
        <v>4104</v>
      </c>
      <c r="F580" t="n">
        <v>96936.71000000001</v>
      </c>
      <c r="G580" t="n">
        <v>21</v>
      </c>
      <c r="H580" t="inlineStr">
        <is>
          <t>Standard</t>
        </is>
      </c>
      <c r="I580" t="inlineStr">
        <is>
          <t>AWD</t>
        </is>
      </c>
      <c r="J580" t="inlineStr">
        <is>
          <t>Blue</t>
        </is>
      </c>
      <c r="K580" t="n">
        <v>643</v>
      </c>
      <c r="L580" t="n">
        <v>74</v>
      </c>
      <c r="M580" t="n">
        <v>24.39</v>
      </c>
      <c r="N580" t="n">
        <v>5232.2</v>
      </c>
      <c r="O580" t="n">
        <v>4.11</v>
      </c>
      <c r="P580" t="n">
        <v>8</v>
      </c>
      <c r="Q580" t="n">
        <v>1</v>
      </c>
      <c r="R580" t="n">
        <v>2022.3</v>
      </c>
      <c r="S580" t="b">
        <v>1</v>
      </c>
      <c r="T580" t="n">
        <v>2710496</v>
      </c>
      <c r="U580" t="n">
        <v>7</v>
      </c>
      <c r="V580" t="n">
        <v>0.026</v>
      </c>
      <c r="W580" t="n">
        <v>1.36</v>
      </c>
      <c r="X580" t="n">
        <v>67.56</v>
      </c>
      <c r="Y580">
        <f>VLOOKUP(D580,$AB$2:$AC$7,2,FALSE)</f>
        <v/>
      </c>
      <c r="Z580">
        <f>IF(A580&lt;Y580,"Yes","No")</f>
        <v/>
      </c>
    </row>
    <row r="581">
      <c r="A581" t="n">
        <v>2013</v>
      </c>
      <c r="B581" t="inlineStr">
        <is>
          <t>Q2</t>
        </is>
      </c>
      <c r="C581" t="inlineStr">
        <is>
          <t>Asia</t>
        </is>
      </c>
      <c r="D581" t="inlineStr">
        <is>
          <t>Model Y</t>
        </is>
      </c>
      <c r="E581" t="n">
        <v>1693</v>
      </c>
      <c r="F581" t="n">
        <v>54264.42</v>
      </c>
      <c r="G581" t="n">
        <v>41</v>
      </c>
      <c r="H581" t="inlineStr">
        <is>
          <t>Performance</t>
        </is>
      </c>
      <c r="I581" t="inlineStr">
        <is>
          <t>AWD</t>
        </is>
      </c>
      <c r="J581" t="inlineStr">
        <is>
          <t>White</t>
        </is>
      </c>
      <c r="K581" t="n">
        <v>581</v>
      </c>
      <c r="L581" t="n">
        <v>78</v>
      </c>
      <c r="M581" t="n">
        <v>14.13</v>
      </c>
      <c r="N581" t="n">
        <v>1719.3</v>
      </c>
      <c r="O581" t="n">
        <v>4.82</v>
      </c>
      <c r="P581" t="n">
        <v>4</v>
      </c>
      <c r="Q581" t="n">
        <v>0</v>
      </c>
      <c r="R581" t="n">
        <v>2022.2</v>
      </c>
      <c r="S581" t="b">
        <v>1</v>
      </c>
      <c r="T581" t="n">
        <v>114503</v>
      </c>
      <c r="U581" t="n">
        <v>10</v>
      </c>
      <c r="V581" t="n">
        <v>0.0111</v>
      </c>
      <c r="W581" t="n">
        <v>1.15</v>
      </c>
      <c r="X581" t="n">
        <v>69.19</v>
      </c>
      <c r="Y581">
        <f>VLOOKUP(D581,$AB$2:$AC$7,2,FALSE)</f>
        <v/>
      </c>
      <c r="Z581">
        <f>IF(A581&lt;Y581,"Yes","No")</f>
        <v/>
      </c>
    </row>
    <row r="582">
      <c r="A582" t="n">
        <v>2024</v>
      </c>
      <c r="B582" t="inlineStr">
        <is>
          <t>Q3</t>
        </is>
      </c>
      <c r="C582" t="inlineStr">
        <is>
          <t>North America</t>
        </is>
      </c>
      <c r="D582" t="inlineStr">
        <is>
          <t>Model 3</t>
        </is>
      </c>
      <c r="E582" t="n">
        <v>1594</v>
      </c>
      <c r="F582" t="n">
        <v>89100.95</v>
      </c>
      <c r="G582" t="n">
        <v>31</v>
      </c>
      <c r="H582" t="inlineStr">
        <is>
          <t>Standard</t>
        </is>
      </c>
      <c r="I582" t="inlineStr">
        <is>
          <t>AWD</t>
        </is>
      </c>
      <c r="J582" t="inlineStr">
        <is>
          <t>White</t>
        </is>
      </c>
      <c r="K582" t="n">
        <v>399</v>
      </c>
      <c r="L582" t="n">
        <v>85</v>
      </c>
      <c r="M582" t="n">
        <v>21.2</v>
      </c>
      <c r="N582" t="n">
        <v>1290.09</v>
      </c>
      <c r="O582" t="n">
        <v>4.06</v>
      </c>
      <c r="P582" t="n">
        <v>5</v>
      </c>
      <c r="Q582" t="n">
        <v>3</v>
      </c>
      <c r="R582" t="n">
        <v>2021.9</v>
      </c>
      <c r="S582" t="b">
        <v>1</v>
      </c>
      <c r="T582" t="n">
        <v>3833823</v>
      </c>
      <c r="U582" t="n">
        <v>2</v>
      </c>
      <c r="V582" t="n">
        <v>0.066</v>
      </c>
      <c r="W582" t="n">
        <v>2.37</v>
      </c>
      <c r="X582" t="n">
        <v>86.65000000000001</v>
      </c>
      <c r="Y582">
        <f>VLOOKUP(D582,$AB$2:$AC$7,2,FALSE)</f>
        <v/>
      </c>
      <c r="Z582">
        <f>IF(A582&lt;Y582,"Yes","No")</f>
        <v/>
      </c>
    </row>
    <row r="583">
      <c r="A583" t="n">
        <v>2024</v>
      </c>
      <c r="B583" t="inlineStr">
        <is>
          <t>Q1</t>
        </is>
      </c>
      <c r="C583" t="inlineStr">
        <is>
          <t>Asia</t>
        </is>
      </c>
      <c r="D583" t="inlineStr">
        <is>
          <t>Model X</t>
        </is>
      </c>
      <c r="E583" t="n">
        <v>932</v>
      </c>
      <c r="F583" t="n">
        <v>64669.59</v>
      </c>
      <c r="G583" t="n">
        <v>11</v>
      </c>
      <c r="H583" t="inlineStr">
        <is>
          <t>Performance</t>
        </is>
      </c>
      <c r="I583" t="inlineStr">
        <is>
          <t>AWD</t>
        </is>
      </c>
      <c r="J583" t="inlineStr">
        <is>
          <t>Red</t>
        </is>
      </c>
      <c r="K583" t="n">
        <v>604</v>
      </c>
      <c r="L583" t="n">
        <v>42</v>
      </c>
      <c r="M583" t="n">
        <v>20.24</v>
      </c>
      <c r="N583" t="n">
        <v>2325.05</v>
      </c>
      <c r="O583" t="n">
        <v>4.88</v>
      </c>
      <c r="P583" t="n">
        <v>8</v>
      </c>
      <c r="Q583" t="n">
        <v>3</v>
      </c>
      <c r="R583" t="n">
        <v>2023.2</v>
      </c>
      <c r="S583" t="b">
        <v>1</v>
      </c>
      <c r="T583" t="n">
        <v>2938234</v>
      </c>
      <c r="U583" t="n">
        <v>5</v>
      </c>
      <c r="V583" t="n">
        <v>0.0429</v>
      </c>
      <c r="W583" t="n">
        <v>0.98</v>
      </c>
      <c r="X583" t="n">
        <v>84.53</v>
      </c>
      <c r="Y583">
        <f>VLOOKUP(D583,$AB$2:$AC$7,2,FALSE)</f>
        <v/>
      </c>
      <c r="Z583">
        <f>IF(A583&lt;Y583,"Yes","No")</f>
        <v/>
      </c>
    </row>
    <row r="584">
      <c r="A584" t="n">
        <v>2015</v>
      </c>
      <c r="B584" t="inlineStr">
        <is>
          <t>Q4</t>
        </is>
      </c>
      <c r="C584" t="inlineStr">
        <is>
          <t>North America</t>
        </is>
      </c>
      <c r="D584" t="inlineStr">
        <is>
          <t>Model X</t>
        </is>
      </c>
      <c r="E584" t="n">
        <v>530</v>
      </c>
      <c r="F584" t="n">
        <v>112911.89</v>
      </c>
      <c r="G584" t="n">
        <v>58</v>
      </c>
      <c r="H584" t="inlineStr">
        <is>
          <t>Long Range</t>
        </is>
      </c>
      <c r="I584" t="inlineStr">
        <is>
          <t>AWD</t>
        </is>
      </c>
      <c r="J584" t="inlineStr">
        <is>
          <t>Silver</t>
        </is>
      </c>
      <c r="K584" t="n">
        <v>396</v>
      </c>
      <c r="L584" t="n">
        <v>72</v>
      </c>
      <c r="M584" t="n">
        <v>20.86</v>
      </c>
      <c r="N584" t="n">
        <v>1231.58</v>
      </c>
      <c r="O584" t="n">
        <v>4.34</v>
      </c>
      <c r="P584" t="n">
        <v>8</v>
      </c>
      <c r="Q584" t="n">
        <v>1</v>
      </c>
      <c r="R584" t="n">
        <v>2022.6</v>
      </c>
      <c r="S584" t="b">
        <v>1</v>
      </c>
      <c r="T584" t="n">
        <v>3857295</v>
      </c>
      <c r="U584" t="n">
        <v>5</v>
      </c>
      <c r="V584" t="n">
        <v>0.0364</v>
      </c>
      <c r="W584" t="n">
        <v>1.75</v>
      </c>
      <c r="X584" t="n">
        <v>72.13</v>
      </c>
      <c r="Y584">
        <f>VLOOKUP(D584,$AB$2:$AC$7,2,FALSE)</f>
        <v/>
      </c>
      <c r="Z584">
        <f>IF(A584&lt;Y584,"Yes","No")</f>
        <v/>
      </c>
    </row>
    <row r="585">
      <c r="A585" t="n">
        <v>2018</v>
      </c>
      <c r="B585" t="inlineStr">
        <is>
          <t>Q1</t>
        </is>
      </c>
      <c r="C585" t="inlineStr">
        <is>
          <t>Australia</t>
        </is>
      </c>
      <c r="D585" t="inlineStr">
        <is>
          <t>Model S</t>
        </is>
      </c>
      <c r="E585" t="n">
        <v>4074</v>
      </c>
      <c r="F585" t="n">
        <v>43867.07</v>
      </c>
      <c r="G585" t="n">
        <v>35</v>
      </c>
      <c r="H585" t="inlineStr">
        <is>
          <t>Long Range</t>
        </is>
      </c>
      <c r="I585" t="inlineStr">
        <is>
          <t>RWD</t>
        </is>
      </c>
      <c r="J585" t="inlineStr">
        <is>
          <t>White</t>
        </is>
      </c>
      <c r="K585" t="n">
        <v>604</v>
      </c>
      <c r="L585" t="n">
        <v>80</v>
      </c>
      <c r="M585" t="n">
        <v>22.25</v>
      </c>
      <c r="N585" t="n">
        <v>8317.83</v>
      </c>
      <c r="O585" t="n">
        <v>4.55</v>
      </c>
      <c r="P585" t="n">
        <v>4</v>
      </c>
      <c r="Q585" t="n">
        <v>1</v>
      </c>
      <c r="R585" t="n">
        <v>2020.5</v>
      </c>
      <c r="S585" t="b">
        <v>1</v>
      </c>
      <c r="T585" t="n">
        <v>2731117</v>
      </c>
      <c r="U585" t="n">
        <v>2</v>
      </c>
      <c r="V585" t="n">
        <v>0.0581</v>
      </c>
      <c r="W585" t="n">
        <v>0.59</v>
      </c>
      <c r="X585" t="n">
        <v>69.09</v>
      </c>
      <c r="Y585">
        <f>VLOOKUP(D585,$AB$2:$AC$7,2,FALSE)</f>
        <v/>
      </c>
      <c r="Z585">
        <f>IF(A585&lt;Y585,"Yes","No")</f>
        <v/>
      </c>
    </row>
    <row r="586">
      <c r="A586" t="n">
        <v>2015</v>
      </c>
      <c r="B586" t="inlineStr">
        <is>
          <t>Q3</t>
        </is>
      </c>
      <c r="C586" t="inlineStr">
        <is>
          <t>South America</t>
        </is>
      </c>
      <c r="D586" t="inlineStr">
        <is>
          <t>Model S</t>
        </is>
      </c>
      <c r="E586" t="n">
        <v>3603</v>
      </c>
      <c r="F586" t="n">
        <v>97775.91</v>
      </c>
      <c r="G586" t="n">
        <v>33</v>
      </c>
      <c r="H586" t="inlineStr">
        <is>
          <t>Standard</t>
        </is>
      </c>
      <c r="I586" t="inlineStr">
        <is>
          <t>RWD</t>
        </is>
      </c>
      <c r="J586" t="inlineStr">
        <is>
          <t>Green</t>
        </is>
      </c>
      <c r="K586" t="n">
        <v>372</v>
      </c>
      <c r="L586" t="n">
        <v>88</v>
      </c>
      <c r="M586" t="n">
        <v>15.57</v>
      </c>
      <c r="N586" t="n">
        <v>5096.33</v>
      </c>
      <c r="O586" t="n">
        <v>3.78</v>
      </c>
      <c r="P586" t="n">
        <v>5</v>
      </c>
      <c r="Q586" t="n">
        <v>2</v>
      </c>
      <c r="R586" t="n">
        <v>2020.12</v>
      </c>
      <c r="S586" t="b">
        <v>1</v>
      </c>
      <c r="T586" t="n">
        <v>4254669</v>
      </c>
      <c r="U586" t="n">
        <v>5</v>
      </c>
      <c r="V586" t="n">
        <v>0.0614</v>
      </c>
      <c r="W586" t="n">
        <v>1.73</v>
      </c>
      <c r="X586" t="n">
        <v>61.36</v>
      </c>
      <c r="Y586">
        <f>VLOOKUP(D586,$AB$2:$AC$7,2,FALSE)</f>
        <v/>
      </c>
      <c r="Z586">
        <f>IF(A586&lt;Y586,"Yes","No")</f>
        <v/>
      </c>
    </row>
    <row r="587">
      <c r="A587" t="n">
        <v>2018</v>
      </c>
      <c r="B587" t="inlineStr">
        <is>
          <t>Q2</t>
        </is>
      </c>
      <c r="C587" t="inlineStr">
        <is>
          <t>North America</t>
        </is>
      </c>
      <c r="D587" t="inlineStr">
        <is>
          <t>Model X</t>
        </is>
      </c>
      <c r="E587" t="n">
        <v>88</v>
      </c>
      <c r="F587" t="n">
        <v>111873.64</v>
      </c>
      <c r="G587" t="n">
        <v>42</v>
      </c>
      <c r="H587" t="inlineStr">
        <is>
          <t>Long Range</t>
        </is>
      </c>
      <c r="I587" t="inlineStr">
        <is>
          <t>AWD</t>
        </is>
      </c>
      <c r="J587" t="inlineStr">
        <is>
          <t>Blue</t>
        </is>
      </c>
      <c r="K587" t="n">
        <v>466</v>
      </c>
      <c r="L587" t="n">
        <v>53</v>
      </c>
      <c r="M587" t="n">
        <v>24.01</v>
      </c>
      <c r="N587" t="n">
        <v>114.74</v>
      </c>
      <c r="O587" t="n">
        <v>3.73</v>
      </c>
      <c r="P587" t="n">
        <v>5</v>
      </c>
      <c r="Q587" t="n">
        <v>2</v>
      </c>
      <c r="R587" t="n">
        <v>2023.11</v>
      </c>
      <c r="S587" t="b">
        <v>0</v>
      </c>
      <c r="T587" t="n">
        <v>1818626</v>
      </c>
      <c r="U587" t="n">
        <v>12</v>
      </c>
      <c r="V587" t="n">
        <v>0.07630000000000001</v>
      </c>
      <c r="W587" t="n">
        <v>1.05</v>
      </c>
      <c r="X587" t="n">
        <v>80.70999999999999</v>
      </c>
      <c r="Y587">
        <f>VLOOKUP(D587,$AB$2:$AC$7,2,FALSE)</f>
        <v/>
      </c>
      <c r="Z587">
        <f>IF(A587&lt;Y587,"Yes","No")</f>
        <v/>
      </c>
    </row>
    <row r="588">
      <c r="A588" t="n">
        <v>2018</v>
      </c>
      <c r="B588" t="inlineStr">
        <is>
          <t>Q4</t>
        </is>
      </c>
      <c r="C588" t="inlineStr">
        <is>
          <t>Australia</t>
        </is>
      </c>
      <c r="D588" t="inlineStr">
        <is>
          <t>Model X</t>
        </is>
      </c>
      <c r="E588" t="n">
        <v>1602</v>
      </c>
      <c r="F588" t="n">
        <v>104421.59</v>
      </c>
      <c r="G588" t="n">
        <v>31</v>
      </c>
      <c r="H588" t="inlineStr">
        <is>
          <t>Long Range</t>
        </is>
      </c>
      <c r="I588" t="inlineStr">
        <is>
          <t>AWD</t>
        </is>
      </c>
      <c r="J588" t="inlineStr">
        <is>
          <t>Green</t>
        </is>
      </c>
      <c r="K588" t="n">
        <v>552</v>
      </c>
      <c r="L588" t="n">
        <v>32</v>
      </c>
      <c r="M588" t="n">
        <v>21.35</v>
      </c>
      <c r="N588" t="n">
        <v>2240.01</v>
      </c>
      <c r="O588" t="n">
        <v>4.49</v>
      </c>
      <c r="P588" t="n">
        <v>5</v>
      </c>
      <c r="Q588" t="n">
        <v>0</v>
      </c>
      <c r="R588" t="n">
        <v>2020.2</v>
      </c>
      <c r="S588" t="b">
        <v>1</v>
      </c>
      <c r="T588" t="n">
        <v>4198143</v>
      </c>
      <c r="U588" t="n">
        <v>3</v>
      </c>
      <c r="V588" t="n">
        <v>0.0265</v>
      </c>
      <c r="W588" t="n">
        <v>1.15</v>
      </c>
      <c r="X588" t="n">
        <v>88.31</v>
      </c>
      <c r="Y588">
        <f>VLOOKUP(D588,$AB$2:$AC$7,2,FALSE)</f>
        <v/>
      </c>
      <c r="Z588">
        <f>IF(A588&lt;Y588,"Yes","No")</f>
        <v/>
      </c>
    </row>
    <row r="589">
      <c r="A589" t="n">
        <v>2016</v>
      </c>
      <c r="B589" t="inlineStr">
        <is>
          <t>Q4</t>
        </is>
      </c>
      <c r="C589" t="inlineStr">
        <is>
          <t>Asia</t>
        </is>
      </c>
      <c r="D589" t="inlineStr">
        <is>
          <t>Cybertruck</t>
        </is>
      </c>
      <c r="E589" t="n">
        <v>2396</v>
      </c>
      <c r="F589" t="n">
        <v>59199.91</v>
      </c>
      <c r="G589" t="n">
        <v>36</v>
      </c>
      <c r="H589" t="inlineStr">
        <is>
          <t>Long Range</t>
        </is>
      </c>
      <c r="I589" t="inlineStr">
        <is>
          <t>AWD</t>
        </is>
      </c>
      <c r="J589" t="inlineStr">
        <is>
          <t>Red</t>
        </is>
      </c>
      <c r="K589" t="n">
        <v>552</v>
      </c>
      <c r="L589" t="n">
        <v>82</v>
      </c>
      <c r="M589" t="n">
        <v>23.63</v>
      </c>
      <c r="N589" t="n">
        <v>2166.59</v>
      </c>
      <c r="O589" t="n">
        <v>3.63</v>
      </c>
      <c r="P589" t="n">
        <v>8</v>
      </c>
      <c r="Q589" t="n">
        <v>1</v>
      </c>
      <c r="R589" t="n">
        <v>2021.9</v>
      </c>
      <c r="S589" t="b">
        <v>1</v>
      </c>
      <c r="T589" t="n">
        <v>4033896</v>
      </c>
      <c r="U589" t="n">
        <v>9</v>
      </c>
      <c r="V589" t="n">
        <v>0.0198</v>
      </c>
      <c r="W589" t="n">
        <v>0.96</v>
      </c>
      <c r="X589" t="n">
        <v>84.98999999999999</v>
      </c>
      <c r="Y589">
        <f>VLOOKUP(D589,$AB$2:$AC$7,2,FALSE)</f>
        <v/>
      </c>
      <c r="Z589">
        <f>IF(A589&lt;Y589,"Yes","No")</f>
        <v/>
      </c>
    </row>
    <row r="590">
      <c r="A590" t="n">
        <v>2014</v>
      </c>
      <c r="B590" t="inlineStr">
        <is>
          <t>Q1</t>
        </is>
      </c>
      <c r="C590" t="inlineStr">
        <is>
          <t>North America</t>
        </is>
      </c>
      <c r="D590" t="inlineStr">
        <is>
          <t>Model 3</t>
        </is>
      </c>
      <c r="E590" t="n">
        <v>3621</v>
      </c>
      <c r="F590" t="n">
        <v>87302.27</v>
      </c>
      <c r="G590" t="n">
        <v>28</v>
      </c>
      <c r="H590" t="inlineStr">
        <is>
          <t>Performance</t>
        </is>
      </c>
      <c r="I590" t="inlineStr">
        <is>
          <t>AWD</t>
        </is>
      </c>
      <c r="J590" t="inlineStr">
        <is>
          <t>Blue</t>
        </is>
      </c>
      <c r="K590" t="n">
        <v>655</v>
      </c>
      <c r="L590" t="n">
        <v>79</v>
      </c>
      <c r="M590" t="n">
        <v>13.49</v>
      </c>
      <c r="N590" t="n">
        <v>8571.74</v>
      </c>
      <c r="O590" t="n">
        <v>4.65</v>
      </c>
      <c r="P590" t="n">
        <v>5</v>
      </c>
      <c r="Q590" t="n">
        <v>1</v>
      </c>
      <c r="R590" t="n">
        <v>2022.1</v>
      </c>
      <c r="S590" t="b">
        <v>1</v>
      </c>
      <c r="T590" t="n">
        <v>1381028</v>
      </c>
      <c r="U590" t="n">
        <v>7</v>
      </c>
      <c r="V590" t="n">
        <v>0.08740000000000001</v>
      </c>
      <c r="W590" t="n">
        <v>1</v>
      </c>
      <c r="X590" t="n">
        <v>65.27</v>
      </c>
      <c r="Y590">
        <f>VLOOKUP(D590,$AB$2:$AC$7,2,FALSE)</f>
        <v/>
      </c>
      <c r="Z590">
        <f>IF(A590&lt;Y590,"Yes","No")</f>
        <v/>
      </c>
    </row>
    <row r="591">
      <c r="A591" t="n">
        <v>2019</v>
      </c>
      <c r="B591" t="inlineStr">
        <is>
          <t>Q2</t>
        </is>
      </c>
      <c r="C591" t="inlineStr">
        <is>
          <t>North America</t>
        </is>
      </c>
      <c r="D591" t="inlineStr">
        <is>
          <t>Model Y</t>
        </is>
      </c>
      <c r="E591" t="n">
        <v>3163</v>
      </c>
      <c r="F591" t="n">
        <v>48013.29</v>
      </c>
      <c r="G591" t="n">
        <v>18</v>
      </c>
      <c r="H591" t="inlineStr">
        <is>
          <t>Performance</t>
        </is>
      </c>
      <c r="I591" t="inlineStr">
        <is>
          <t>AWD</t>
        </is>
      </c>
      <c r="J591" t="inlineStr">
        <is>
          <t>Black</t>
        </is>
      </c>
      <c r="K591" t="n">
        <v>444</v>
      </c>
      <c r="L591" t="n">
        <v>70</v>
      </c>
      <c r="M591" t="n">
        <v>15.33</v>
      </c>
      <c r="N591" t="n">
        <v>5744.09</v>
      </c>
      <c r="O591" t="n">
        <v>4.16</v>
      </c>
      <c r="P591" t="n">
        <v>8</v>
      </c>
      <c r="Q591" t="n">
        <v>0</v>
      </c>
      <c r="R591" t="n">
        <v>2021.1</v>
      </c>
      <c r="S591" t="b">
        <v>0</v>
      </c>
      <c r="T591" t="n">
        <v>4771222</v>
      </c>
      <c r="U591" t="n">
        <v>4</v>
      </c>
      <c r="V591" t="n">
        <v>0.0229</v>
      </c>
      <c r="W591" t="n">
        <v>2.43</v>
      </c>
      <c r="X591" t="n">
        <v>61.7</v>
      </c>
      <c r="Y591">
        <f>VLOOKUP(D591,$AB$2:$AC$7,2,FALSE)</f>
        <v/>
      </c>
      <c r="Z591">
        <f>IF(A591&lt;Y591,"Yes","No")</f>
        <v/>
      </c>
    </row>
    <row r="592">
      <c r="A592" t="n">
        <v>2022</v>
      </c>
      <c r="B592" t="inlineStr">
        <is>
          <t>Q1</t>
        </is>
      </c>
      <c r="C592" t="inlineStr">
        <is>
          <t>Australia</t>
        </is>
      </c>
      <c r="D592" t="inlineStr">
        <is>
          <t>Cybertruck</t>
        </is>
      </c>
      <c r="E592" t="n">
        <v>4426</v>
      </c>
      <c r="F592" t="n">
        <v>36484.25</v>
      </c>
      <c r="G592" t="n">
        <v>46</v>
      </c>
      <c r="H592" t="inlineStr">
        <is>
          <t>Standard</t>
        </is>
      </c>
      <c r="I592" t="inlineStr">
        <is>
          <t>RWD</t>
        </is>
      </c>
      <c r="J592" t="inlineStr">
        <is>
          <t>White</t>
        </is>
      </c>
      <c r="K592" t="n">
        <v>369</v>
      </c>
      <c r="L592" t="n">
        <v>39</v>
      </c>
      <c r="M592" t="n">
        <v>23.82</v>
      </c>
      <c r="N592" t="n">
        <v>8270.57</v>
      </c>
      <c r="O592" t="n">
        <v>3.51</v>
      </c>
      <c r="P592" t="n">
        <v>4</v>
      </c>
      <c r="Q592" t="n">
        <v>0</v>
      </c>
      <c r="R592" t="n">
        <v>2023.1</v>
      </c>
      <c r="S592" t="b">
        <v>1</v>
      </c>
      <c r="T592" t="n">
        <v>1983394</v>
      </c>
      <c r="U592" t="n">
        <v>12</v>
      </c>
      <c r="V592" t="n">
        <v>0.0132</v>
      </c>
      <c r="W592" t="n">
        <v>1.59</v>
      </c>
      <c r="X592" t="n">
        <v>60.59</v>
      </c>
      <c r="Y592">
        <f>VLOOKUP(D592,$AB$2:$AC$7,2,FALSE)</f>
        <v/>
      </c>
      <c r="Z592">
        <f>IF(A592&lt;Y592,"Yes","No")</f>
        <v/>
      </c>
    </row>
    <row r="593">
      <c r="A593" t="n">
        <v>2019</v>
      </c>
      <c r="B593" t="inlineStr">
        <is>
          <t>Q4</t>
        </is>
      </c>
      <c r="C593" t="inlineStr">
        <is>
          <t>Asia</t>
        </is>
      </c>
      <c r="D593" t="inlineStr">
        <is>
          <t>Semi</t>
        </is>
      </c>
      <c r="E593" t="n">
        <v>3218</v>
      </c>
      <c r="F593" t="n">
        <v>73222.05</v>
      </c>
      <c r="G593" t="n">
        <v>47</v>
      </c>
      <c r="H593" t="inlineStr">
        <is>
          <t>Standard</t>
        </is>
      </c>
      <c r="I593" t="inlineStr">
        <is>
          <t>RWD</t>
        </is>
      </c>
      <c r="J593" t="inlineStr">
        <is>
          <t>Silver</t>
        </is>
      </c>
      <c r="K593" t="n">
        <v>478</v>
      </c>
      <c r="L593" t="n">
        <v>52</v>
      </c>
      <c r="M593" t="n">
        <v>24.76</v>
      </c>
      <c r="N593" t="n">
        <v>5706.79</v>
      </c>
      <c r="O593" t="n">
        <v>4.22</v>
      </c>
      <c r="P593" t="n">
        <v>5</v>
      </c>
      <c r="Q593" t="n">
        <v>3</v>
      </c>
      <c r="R593" t="n">
        <v>2024.6</v>
      </c>
      <c r="S593" t="b">
        <v>1</v>
      </c>
      <c r="T593" t="n">
        <v>1311377</v>
      </c>
      <c r="U593" t="n">
        <v>6</v>
      </c>
      <c r="V593" t="n">
        <v>0.0673</v>
      </c>
      <c r="W593" t="n">
        <v>0.85</v>
      </c>
      <c r="X593" t="n">
        <v>89.02</v>
      </c>
      <c r="Y593">
        <f>VLOOKUP(D593,$AB$2:$AC$7,2,FALSE)</f>
        <v/>
      </c>
      <c r="Z593">
        <f>IF(A593&lt;Y593,"Yes","No")</f>
        <v/>
      </c>
    </row>
    <row r="594">
      <c r="A594" t="n">
        <v>2016</v>
      </c>
      <c r="B594" t="inlineStr">
        <is>
          <t>Q2</t>
        </is>
      </c>
      <c r="C594" t="inlineStr">
        <is>
          <t>Asia</t>
        </is>
      </c>
      <c r="D594" t="inlineStr">
        <is>
          <t>Semi</t>
        </is>
      </c>
      <c r="E594" t="n">
        <v>221</v>
      </c>
      <c r="F594" t="n">
        <v>71697.61</v>
      </c>
      <c r="G594" t="n">
        <v>19</v>
      </c>
      <c r="H594" t="inlineStr">
        <is>
          <t>Standard</t>
        </is>
      </c>
      <c r="I594" t="inlineStr">
        <is>
          <t>AWD</t>
        </is>
      </c>
      <c r="J594" t="inlineStr">
        <is>
          <t>Blue</t>
        </is>
      </c>
      <c r="K594" t="n">
        <v>560</v>
      </c>
      <c r="L594" t="n">
        <v>75</v>
      </c>
      <c r="M594" t="n">
        <v>23.56</v>
      </c>
      <c r="N594" t="n">
        <v>486.94</v>
      </c>
      <c r="O594" t="n">
        <v>4.98</v>
      </c>
      <c r="P594" t="n">
        <v>5</v>
      </c>
      <c r="Q594" t="n">
        <v>2</v>
      </c>
      <c r="R594" t="n">
        <v>2021.7</v>
      </c>
      <c r="S594" t="b">
        <v>0</v>
      </c>
      <c r="T594" t="n">
        <v>3604136</v>
      </c>
      <c r="U594" t="n">
        <v>9</v>
      </c>
      <c r="V594" t="n">
        <v>0.076</v>
      </c>
      <c r="W594" t="n">
        <v>1.39</v>
      </c>
      <c r="X594" t="n">
        <v>71.65000000000001</v>
      </c>
      <c r="Y594">
        <f>VLOOKUP(D594,$AB$2:$AC$7,2,FALSE)</f>
        <v/>
      </c>
      <c r="Z594">
        <f>IF(A594&lt;Y594,"Yes","No")</f>
        <v/>
      </c>
    </row>
    <row r="595">
      <c r="A595" t="n">
        <v>2017</v>
      </c>
      <c r="B595" t="inlineStr">
        <is>
          <t>Q3</t>
        </is>
      </c>
      <c r="C595" t="inlineStr">
        <is>
          <t>Asia</t>
        </is>
      </c>
      <c r="D595" t="inlineStr">
        <is>
          <t>Semi</t>
        </is>
      </c>
      <c r="E595" t="n">
        <v>3317</v>
      </c>
      <c r="F595" t="n">
        <v>46314.75</v>
      </c>
      <c r="G595" t="n">
        <v>33</v>
      </c>
      <c r="H595" t="inlineStr">
        <is>
          <t>Standard</t>
        </is>
      </c>
      <c r="I595" t="inlineStr">
        <is>
          <t>AWD</t>
        </is>
      </c>
      <c r="J595" t="inlineStr">
        <is>
          <t>Black</t>
        </is>
      </c>
      <c r="K595" t="n">
        <v>447</v>
      </c>
      <c r="L595" t="n">
        <v>66</v>
      </c>
      <c r="M595" t="n">
        <v>15.34</v>
      </c>
      <c r="N595" t="n">
        <v>7454</v>
      </c>
      <c r="O595" t="n">
        <v>4.49</v>
      </c>
      <c r="P595" t="n">
        <v>6</v>
      </c>
      <c r="Q595" t="n">
        <v>3</v>
      </c>
      <c r="R595" t="n">
        <v>2024.7</v>
      </c>
      <c r="S595" t="b">
        <v>0</v>
      </c>
      <c r="T595" t="n">
        <v>2674455</v>
      </c>
      <c r="U595" t="n">
        <v>5</v>
      </c>
      <c r="V595" t="n">
        <v>0.0454</v>
      </c>
      <c r="W595" t="n">
        <v>1.44</v>
      </c>
      <c r="X595" t="n">
        <v>76.28</v>
      </c>
      <c r="Y595">
        <f>VLOOKUP(D595,$AB$2:$AC$7,2,FALSE)</f>
        <v/>
      </c>
      <c r="Z595">
        <f>IF(A595&lt;Y595,"Yes","No")</f>
        <v/>
      </c>
    </row>
    <row r="596">
      <c r="A596" t="n">
        <v>2019</v>
      </c>
      <c r="B596" t="inlineStr">
        <is>
          <t>Q3</t>
        </is>
      </c>
      <c r="C596" t="inlineStr">
        <is>
          <t>South America</t>
        </is>
      </c>
      <c r="D596" t="inlineStr">
        <is>
          <t>Model Y</t>
        </is>
      </c>
      <c r="E596" t="n">
        <v>466</v>
      </c>
      <c r="F596" t="n">
        <v>51949.83</v>
      </c>
      <c r="G596" t="n">
        <v>21</v>
      </c>
      <c r="H596" t="inlineStr">
        <is>
          <t>Performance</t>
        </is>
      </c>
      <c r="I596" t="inlineStr">
        <is>
          <t>AWD</t>
        </is>
      </c>
      <c r="J596" t="inlineStr">
        <is>
          <t>Green</t>
        </is>
      </c>
      <c r="K596" t="n">
        <v>546</v>
      </c>
      <c r="L596" t="n">
        <v>89</v>
      </c>
      <c r="M596" t="n">
        <v>19.21</v>
      </c>
      <c r="N596" t="n">
        <v>401.05</v>
      </c>
      <c r="O596" t="n">
        <v>4.16</v>
      </c>
      <c r="P596" t="n">
        <v>5</v>
      </c>
      <c r="Q596" t="n">
        <v>3</v>
      </c>
      <c r="R596" t="n">
        <v>2024.11</v>
      </c>
      <c r="S596" t="b">
        <v>1</v>
      </c>
      <c r="T596" t="n">
        <v>2392774</v>
      </c>
      <c r="U596" t="n">
        <v>12</v>
      </c>
      <c r="V596" t="n">
        <v>0.0607</v>
      </c>
      <c r="W596" t="n">
        <v>0.8100000000000001</v>
      </c>
      <c r="X596" t="n">
        <v>72.06</v>
      </c>
      <c r="Y596">
        <f>VLOOKUP(D596,$AB$2:$AC$7,2,FALSE)</f>
        <v/>
      </c>
      <c r="Z596">
        <f>IF(A596&lt;Y596,"Yes","No")</f>
        <v/>
      </c>
    </row>
    <row r="597">
      <c r="A597" t="n">
        <v>2024</v>
      </c>
      <c r="B597" t="inlineStr">
        <is>
          <t>Q2</t>
        </is>
      </c>
      <c r="C597" t="inlineStr">
        <is>
          <t>Europe</t>
        </is>
      </c>
      <c r="D597" t="inlineStr">
        <is>
          <t>Model Y</t>
        </is>
      </c>
      <c r="E597" t="n">
        <v>2642</v>
      </c>
      <c r="F597" t="n">
        <v>74829.28</v>
      </c>
      <c r="G597" t="n">
        <v>55</v>
      </c>
      <c r="H597" t="inlineStr">
        <is>
          <t>Performance</t>
        </is>
      </c>
      <c r="I597" t="inlineStr">
        <is>
          <t>AWD</t>
        </is>
      </c>
      <c r="J597" t="inlineStr">
        <is>
          <t>Blue</t>
        </is>
      </c>
      <c r="K597" t="n">
        <v>511</v>
      </c>
      <c r="L597" t="n">
        <v>69</v>
      </c>
      <c r="M597" t="n">
        <v>24.2</v>
      </c>
      <c r="N597" t="n">
        <v>4556.52</v>
      </c>
      <c r="O597" t="n">
        <v>4.6</v>
      </c>
      <c r="P597" t="n">
        <v>4</v>
      </c>
      <c r="Q597" t="n">
        <v>0</v>
      </c>
      <c r="R597" t="n">
        <v>2020.2</v>
      </c>
      <c r="S597" t="b">
        <v>1</v>
      </c>
      <c r="T597" t="n">
        <v>172718</v>
      </c>
      <c r="U597" t="n">
        <v>2</v>
      </c>
      <c r="V597" t="n">
        <v>0.0398</v>
      </c>
      <c r="W597" t="n">
        <v>0.68</v>
      </c>
      <c r="X597" t="n">
        <v>87.95</v>
      </c>
      <c r="Y597">
        <f>VLOOKUP(D597,$AB$2:$AC$7,2,FALSE)</f>
        <v/>
      </c>
      <c r="Z597">
        <f>IF(A597&lt;Y597,"Yes","No")</f>
        <v/>
      </c>
    </row>
    <row r="598">
      <c r="A598" t="n">
        <v>2017</v>
      </c>
      <c r="B598" t="inlineStr">
        <is>
          <t>Q2</t>
        </is>
      </c>
      <c r="C598" t="inlineStr">
        <is>
          <t>Europe</t>
        </is>
      </c>
      <c r="D598" t="inlineStr">
        <is>
          <t>Model 3</t>
        </is>
      </c>
      <c r="E598" t="n">
        <v>2569</v>
      </c>
      <c r="F598" t="n">
        <v>106457.67</v>
      </c>
      <c r="G598" t="n">
        <v>23</v>
      </c>
      <c r="H598" t="inlineStr">
        <is>
          <t>Performance</t>
        </is>
      </c>
      <c r="I598" t="inlineStr">
        <is>
          <t>RWD</t>
        </is>
      </c>
      <c r="J598" t="inlineStr">
        <is>
          <t>Silver</t>
        </is>
      </c>
      <c r="K598" t="n">
        <v>578</v>
      </c>
      <c r="L598" t="n">
        <v>60</v>
      </c>
      <c r="M598" t="n">
        <v>17.06</v>
      </c>
      <c r="N598" t="n">
        <v>2184.77</v>
      </c>
      <c r="O598" t="n">
        <v>3.95</v>
      </c>
      <c r="P598" t="n">
        <v>5</v>
      </c>
      <c r="Q598" t="n">
        <v>1</v>
      </c>
      <c r="R598" t="n">
        <v>2021.7</v>
      </c>
      <c r="S598" t="b">
        <v>1</v>
      </c>
      <c r="T598" t="n">
        <v>4565299</v>
      </c>
      <c r="U598" t="n">
        <v>11</v>
      </c>
      <c r="V598" t="n">
        <v>0.0469</v>
      </c>
      <c r="W598" t="n">
        <v>1.62</v>
      </c>
      <c r="X598" t="n">
        <v>78.86</v>
      </c>
      <c r="Y598">
        <f>VLOOKUP(D598,$AB$2:$AC$7,2,FALSE)</f>
        <v/>
      </c>
      <c r="Z598">
        <f>IF(A598&lt;Y598,"Yes","No")</f>
        <v/>
      </c>
    </row>
    <row r="599">
      <c r="A599" t="n">
        <v>2023</v>
      </c>
      <c r="B599" t="inlineStr">
        <is>
          <t>Q3</t>
        </is>
      </c>
      <c r="C599" t="inlineStr">
        <is>
          <t>Europe</t>
        </is>
      </c>
      <c r="D599" t="inlineStr">
        <is>
          <t>Model S</t>
        </is>
      </c>
      <c r="E599" t="n">
        <v>1251</v>
      </c>
      <c r="F599" t="n">
        <v>112280.71</v>
      </c>
      <c r="G599" t="n">
        <v>6</v>
      </c>
      <c r="H599" t="inlineStr">
        <is>
          <t>Standard</t>
        </is>
      </c>
      <c r="I599" t="inlineStr">
        <is>
          <t>AWD</t>
        </is>
      </c>
      <c r="J599" t="inlineStr">
        <is>
          <t>Blue</t>
        </is>
      </c>
      <c r="K599" t="n">
        <v>592</v>
      </c>
      <c r="L599" t="n">
        <v>54</v>
      </c>
      <c r="M599" t="n">
        <v>18.72</v>
      </c>
      <c r="N599" t="n">
        <v>2544.88</v>
      </c>
      <c r="O599" t="n">
        <v>4.38</v>
      </c>
      <c r="P599" t="n">
        <v>6</v>
      </c>
      <c r="Q599" t="n">
        <v>3</v>
      </c>
      <c r="R599" t="n">
        <v>2024.1</v>
      </c>
      <c r="S599" t="b">
        <v>1</v>
      </c>
      <c r="T599" t="n">
        <v>3852504</v>
      </c>
      <c r="U599" t="n">
        <v>2</v>
      </c>
      <c r="V599" t="n">
        <v>0.0973</v>
      </c>
      <c r="W599" t="n">
        <v>2.39</v>
      </c>
      <c r="X599" t="n">
        <v>77</v>
      </c>
      <c r="Y599">
        <f>VLOOKUP(D599,$AB$2:$AC$7,2,FALSE)</f>
        <v/>
      </c>
      <c r="Z599">
        <f>IF(A599&lt;Y599,"Yes","No")</f>
        <v/>
      </c>
    </row>
    <row r="600">
      <c r="A600" t="n">
        <v>2017</v>
      </c>
      <c r="B600" t="inlineStr">
        <is>
          <t>Q1</t>
        </is>
      </c>
      <c r="C600" t="inlineStr">
        <is>
          <t>Asia</t>
        </is>
      </c>
      <c r="D600" t="inlineStr">
        <is>
          <t>Model S</t>
        </is>
      </c>
      <c r="E600" t="n">
        <v>1501</v>
      </c>
      <c r="F600" t="n">
        <v>46470.19</v>
      </c>
      <c r="G600" t="n">
        <v>19</v>
      </c>
      <c r="H600" t="inlineStr">
        <is>
          <t>Performance</t>
        </is>
      </c>
      <c r="I600" t="inlineStr">
        <is>
          <t>RWD</t>
        </is>
      </c>
      <c r="J600" t="inlineStr">
        <is>
          <t>Black</t>
        </is>
      </c>
      <c r="K600" t="n">
        <v>406</v>
      </c>
      <c r="L600" t="n">
        <v>89</v>
      </c>
      <c r="M600" t="n">
        <v>22.49</v>
      </c>
      <c r="N600" t="n">
        <v>2758.55</v>
      </c>
      <c r="O600" t="n">
        <v>4.94</v>
      </c>
      <c r="P600" t="n">
        <v>6</v>
      </c>
      <c r="Q600" t="n">
        <v>2</v>
      </c>
      <c r="R600" t="n">
        <v>2020.6</v>
      </c>
      <c r="S600" t="b">
        <v>0</v>
      </c>
      <c r="T600" t="n">
        <v>233844</v>
      </c>
      <c r="U600" t="n">
        <v>11</v>
      </c>
      <c r="V600" t="n">
        <v>0.0902</v>
      </c>
      <c r="W600" t="n">
        <v>1.34</v>
      </c>
      <c r="X600" t="n">
        <v>65.06999999999999</v>
      </c>
      <c r="Y600">
        <f>VLOOKUP(D600,$AB$2:$AC$7,2,FALSE)</f>
        <v/>
      </c>
      <c r="Z600">
        <f>IF(A600&lt;Y600,"Yes","No")</f>
        <v/>
      </c>
    </row>
    <row r="601">
      <c r="A601" t="n">
        <v>2016</v>
      </c>
      <c r="B601" t="inlineStr">
        <is>
          <t>Q2</t>
        </is>
      </c>
      <c r="C601" t="inlineStr">
        <is>
          <t>South America</t>
        </is>
      </c>
      <c r="D601" t="inlineStr">
        <is>
          <t>Model X</t>
        </is>
      </c>
      <c r="E601" t="n">
        <v>4313</v>
      </c>
      <c r="F601" t="n">
        <v>111863.79</v>
      </c>
      <c r="G601" t="n">
        <v>1</v>
      </c>
      <c r="H601" t="inlineStr">
        <is>
          <t>Long Range</t>
        </is>
      </c>
      <c r="I601" t="inlineStr">
        <is>
          <t>RWD</t>
        </is>
      </c>
      <c r="J601" t="inlineStr">
        <is>
          <t>Black</t>
        </is>
      </c>
      <c r="K601" t="n">
        <v>376</v>
      </c>
      <c r="L601" t="n">
        <v>71</v>
      </c>
      <c r="M601" t="n">
        <v>15.87</v>
      </c>
      <c r="N601" t="n">
        <v>4801.54</v>
      </c>
      <c r="O601" t="n">
        <v>4.17</v>
      </c>
      <c r="P601" t="n">
        <v>8</v>
      </c>
      <c r="Q601" t="n">
        <v>2</v>
      </c>
      <c r="R601" t="n">
        <v>2020.5</v>
      </c>
      <c r="S601" t="b">
        <v>0</v>
      </c>
      <c r="T601" t="n">
        <v>773137</v>
      </c>
      <c r="U601" t="n">
        <v>7</v>
      </c>
      <c r="V601" t="n">
        <v>0.0596</v>
      </c>
      <c r="W601" t="n">
        <v>0.76</v>
      </c>
      <c r="X601" t="n">
        <v>89.34999999999999</v>
      </c>
      <c r="Y601">
        <f>VLOOKUP(D601,$AB$2:$AC$7,2,FALSE)</f>
        <v/>
      </c>
      <c r="Z601">
        <f>IF(A601&lt;Y601,"Yes","No")</f>
        <v/>
      </c>
    </row>
    <row r="602">
      <c r="A602" t="n">
        <v>2021</v>
      </c>
      <c r="B602" t="inlineStr">
        <is>
          <t>Q1</t>
        </is>
      </c>
      <c r="C602" t="inlineStr">
        <is>
          <t>South America</t>
        </is>
      </c>
      <c r="D602" t="inlineStr">
        <is>
          <t>Model S</t>
        </is>
      </c>
      <c r="E602" t="n">
        <v>2529</v>
      </c>
      <c r="F602" t="n">
        <v>67357.03999999999</v>
      </c>
      <c r="G602" t="n">
        <v>57</v>
      </c>
      <c r="H602" t="inlineStr">
        <is>
          <t>Long Range</t>
        </is>
      </c>
      <c r="I602" t="inlineStr">
        <is>
          <t>RWD</t>
        </is>
      </c>
      <c r="J602" t="inlineStr">
        <is>
          <t>Blue</t>
        </is>
      </c>
      <c r="K602" t="n">
        <v>368</v>
      </c>
      <c r="L602" t="n">
        <v>74</v>
      </c>
      <c r="M602" t="n">
        <v>21.06</v>
      </c>
      <c r="N602" t="n">
        <v>4789.2</v>
      </c>
      <c r="O602" t="n">
        <v>4</v>
      </c>
      <c r="P602" t="n">
        <v>8</v>
      </c>
      <c r="Q602" t="n">
        <v>3</v>
      </c>
      <c r="R602" t="n">
        <v>2022.3</v>
      </c>
      <c r="S602" t="b">
        <v>0</v>
      </c>
      <c r="T602" t="n">
        <v>2294358</v>
      </c>
      <c r="U602" t="n">
        <v>10</v>
      </c>
      <c r="V602" t="n">
        <v>0.0274</v>
      </c>
      <c r="W602" t="n">
        <v>1.06</v>
      </c>
      <c r="X602" t="n">
        <v>62.5</v>
      </c>
      <c r="Y602">
        <f>VLOOKUP(D602,$AB$2:$AC$7,2,FALSE)</f>
        <v/>
      </c>
      <c r="Z602">
        <f>IF(A602&lt;Y602,"Yes","No")</f>
        <v/>
      </c>
    </row>
    <row r="603">
      <c r="A603" t="n">
        <v>2019</v>
      </c>
      <c r="B603" t="inlineStr">
        <is>
          <t>Q1</t>
        </is>
      </c>
      <c r="C603" t="inlineStr">
        <is>
          <t>Asia</t>
        </is>
      </c>
      <c r="D603" t="inlineStr">
        <is>
          <t>Cybertruck</t>
        </is>
      </c>
      <c r="E603" t="n">
        <v>979</v>
      </c>
      <c r="F603" t="n">
        <v>36955.63</v>
      </c>
      <c r="G603" t="n">
        <v>8</v>
      </c>
      <c r="H603" t="inlineStr">
        <is>
          <t>Standard</t>
        </is>
      </c>
      <c r="I603" t="inlineStr">
        <is>
          <t>AWD</t>
        </is>
      </c>
      <c r="J603" t="inlineStr">
        <is>
          <t>Red</t>
        </is>
      </c>
      <c r="K603" t="n">
        <v>440</v>
      </c>
      <c r="L603" t="n">
        <v>53</v>
      </c>
      <c r="M603" t="n">
        <v>13.78</v>
      </c>
      <c r="N603" t="n">
        <v>1609.3</v>
      </c>
      <c r="O603" t="n">
        <v>3.86</v>
      </c>
      <c r="P603" t="n">
        <v>4</v>
      </c>
      <c r="Q603" t="n">
        <v>0</v>
      </c>
      <c r="R603" t="n">
        <v>2020.12</v>
      </c>
      <c r="S603" t="b">
        <v>1</v>
      </c>
      <c r="T603" t="n">
        <v>2961646</v>
      </c>
      <c r="U603" t="n">
        <v>11</v>
      </c>
      <c r="V603" t="n">
        <v>0.0163</v>
      </c>
      <c r="W603" t="n">
        <v>1.67</v>
      </c>
      <c r="X603" t="n">
        <v>88.97</v>
      </c>
      <c r="Y603">
        <f>VLOOKUP(D603,$AB$2:$AC$7,2,FALSE)</f>
        <v/>
      </c>
      <c r="Z603">
        <f>IF(A603&lt;Y603,"Yes","No")</f>
        <v/>
      </c>
    </row>
    <row r="604">
      <c r="A604" t="n">
        <v>2019</v>
      </c>
      <c r="B604" t="inlineStr">
        <is>
          <t>Q3</t>
        </is>
      </c>
      <c r="C604" t="inlineStr">
        <is>
          <t>North America</t>
        </is>
      </c>
      <c r="D604" t="inlineStr">
        <is>
          <t>Cybertruck</t>
        </is>
      </c>
      <c r="E604" t="n">
        <v>1049</v>
      </c>
      <c r="F604" t="n">
        <v>39774.15</v>
      </c>
      <c r="G604" t="n">
        <v>8</v>
      </c>
      <c r="H604" t="inlineStr">
        <is>
          <t>Standard</t>
        </is>
      </c>
      <c r="I604" t="inlineStr">
        <is>
          <t>AWD</t>
        </is>
      </c>
      <c r="J604" t="inlineStr">
        <is>
          <t>Black</t>
        </is>
      </c>
      <c r="K604" t="n">
        <v>396</v>
      </c>
      <c r="L604" t="n">
        <v>75</v>
      </c>
      <c r="M604" t="n">
        <v>24.42</v>
      </c>
      <c r="N604" t="n">
        <v>532.5599999999999</v>
      </c>
      <c r="O604" t="n">
        <v>4.69</v>
      </c>
      <c r="P604" t="n">
        <v>5</v>
      </c>
      <c r="Q604" t="n">
        <v>1</v>
      </c>
      <c r="R604" t="n">
        <v>2020.12</v>
      </c>
      <c r="S604" t="b">
        <v>1</v>
      </c>
      <c r="T604" t="n">
        <v>3345560</v>
      </c>
      <c r="U604" t="n">
        <v>7</v>
      </c>
      <c r="V604" t="n">
        <v>0.0663</v>
      </c>
      <c r="W604" t="n">
        <v>0.89</v>
      </c>
      <c r="X604" t="n">
        <v>84.53</v>
      </c>
      <c r="Y604">
        <f>VLOOKUP(D604,$AB$2:$AC$7,2,FALSE)</f>
        <v/>
      </c>
      <c r="Z604">
        <f>IF(A604&lt;Y604,"Yes","No")</f>
        <v/>
      </c>
    </row>
    <row r="605">
      <c r="A605" t="n">
        <v>2023</v>
      </c>
      <c r="B605" t="inlineStr">
        <is>
          <t>Q4</t>
        </is>
      </c>
      <c r="C605" t="inlineStr">
        <is>
          <t>South America</t>
        </is>
      </c>
      <c r="D605" t="inlineStr">
        <is>
          <t>Semi</t>
        </is>
      </c>
      <c r="E605" t="n">
        <v>1574</v>
      </c>
      <c r="F605" t="n">
        <v>74882.89</v>
      </c>
      <c r="G605" t="n">
        <v>46</v>
      </c>
      <c r="H605" t="inlineStr">
        <is>
          <t>Performance</t>
        </is>
      </c>
      <c r="I605" t="inlineStr">
        <is>
          <t>AWD</t>
        </is>
      </c>
      <c r="J605" t="inlineStr">
        <is>
          <t>Blue</t>
        </is>
      </c>
      <c r="K605" t="n">
        <v>444</v>
      </c>
      <c r="L605" t="n">
        <v>62</v>
      </c>
      <c r="M605" t="n">
        <v>13.08</v>
      </c>
      <c r="N605" t="n">
        <v>1340.58</v>
      </c>
      <c r="O605" t="n">
        <v>3.8</v>
      </c>
      <c r="P605" t="n">
        <v>5</v>
      </c>
      <c r="Q605" t="n">
        <v>1</v>
      </c>
      <c r="R605" t="n">
        <v>2020.12</v>
      </c>
      <c r="S605" t="b">
        <v>1</v>
      </c>
      <c r="T605" t="n">
        <v>1678723</v>
      </c>
      <c r="U605" t="n">
        <v>4</v>
      </c>
      <c r="V605" t="n">
        <v>0.0864</v>
      </c>
      <c r="W605" t="n">
        <v>2.01</v>
      </c>
      <c r="X605" t="n">
        <v>66.83</v>
      </c>
      <c r="Y605">
        <f>VLOOKUP(D605,$AB$2:$AC$7,2,FALSE)</f>
        <v/>
      </c>
      <c r="Z605">
        <f>IF(A605&lt;Y605,"Yes","No")</f>
        <v/>
      </c>
    </row>
    <row r="606">
      <c r="A606" t="n">
        <v>2018</v>
      </c>
      <c r="B606" t="inlineStr">
        <is>
          <t>Q3</t>
        </is>
      </c>
      <c r="C606" t="inlineStr">
        <is>
          <t>South America</t>
        </is>
      </c>
      <c r="D606" t="inlineStr">
        <is>
          <t>Model Y</t>
        </is>
      </c>
      <c r="E606" t="n">
        <v>4200</v>
      </c>
      <c r="F606" t="n">
        <v>89450.57000000001</v>
      </c>
      <c r="G606" t="n">
        <v>13</v>
      </c>
      <c r="H606" t="inlineStr">
        <is>
          <t>Long Range</t>
        </is>
      </c>
      <c r="I606" t="inlineStr">
        <is>
          <t>RWD</t>
        </is>
      </c>
      <c r="J606" t="inlineStr">
        <is>
          <t>White</t>
        </is>
      </c>
      <c r="K606" t="n">
        <v>473</v>
      </c>
      <c r="L606" t="n">
        <v>63</v>
      </c>
      <c r="M606" t="n">
        <v>13.08</v>
      </c>
      <c r="N606" t="n">
        <v>9580.67</v>
      </c>
      <c r="O606" t="n">
        <v>4.53</v>
      </c>
      <c r="P606" t="n">
        <v>6</v>
      </c>
      <c r="Q606" t="n">
        <v>1</v>
      </c>
      <c r="R606" t="n">
        <v>2020.1</v>
      </c>
      <c r="S606" t="b">
        <v>1</v>
      </c>
      <c r="T606" t="n">
        <v>4243326</v>
      </c>
      <c r="U606" t="n">
        <v>7</v>
      </c>
      <c r="V606" t="n">
        <v>0.0912</v>
      </c>
      <c r="W606" t="n">
        <v>0.62</v>
      </c>
      <c r="X606" t="n">
        <v>82.67</v>
      </c>
      <c r="Y606">
        <f>VLOOKUP(D606,$AB$2:$AC$7,2,FALSE)</f>
        <v/>
      </c>
      <c r="Z606">
        <f>IF(A606&lt;Y606,"Yes","No")</f>
        <v/>
      </c>
    </row>
    <row r="607">
      <c r="A607" t="n">
        <v>2018</v>
      </c>
      <c r="B607" t="inlineStr">
        <is>
          <t>Q1</t>
        </is>
      </c>
      <c r="C607" t="inlineStr">
        <is>
          <t>Australia</t>
        </is>
      </c>
      <c r="D607" t="inlineStr">
        <is>
          <t>Model S</t>
        </is>
      </c>
      <c r="E607" t="n">
        <v>772</v>
      </c>
      <c r="F607" t="n">
        <v>62063.83</v>
      </c>
      <c r="G607" t="n">
        <v>49</v>
      </c>
      <c r="H607" t="inlineStr">
        <is>
          <t>Long Range</t>
        </is>
      </c>
      <c r="I607" t="inlineStr">
        <is>
          <t>AWD</t>
        </is>
      </c>
      <c r="J607" t="inlineStr">
        <is>
          <t>Silver</t>
        </is>
      </c>
      <c r="K607" t="n">
        <v>484</v>
      </c>
      <c r="L607" t="n">
        <v>76</v>
      </c>
      <c r="M607" t="n">
        <v>23.08</v>
      </c>
      <c r="N607" t="n">
        <v>1082.02</v>
      </c>
      <c r="O607" t="n">
        <v>4.61</v>
      </c>
      <c r="P607" t="n">
        <v>8</v>
      </c>
      <c r="Q607" t="n">
        <v>2</v>
      </c>
      <c r="R607" t="n">
        <v>2023.5</v>
      </c>
      <c r="S607" t="b">
        <v>0</v>
      </c>
      <c r="T607" t="n">
        <v>2729616</v>
      </c>
      <c r="U607" t="n">
        <v>10</v>
      </c>
      <c r="V607" t="n">
        <v>0.0999</v>
      </c>
      <c r="W607" t="n">
        <v>0.88</v>
      </c>
      <c r="X607" t="n">
        <v>77.62</v>
      </c>
      <c r="Y607">
        <f>VLOOKUP(D607,$AB$2:$AC$7,2,FALSE)</f>
        <v/>
      </c>
      <c r="Z607">
        <f>IF(A607&lt;Y607,"Yes","No")</f>
        <v/>
      </c>
    </row>
    <row r="608">
      <c r="A608" t="n">
        <v>2012</v>
      </c>
      <c r="B608" t="inlineStr">
        <is>
          <t>Q3</t>
        </is>
      </c>
      <c r="C608" t="inlineStr">
        <is>
          <t>Australia</t>
        </is>
      </c>
      <c r="D608" t="inlineStr">
        <is>
          <t>Model Y</t>
        </is>
      </c>
      <c r="E608" t="n">
        <v>3831</v>
      </c>
      <c r="F608" t="n">
        <v>62571.26</v>
      </c>
      <c r="G608" t="n">
        <v>50</v>
      </c>
      <c r="H608" t="inlineStr">
        <is>
          <t>Long Range</t>
        </is>
      </c>
      <c r="I608" t="inlineStr">
        <is>
          <t>RWD</t>
        </is>
      </c>
      <c r="J608" t="inlineStr">
        <is>
          <t>Blue</t>
        </is>
      </c>
      <c r="K608" t="n">
        <v>581</v>
      </c>
      <c r="L608" t="n">
        <v>39</v>
      </c>
      <c r="M608" t="n">
        <v>14.7</v>
      </c>
      <c r="N608" t="n">
        <v>7666.23</v>
      </c>
      <c r="O608" t="n">
        <v>4.13</v>
      </c>
      <c r="P608" t="n">
        <v>4</v>
      </c>
      <c r="Q608" t="n">
        <v>1</v>
      </c>
      <c r="R608" t="n">
        <v>2022.7</v>
      </c>
      <c r="S608" t="b">
        <v>1</v>
      </c>
      <c r="T608" t="n">
        <v>3450563</v>
      </c>
      <c r="U608" t="n">
        <v>7</v>
      </c>
      <c r="V608" t="n">
        <v>0.0113</v>
      </c>
      <c r="W608" t="n">
        <v>2.08</v>
      </c>
      <c r="X608" t="n">
        <v>79.84999999999999</v>
      </c>
      <c r="Y608">
        <f>VLOOKUP(D608,$AB$2:$AC$7,2,FALSE)</f>
        <v/>
      </c>
      <c r="Z608">
        <f>IF(A608&lt;Y608,"Yes","No")</f>
        <v/>
      </c>
    </row>
    <row r="609">
      <c r="A609" t="n">
        <v>2014</v>
      </c>
      <c r="B609" t="inlineStr">
        <is>
          <t>Q2</t>
        </is>
      </c>
      <c r="C609" t="inlineStr">
        <is>
          <t>South America</t>
        </is>
      </c>
      <c r="D609" t="inlineStr">
        <is>
          <t>Model 3</t>
        </is>
      </c>
      <c r="E609" t="n">
        <v>1827</v>
      </c>
      <c r="F609" t="n">
        <v>43061.93</v>
      </c>
      <c r="G609" t="n">
        <v>25</v>
      </c>
      <c r="H609" t="inlineStr">
        <is>
          <t>Long Range</t>
        </is>
      </c>
      <c r="I609" t="inlineStr">
        <is>
          <t>AWD</t>
        </is>
      </c>
      <c r="J609" t="inlineStr">
        <is>
          <t>White</t>
        </is>
      </c>
      <c r="K609" t="n">
        <v>522</v>
      </c>
      <c r="L609" t="n">
        <v>42</v>
      </c>
      <c r="M609" t="n">
        <v>13.26</v>
      </c>
      <c r="N609" t="n">
        <v>2346.72</v>
      </c>
      <c r="O609" t="n">
        <v>3.96</v>
      </c>
      <c r="P609" t="n">
        <v>6</v>
      </c>
      <c r="Q609" t="n">
        <v>1</v>
      </c>
      <c r="R609" t="n">
        <v>2021.8</v>
      </c>
      <c r="S609" t="b">
        <v>0</v>
      </c>
      <c r="T609" t="n">
        <v>3731061</v>
      </c>
      <c r="U609" t="n">
        <v>8</v>
      </c>
      <c r="V609" t="n">
        <v>0.0953</v>
      </c>
      <c r="W609" t="n">
        <v>0.82</v>
      </c>
      <c r="X609" t="n">
        <v>89.06999999999999</v>
      </c>
      <c r="Y609">
        <f>VLOOKUP(D609,$AB$2:$AC$7,2,FALSE)</f>
        <v/>
      </c>
      <c r="Z609">
        <f>IF(A609&lt;Y609,"Yes","No")</f>
        <v/>
      </c>
    </row>
    <row r="610">
      <c r="A610" t="n">
        <v>2012</v>
      </c>
      <c r="B610" t="inlineStr">
        <is>
          <t>Q3</t>
        </is>
      </c>
      <c r="C610" t="inlineStr">
        <is>
          <t>North America</t>
        </is>
      </c>
      <c r="D610" t="inlineStr">
        <is>
          <t>Model S</t>
        </is>
      </c>
      <c r="E610" t="n">
        <v>2698</v>
      </c>
      <c r="F610" t="n">
        <v>95012.05</v>
      </c>
      <c r="G610" t="n">
        <v>38</v>
      </c>
      <c r="H610" t="inlineStr">
        <is>
          <t>Long Range</t>
        </is>
      </c>
      <c r="I610" t="inlineStr">
        <is>
          <t>AWD</t>
        </is>
      </c>
      <c r="J610" t="inlineStr">
        <is>
          <t>Black</t>
        </is>
      </c>
      <c r="K610" t="n">
        <v>615</v>
      </c>
      <c r="L610" t="n">
        <v>90</v>
      </c>
      <c r="M610" t="n">
        <v>18.93</v>
      </c>
      <c r="N610" t="n">
        <v>2516.72</v>
      </c>
      <c r="O610" t="n">
        <v>4.24</v>
      </c>
      <c r="P610" t="n">
        <v>6</v>
      </c>
      <c r="Q610" t="n">
        <v>1</v>
      </c>
      <c r="R610" t="n">
        <v>2022.11</v>
      </c>
      <c r="S610" t="b">
        <v>0</v>
      </c>
      <c r="T610" t="n">
        <v>3698691</v>
      </c>
      <c r="U610" t="n">
        <v>11</v>
      </c>
      <c r="V610" t="n">
        <v>0.021</v>
      </c>
      <c r="W610" t="n">
        <v>0.76</v>
      </c>
      <c r="X610" t="n">
        <v>68.45999999999999</v>
      </c>
      <c r="Y610">
        <f>VLOOKUP(D610,$AB$2:$AC$7,2,FALSE)</f>
        <v/>
      </c>
      <c r="Z610">
        <f>IF(A610&lt;Y610,"Yes","No")</f>
        <v/>
      </c>
    </row>
    <row r="611">
      <c r="A611" t="n">
        <v>2023</v>
      </c>
      <c r="B611" t="inlineStr">
        <is>
          <t>Q3</t>
        </is>
      </c>
      <c r="C611" t="inlineStr">
        <is>
          <t>Europe</t>
        </is>
      </c>
      <c r="D611" t="inlineStr">
        <is>
          <t>Model X</t>
        </is>
      </c>
      <c r="E611" t="n">
        <v>4681</v>
      </c>
      <c r="F611" t="n">
        <v>117486.61</v>
      </c>
      <c r="G611" t="n">
        <v>4</v>
      </c>
      <c r="H611" t="inlineStr">
        <is>
          <t>Standard</t>
        </is>
      </c>
      <c r="I611" t="inlineStr">
        <is>
          <t>RWD</t>
        </is>
      </c>
      <c r="J611" t="inlineStr">
        <is>
          <t>White</t>
        </is>
      </c>
      <c r="K611" t="n">
        <v>563</v>
      </c>
      <c r="L611" t="n">
        <v>45</v>
      </c>
      <c r="M611" t="n">
        <v>15.51</v>
      </c>
      <c r="N611" t="n">
        <v>5394.39</v>
      </c>
      <c r="O611" t="n">
        <v>3.85</v>
      </c>
      <c r="P611" t="n">
        <v>6</v>
      </c>
      <c r="Q611" t="n">
        <v>3</v>
      </c>
      <c r="R611" t="n">
        <v>2022.9</v>
      </c>
      <c r="S611" t="b">
        <v>0</v>
      </c>
      <c r="T611" t="n">
        <v>4942070</v>
      </c>
      <c r="U611" t="n">
        <v>7</v>
      </c>
      <c r="V611" t="n">
        <v>0.0728</v>
      </c>
      <c r="W611" t="n">
        <v>2.3</v>
      </c>
      <c r="X611" t="n">
        <v>88.95999999999999</v>
      </c>
      <c r="Y611">
        <f>VLOOKUP(D611,$AB$2:$AC$7,2,FALSE)</f>
        <v/>
      </c>
      <c r="Z611">
        <f>IF(A611&lt;Y611,"Yes","No")</f>
        <v/>
      </c>
    </row>
    <row r="612">
      <c r="A612" t="n">
        <v>2024</v>
      </c>
      <c r="B612" t="inlineStr">
        <is>
          <t>Q2</t>
        </is>
      </c>
      <c r="C612" t="inlineStr">
        <is>
          <t>South America</t>
        </is>
      </c>
      <c r="D612" t="inlineStr">
        <is>
          <t>Cybertruck</t>
        </is>
      </c>
      <c r="E612" t="n">
        <v>1991</v>
      </c>
      <c r="F612" t="n">
        <v>104132.36</v>
      </c>
      <c r="G612" t="n">
        <v>15</v>
      </c>
      <c r="H612" t="inlineStr">
        <is>
          <t>Long Range</t>
        </is>
      </c>
      <c r="I612" t="inlineStr">
        <is>
          <t>RWD</t>
        </is>
      </c>
      <c r="J612" t="inlineStr">
        <is>
          <t>Red</t>
        </is>
      </c>
      <c r="K612" t="n">
        <v>510</v>
      </c>
      <c r="L612" t="n">
        <v>62</v>
      </c>
      <c r="M612" t="n">
        <v>23.57</v>
      </c>
      <c r="N612" t="n">
        <v>2525.16</v>
      </c>
      <c r="O612" t="n">
        <v>3.72</v>
      </c>
      <c r="P612" t="n">
        <v>6</v>
      </c>
      <c r="Q612" t="n">
        <v>0</v>
      </c>
      <c r="R612" t="n">
        <v>2024.8</v>
      </c>
      <c r="S612" t="b">
        <v>0</v>
      </c>
      <c r="T612" t="n">
        <v>2331431</v>
      </c>
      <c r="U612" t="n">
        <v>3</v>
      </c>
      <c r="V612" t="n">
        <v>0.0505</v>
      </c>
      <c r="W612" t="n">
        <v>2.05</v>
      </c>
      <c r="X612" t="n">
        <v>83.73999999999999</v>
      </c>
      <c r="Y612">
        <f>VLOOKUP(D612,$AB$2:$AC$7,2,FALSE)</f>
        <v/>
      </c>
      <c r="Z612">
        <f>IF(A612&lt;Y612,"Yes","No")</f>
        <v/>
      </c>
    </row>
    <row r="613">
      <c r="A613" t="n">
        <v>2016</v>
      </c>
      <c r="B613" t="inlineStr">
        <is>
          <t>Q2</t>
        </is>
      </c>
      <c r="C613" t="inlineStr">
        <is>
          <t>Asia</t>
        </is>
      </c>
      <c r="D613" t="inlineStr">
        <is>
          <t>Model S</t>
        </is>
      </c>
      <c r="E613" t="n">
        <v>3930</v>
      </c>
      <c r="F613" t="n">
        <v>55959.78</v>
      </c>
      <c r="G613" t="n">
        <v>40</v>
      </c>
      <c r="H613" t="inlineStr">
        <is>
          <t>Standard</t>
        </is>
      </c>
      <c r="I613" t="inlineStr">
        <is>
          <t>RWD</t>
        </is>
      </c>
      <c r="J613" t="inlineStr">
        <is>
          <t>White</t>
        </is>
      </c>
      <c r="K613" t="n">
        <v>667</v>
      </c>
      <c r="L613" t="n">
        <v>60</v>
      </c>
      <c r="M613" t="n">
        <v>19.74</v>
      </c>
      <c r="N613" t="n">
        <v>8124.76</v>
      </c>
      <c r="O613" t="n">
        <v>4.94</v>
      </c>
      <c r="P613" t="n">
        <v>8</v>
      </c>
      <c r="Q613" t="n">
        <v>2</v>
      </c>
      <c r="R613" t="n">
        <v>2024.9</v>
      </c>
      <c r="S613" t="b">
        <v>1</v>
      </c>
      <c r="T613" t="n">
        <v>1678694</v>
      </c>
      <c r="U613" t="n">
        <v>11</v>
      </c>
      <c r="V613" t="n">
        <v>0.0645</v>
      </c>
      <c r="W613" t="n">
        <v>1.09</v>
      </c>
      <c r="X613" t="n">
        <v>61.82</v>
      </c>
      <c r="Y613">
        <f>VLOOKUP(D613,$AB$2:$AC$7,2,FALSE)</f>
        <v/>
      </c>
      <c r="Z613">
        <f>IF(A613&lt;Y613,"Yes","No")</f>
        <v/>
      </c>
    </row>
    <row r="614">
      <c r="A614" t="n">
        <v>2015</v>
      </c>
      <c r="B614" t="inlineStr">
        <is>
          <t>Q3</t>
        </is>
      </c>
      <c r="C614" t="inlineStr">
        <is>
          <t>Europe</t>
        </is>
      </c>
      <c r="D614" t="inlineStr">
        <is>
          <t>Model Y</t>
        </is>
      </c>
      <c r="E614" t="n">
        <v>3515</v>
      </c>
      <c r="F614" t="n">
        <v>94554.92</v>
      </c>
      <c r="G614" t="n">
        <v>54</v>
      </c>
      <c r="H614" t="inlineStr">
        <is>
          <t>Standard</t>
        </is>
      </c>
      <c r="I614" t="inlineStr">
        <is>
          <t>RWD</t>
        </is>
      </c>
      <c r="J614" t="inlineStr">
        <is>
          <t>White</t>
        </is>
      </c>
      <c r="K614" t="n">
        <v>454</v>
      </c>
      <c r="L614" t="n">
        <v>39</v>
      </c>
      <c r="M614" t="n">
        <v>16.55</v>
      </c>
      <c r="N614" t="n">
        <v>1960.11</v>
      </c>
      <c r="O614" t="n">
        <v>4.47</v>
      </c>
      <c r="P614" t="n">
        <v>8</v>
      </c>
      <c r="Q614" t="n">
        <v>0</v>
      </c>
      <c r="R614" t="n">
        <v>2022.8</v>
      </c>
      <c r="S614" t="b">
        <v>1</v>
      </c>
      <c r="T614" t="n">
        <v>3847066</v>
      </c>
      <c r="U614" t="n">
        <v>12</v>
      </c>
      <c r="V614" t="n">
        <v>0.0444</v>
      </c>
      <c r="W614" t="n">
        <v>0.8100000000000001</v>
      </c>
      <c r="X614" t="n">
        <v>73.31999999999999</v>
      </c>
      <c r="Y614">
        <f>VLOOKUP(D614,$AB$2:$AC$7,2,FALSE)</f>
        <v/>
      </c>
      <c r="Z614">
        <f>IF(A614&lt;Y614,"Yes","No")</f>
        <v/>
      </c>
    </row>
    <row r="615">
      <c r="A615" t="n">
        <v>2017</v>
      </c>
      <c r="B615" t="inlineStr">
        <is>
          <t>Q1</t>
        </is>
      </c>
      <c r="C615" t="inlineStr">
        <is>
          <t>Asia</t>
        </is>
      </c>
      <c r="D615" t="inlineStr">
        <is>
          <t>Model Y</t>
        </is>
      </c>
      <c r="E615" t="n">
        <v>2310</v>
      </c>
      <c r="F615" t="n">
        <v>51811.36</v>
      </c>
      <c r="G615" t="n">
        <v>38</v>
      </c>
      <c r="H615" t="inlineStr">
        <is>
          <t>Long Range</t>
        </is>
      </c>
      <c r="I615" t="inlineStr">
        <is>
          <t>RWD</t>
        </is>
      </c>
      <c r="J615" t="inlineStr">
        <is>
          <t>Black</t>
        </is>
      </c>
      <c r="K615" t="n">
        <v>650</v>
      </c>
      <c r="L615" t="n">
        <v>38</v>
      </c>
      <c r="M615" t="n">
        <v>16.87</v>
      </c>
      <c r="N615" t="n">
        <v>1233.34</v>
      </c>
      <c r="O615" t="n">
        <v>3.58</v>
      </c>
      <c r="P615" t="n">
        <v>6</v>
      </c>
      <c r="Q615" t="n">
        <v>3</v>
      </c>
      <c r="R615" t="n">
        <v>2022.3</v>
      </c>
      <c r="S615" t="b">
        <v>0</v>
      </c>
      <c r="T615" t="n">
        <v>3245971</v>
      </c>
      <c r="U615" t="n">
        <v>10</v>
      </c>
      <c r="V615" t="n">
        <v>0.0123</v>
      </c>
      <c r="W615" t="n">
        <v>1.37</v>
      </c>
      <c r="X615" t="n">
        <v>69.72</v>
      </c>
      <c r="Y615">
        <f>VLOOKUP(D615,$AB$2:$AC$7,2,FALSE)</f>
        <v/>
      </c>
      <c r="Z615">
        <f>IF(A615&lt;Y615,"Yes","No")</f>
        <v/>
      </c>
    </row>
    <row r="616">
      <c r="A616" t="n">
        <v>2014</v>
      </c>
      <c r="B616" t="inlineStr">
        <is>
          <t>Q3</t>
        </is>
      </c>
      <c r="C616" t="inlineStr">
        <is>
          <t>South America</t>
        </is>
      </c>
      <c r="D616" t="inlineStr">
        <is>
          <t>Model S</t>
        </is>
      </c>
      <c r="E616" t="n">
        <v>2367</v>
      </c>
      <c r="F616" t="n">
        <v>62541.2</v>
      </c>
      <c r="G616" t="n">
        <v>48</v>
      </c>
      <c r="H616" t="inlineStr">
        <is>
          <t>Performance</t>
        </is>
      </c>
      <c r="I616" t="inlineStr">
        <is>
          <t>AWD</t>
        </is>
      </c>
      <c r="J616" t="inlineStr">
        <is>
          <t>Silver</t>
        </is>
      </c>
      <c r="K616" t="n">
        <v>378</v>
      </c>
      <c r="L616" t="n">
        <v>76</v>
      </c>
      <c r="M616" t="n">
        <v>21.61</v>
      </c>
      <c r="N616" t="n">
        <v>1807.76</v>
      </c>
      <c r="O616" t="n">
        <v>3.6</v>
      </c>
      <c r="P616" t="n">
        <v>4</v>
      </c>
      <c r="Q616" t="n">
        <v>1</v>
      </c>
      <c r="R616" t="n">
        <v>2021.2</v>
      </c>
      <c r="S616" t="b">
        <v>1</v>
      </c>
      <c r="T616" t="n">
        <v>2071436</v>
      </c>
      <c r="U616" t="n">
        <v>3</v>
      </c>
      <c r="V616" t="n">
        <v>0.0779</v>
      </c>
      <c r="W616" t="n">
        <v>2.44</v>
      </c>
      <c r="X616" t="n">
        <v>70.14</v>
      </c>
      <c r="Y616">
        <f>VLOOKUP(D616,$AB$2:$AC$7,2,FALSE)</f>
        <v/>
      </c>
      <c r="Z616">
        <f>IF(A616&lt;Y616,"Yes","No")</f>
        <v/>
      </c>
    </row>
    <row r="617">
      <c r="A617" t="n">
        <v>2018</v>
      </c>
      <c r="B617" t="inlineStr">
        <is>
          <t>Q3</t>
        </is>
      </c>
      <c r="C617" t="inlineStr">
        <is>
          <t>North America</t>
        </is>
      </c>
      <c r="D617" t="inlineStr">
        <is>
          <t>Model Y</t>
        </is>
      </c>
      <c r="E617" t="n">
        <v>3331</v>
      </c>
      <c r="F617" t="n">
        <v>81334.47</v>
      </c>
      <c r="G617" t="n">
        <v>33</v>
      </c>
      <c r="H617" t="inlineStr">
        <is>
          <t>Long Range</t>
        </is>
      </c>
      <c r="I617" t="inlineStr">
        <is>
          <t>RWD</t>
        </is>
      </c>
      <c r="J617" t="inlineStr">
        <is>
          <t>Green</t>
        </is>
      </c>
      <c r="K617" t="n">
        <v>429</v>
      </c>
      <c r="L617" t="n">
        <v>65</v>
      </c>
      <c r="M617" t="n">
        <v>22.87</v>
      </c>
      <c r="N617" t="n">
        <v>7090.79</v>
      </c>
      <c r="O617" t="n">
        <v>4.17</v>
      </c>
      <c r="P617" t="n">
        <v>4</v>
      </c>
      <c r="Q617" t="n">
        <v>2</v>
      </c>
      <c r="R617" t="n">
        <v>2021.4</v>
      </c>
      <c r="S617" t="b">
        <v>1</v>
      </c>
      <c r="T617" t="n">
        <v>4778197</v>
      </c>
      <c r="U617" t="n">
        <v>2</v>
      </c>
      <c r="V617" t="n">
        <v>0.0147</v>
      </c>
      <c r="W617" t="n">
        <v>2.19</v>
      </c>
      <c r="X617" t="n">
        <v>66.77</v>
      </c>
      <c r="Y617">
        <f>VLOOKUP(D617,$AB$2:$AC$7,2,FALSE)</f>
        <v/>
      </c>
      <c r="Z617">
        <f>IF(A617&lt;Y617,"Yes","No")</f>
        <v/>
      </c>
    </row>
    <row r="618">
      <c r="A618" t="n">
        <v>2012</v>
      </c>
      <c r="B618" t="inlineStr">
        <is>
          <t>Q1</t>
        </is>
      </c>
      <c r="C618" t="inlineStr">
        <is>
          <t>Europe</t>
        </is>
      </c>
      <c r="D618" t="inlineStr">
        <is>
          <t>Model 3</t>
        </is>
      </c>
      <c r="E618" t="n">
        <v>1300</v>
      </c>
      <c r="F618" t="n">
        <v>116125.79</v>
      </c>
      <c r="G618" t="n">
        <v>8</v>
      </c>
      <c r="H618" t="inlineStr">
        <is>
          <t>Performance</t>
        </is>
      </c>
      <c r="I618" t="inlineStr">
        <is>
          <t>RWD</t>
        </is>
      </c>
      <c r="J618" t="inlineStr">
        <is>
          <t>White</t>
        </is>
      </c>
      <c r="K618" t="n">
        <v>548</v>
      </c>
      <c r="L618" t="n">
        <v>78</v>
      </c>
      <c r="M618" t="n">
        <v>20.61</v>
      </c>
      <c r="N618" t="n">
        <v>1679.1</v>
      </c>
      <c r="O618" t="n">
        <v>4.27</v>
      </c>
      <c r="P618" t="n">
        <v>6</v>
      </c>
      <c r="Q618" t="n">
        <v>3</v>
      </c>
      <c r="R618" t="n">
        <v>2020.11</v>
      </c>
      <c r="S618" t="b">
        <v>0</v>
      </c>
      <c r="T618" t="n">
        <v>4713995</v>
      </c>
      <c r="U618" t="n">
        <v>3</v>
      </c>
      <c r="V618" t="n">
        <v>0.0136</v>
      </c>
      <c r="W618" t="n">
        <v>1.68</v>
      </c>
      <c r="X618" t="n">
        <v>66.27</v>
      </c>
      <c r="Y618">
        <f>VLOOKUP(D618,$AB$2:$AC$7,2,FALSE)</f>
        <v/>
      </c>
      <c r="Z618">
        <f>IF(A618&lt;Y618,"Yes","No")</f>
        <v/>
      </c>
    </row>
    <row r="619">
      <c r="A619" t="n">
        <v>2021</v>
      </c>
      <c r="B619" t="inlineStr">
        <is>
          <t>Q4</t>
        </is>
      </c>
      <c r="C619" t="inlineStr">
        <is>
          <t>North America</t>
        </is>
      </c>
      <c r="D619" t="inlineStr">
        <is>
          <t>Model X</t>
        </is>
      </c>
      <c r="E619" t="n">
        <v>710</v>
      </c>
      <c r="F619" t="n">
        <v>84434.57000000001</v>
      </c>
      <c r="G619" t="n">
        <v>23</v>
      </c>
      <c r="H619" t="inlineStr">
        <is>
          <t>Performance</t>
        </is>
      </c>
      <c r="I619" t="inlineStr">
        <is>
          <t>AWD</t>
        </is>
      </c>
      <c r="J619" t="inlineStr">
        <is>
          <t>Blue</t>
        </is>
      </c>
      <c r="K619" t="n">
        <v>458</v>
      </c>
      <c r="L619" t="n">
        <v>39</v>
      </c>
      <c r="M619" t="n">
        <v>19.43</v>
      </c>
      <c r="N619" t="n">
        <v>1654.58</v>
      </c>
      <c r="O619" t="n">
        <v>4.62</v>
      </c>
      <c r="P619" t="n">
        <v>6</v>
      </c>
      <c r="Q619" t="n">
        <v>2</v>
      </c>
      <c r="R619" t="n">
        <v>2024.6</v>
      </c>
      <c r="S619" t="b">
        <v>0</v>
      </c>
      <c r="T619" t="n">
        <v>1441030</v>
      </c>
      <c r="U619" t="n">
        <v>5</v>
      </c>
      <c r="V619" t="n">
        <v>0.0779</v>
      </c>
      <c r="W619" t="n">
        <v>1.01</v>
      </c>
      <c r="X619" t="n">
        <v>65.87</v>
      </c>
      <c r="Y619">
        <f>VLOOKUP(D619,$AB$2:$AC$7,2,FALSE)</f>
        <v/>
      </c>
      <c r="Z619">
        <f>IF(A619&lt;Y619,"Yes","No")</f>
        <v/>
      </c>
    </row>
    <row r="620">
      <c r="A620" t="n">
        <v>2016</v>
      </c>
      <c r="B620" t="inlineStr">
        <is>
          <t>Q4</t>
        </is>
      </c>
      <c r="C620" t="inlineStr">
        <is>
          <t>North America</t>
        </is>
      </c>
      <c r="D620" t="inlineStr">
        <is>
          <t>Semi</t>
        </is>
      </c>
      <c r="E620" t="n">
        <v>2387</v>
      </c>
      <c r="F620" t="n">
        <v>73390.23</v>
      </c>
      <c r="G620" t="n">
        <v>28</v>
      </c>
      <c r="H620" t="inlineStr">
        <is>
          <t>Performance</t>
        </is>
      </c>
      <c r="I620" t="inlineStr">
        <is>
          <t>RWD</t>
        </is>
      </c>
      <c r="J620" t="inlineStr">
        <is>
          <t>Black</t>
        </is>
      </c>
      <c r="K620" t="n">
        <v>444</v>
      </c>
      <c r="L620" t="n">
        <v>37</v>
      </c>
      <c r="M620" t="n">
        <v>13.5</v>
      </c>
      <c r="N620" t="n">
        <v>5034.83</v>
      </c>
      <c r="O620" t="n">
        <v>4.61</v>
      </c>
      <c r="P620" t="n">
        <v>5</v>
      </c>
      <c r="Q620" t="n">
        <v>1</v>
      </c>
      <c r="R620" t="n">
        <v>2024.12</v>
      </c>
      <c r="S620" t="b">
        <v>0</v>
      </c>
      <c r="T620" t="n">
        <v>1898034</v>
      </c>
      <c r="U620" t="n">
        <v>11</v>
      </c>
      <c r="V620" t="n">
        <v>0.08359999999999999</v>
      </c>
      <c r="W620" t="n">
        <v>1.22</v>
      </c>
      <c r="X620" t="n">
        <v>61.63</v>
      </c>
      <c r="Y620">
        <f>VLOOKUP(D620,$AB$2:$AC$7,2,FALSE)</f>
        <v/>
      </c>
      <c r="Z620">
        <f>IF(A620&lt;Y620,"Yes","No")</f>
        <v/>
      </c>
    </row>
    <row r="621">
      <c r="A621" t="n">
        <v>2022</v>
      </c>
      <c r="B621" t="inlineStr">
        <is>
          <t>Q2</t>
        </is>
      </c>
      <c r="C621" t="inlineStr">
        <is>
          <t>South America</t>
        </is>
      </c>
      <c r="D621" t="inlineStr">
        <is>
          <t>Model X</t>
        </is>
      </c>
      <c r="E621" t="n">
        <v>1826</v>
      </c>
      <c r="F621" t="n">
        <v>78443.45</v>
      </c>
      <c r="G621" t="n">
        <v>19</v>
      </c>
      <c r="H621" t="inlineStr">
        <is>
          <t>Standard</t>
        </is>
      </c>
      <c r="I621" t="inlineStr">
        <is>
          <t>AWD</t>
        </is>
      </c>
      <c r="J621" t="inlineStr">
        <is>
          <t>Black</t>
        </is>
      </c>
      <c r="K621" t="n">
        <v>520</v>
      </c>
      <c r="L621" t="n">
        <v>43</v>
      </c>
      <c r="M621" t="n">
        <v>19</v>
      </c>
      <c r="N621" t="n">
        <v>3542.23</v>
      </c>
      <c r="O621" t="n">
        <v>4.58</v>
      </c>
      <c r="P621" t="n">
        <v>8</v>
      </c>
      <c r="Q621" t="n">
        <v>3</v>
      </c>
      <c r="R621" t="n">
        <v>2024.3</v>
      </c>
      <c r="S621" t="b">
        <v>0</v>
      </c>
      <c r="T621" t="n">
        <v>4128004</v>
      </c>
      <c r="U621" t="n">
        <v>10</v>
      </c>
      <c r="V621" t="n">
        <v>0.06370000000000001</v>
      </c>
      <c r="W621" t="n">
        <v>2.09</v>
      </c>
      <c r="X621" t="n">
        <v>80.01000000000001</v>
      </c>
      <c r="Y621">
        <f>VLOOKUP(D621,$AB$2:$AC$7,2,FALSE)</f>
        <v/>
      </c>
      <c r="Z621">
        <f>IF(A621&lt;Y621,"Yes","No")</f>
        <v/>
      </c>
    </row>
    <row r="622">
      <c r="A622" t="n">
        <v>2015</v>
      </c>
      <c r="B622" t="inlineStr">
        <is>
          <t>Q1</t>
        </is>
      </c>
      <c r="C622" t="inlineStr">
        <is>
          <t>South America</t>
        </is>
      </c>
      <c r="D622" t="inlineStr">
        <is>
          <t>Model S</t>
        </is>
      </c>
      <c r="E622" t="n">
        <v>52</v>
      </c>
      <c r="F622" t="n">
        <v>107477.92</v>
      </c>
      <c r="G622" t="n">
        <v>39</v>
      </c>
      <c r="H622" t="inlineStr">
        <is>
          <t>Standard</t>
        </is>
      </c>
      <c r="I622" t="inlineStr">
        <is>
          <t>AWD</t>
        </is>
      </c>
      <c r="J622" t="inlineStr">
        <is>
          <t>White</t>
        </is>
      </c>
      <c r="K622" t="n">
        <v>350</v>
      </c>
      <c r="L622" t="n">
        <v>49</v>
      </c>
      <c r="M622" t="n">
        <v>18.34</v>
      </c>
      <c r="N622" t="n">
        <v>101.79</v>
      </c>
      <c r="O622" t="n">
        <v>4.94</v>
      </c>
      <c r="P622" t="n">
        <v>4</v>
      </c>
      <c r="Q622" t="n">
        <v>0</v>
      </c>
      <c r="R622" t="n">
        <v>2022.4</v>
      </c>
      <c r="S622" t="b">
        <v>1</v>
      </c>
      <c r="T622" t="n">
        <v>3649770</v>
      </c>
      <c r="U622" t="n">
        <v>7</v>
      </c>
      <c r="V622" t="n">
        <v>0.0168</v>
      </c>
      <c r="W622" t="n">
        <v>1.33</v>
      </c>
      <c r="X622" t="n">
        <v>60.67</v>
      </c>
      <c r="Y622">
        <f>VLOOKUP(D622,$AB$2:$AC$7,2,FALSE)</f>
        <v/>
      </c>
      <c r="Z622">
        <f>IF(A622&lt;Y622,"Yes","No")</f>
        <v/>
      </c>
    </row>
    <row r="623">
      <c r="A623" t="n">
        <v>2024</v>
      </c>
      <c r="B623" t="inlineStr">
        <is>
          <t>Q1</t>
        </is>
      </c>
      <c r="C623" t="inlineStr">
        <is>
          <t>North America</t>
        </is>
      </c>
      <c r="D623" t="inlineStr">
        <is>
          <t>Model X</t>
        </is>
      </c>
      <c r="E623" t="n">
        <v>1211</v>
      </c>
      <c r="F623" t="n">
        <v>57331.68</v>
      </c>
      <c r="G623" t="n">
        <v>59</v>
      </c>
      <c r="H623" t="inlineStr">
        <is>
          <t>Standard</t>
        </is>
      </c>
      <c r="I623" t="inlineStr">
        <is>
          <t>AWD</t>
        </is>
      </c>
      <c r="J623" t="inlineStr">
        <is>
          <t>Green</t>
        </is>
      </c>
      <c r="K623" t="n">
        <v>699</v>
      </c>
      <c r="L623" t="n">
        <v>80</v>
      </c>
      <c r="M623" t="n">
        <v>13.36</v>
      </c>
      <c r="N623" t="n">
        <v>2860.49</v>
      </c>
      <c r="O623" t="n">
        <v>4.21</v>
      </c>
      <c r="P623" t="n">
        <v>4</v>
      </c>
      <c r="Q623" t="n">
        <v>0</v>
      </c>
      <c r="R623" t="n">
        <v>2020.12</v>
      </c>
      <c r="S623" t="b">
        <v>1</v>
      </c>
      <c r="T623" t="n">
        <v>3918868</v>
      </c>
      <c r="U623" t="n">
        <v>11</v>
      </c>
      <c r="V623" t="n">
        <v>0.0725</v>
      </c>
      <c r="W623" t="n">
        <v>1.05</v>
      </c>
      <c r="X623" t="n">
        <v>60.68</v>
      </c>
      <c r="Y623">
        <f>VLOOKUP(D623,$AB$2:$AC$7,2,FALSE)</f>
        <v/>
      </c>
      <c r="Z623">
        <f>IF(A623&lt;Y623,"Yes","No")</f>
        <v/>
      </c>
    </row>
    <row r="624">
      <c r="A624" t="n">
        <v>2021</v>
      </c>
      <c r="B624" t="inlineStr">
        <is>
          <t>Q4</t>
        </is>
      </c>
      <c r="C624" t="inlineStr">
        <is>
          <t>North America</t>
        </is>
      </c>
      <c r="D624" t="inlineStr">
        <is>
          <t>Semi</t>
        </is>
      </c>
      <c r="E624" t="n">
        <v>1305</v>
      </c>
      <c r="F624" t="n">
        <v>53315.42</v>
      </c>
      <c r="G624" t="n">
        <v>25</v>
      </c>
      <c r="H624" t="inlineStr">
        <is>
          <t>Performance</t>
        </is>
      </c>
      <c r="I624" t="inlineStr">
        <is>
          <t>RWD</t>
        </is>
      </c>
      <c r="J624" t="inlineStr">
        <is>
          <t>Red</t>
        </is>
      </c>
      <c r="K624" t="n">
        <v>369</v>
      </c>
      <c r="L624" t="n">
        <v>61</v>
      </c>
      <c r="M624" t="n">
        <v>18.19</v>
      </c>
      <c r="N624" t="n">
        <v>1867.98</v>
      </c>
      <c r="O624" t="n">
        <v>3.76</v>
      </c>
      <c r="P624" t="n">
        <v>4</v>
      </c>
      <c r="Q624" t="n">
        <v>0</v>
      </c>
      <c r="R624" t="n">
        <v>2020.5</v>
      </c>
      <c r="S624" t="b">
        <v>0</v>
      </c>
      <c r="T624" t="n">
        <v>4119579</v>
      </c>
      <c r="U624" t="n">
        <v>5</v>
      </c>
      <c r="V624" t="n">
        <v>0.0822</v>
      </c>
      <c r="W624" t="n">
        <v>0.55</v>
      </c>
      <c r="X624" t="n">
        <v>68.16</v>
      </c>
      <c r="Y624">
        <f>VLOOKUP(D624,$AB$2:$AC$7,2,FALSE)</f>
        <v/>
      </c>
      <c r="Z624">
        <f>IF(A624&lt;Y624,"Yes","No")</f>
        <v/>
      </c>
    </row>
    <row r="625">
      <c r="A625" t="n">
        <v>2015</v>
      </c>
      <c r="B625" t="inlineStr">
        <is>
          <t>Q2</t>
        </is>
      </c>
      <c r="C625" t="inlineStr">
        <is>
          <t>Australia</t>
        </is>
      </c>
      <c r="D625" t="inlineStr">
        <is>
          <t>Model S</t>
        </is>
      </c>
      <c r="E625" t="n">
        <v>411</v>
      </c>
      <c r="F625" t="n">
        <v>109249.28</v>
      </c>
      <c r="G625" t="n">
        <v>53</v>
      </c>
      <c r="H625" t="inlineStr">
        <is>
          <t>Long Range</t>
        </is>
      </c>
      <c r="I625" t="inlineStr">
        <is>
          <t>RWD</t>
        </is>
      </c>
      <c r="J625" t="inlineStr">
        <is>
          <t>Black</t>
        </is>
      </c>
      <c r="K625" t="n">
        <v>374</v>
      </c>
      <c r="L625" t="n">
        <v>48</v>
      </c>
      <c r="M625" t="n">
        <v>17.37</v>
      </c>
      <c r="N625" t="n">
        <v>697.1</v>
      </c>
      <c r="O625" t="n">
        <v>4.18</v>
      </c>
      <c r="P625" t="n">
        <v>8</v>
      </c>
      <c r="Q625" t="n">
        <v>1</v>
      </c>
      <c r="R625" t="n">
        <v>2022.11</v>
      </c>
      <c r="S625" t="b">
        <v>0</v>
      </c>
      <c r="T625" t="n">
        <v>4722324</v>
      </c>
      <c r="U625" t="n">
        <v>10</v>
      </c>
      <c r="V625" t="n">
        <v>0.0231</v>
      </c>
      <c r="W625" t="n">
        <v>1.97</v>
      </c>
      <c r="X625" t="n">
        <v>70.40000000000001</v>
      </c>
      <c r="Y625">
        <f>VLOOKUP(D625,$AB$2:$AC$7,2,FALSE)</f>
        <v/>
      </c>
      <c r="Z625">
        <f>IF(A625&lt;Y625,"Yes","No")</f>
        <v/>
      </c>
    </row>
    <row r="626">
      <c r="A626" t="n">
        <v>2014</v>
      </c>
      <c r="B626" t="inlineStr">
        <is>
          <t>Q4</t>
        </is>
      </c>
      <c r="C626" t="inlineStr">
        <is>
          <t>Asia</t>
        </is>
      </c>
      <c r="D626" t="inlineStr">
        <is>
          <t>Model Y</t>
        </is>
      </c>
      <c r="E626" t="n">
        <v>2896</v>
      </c>
      <c r="F626" t="n">
        <v>100221.63</v>
      </c>
      <c r="G626" t="n">
        <v>9</v>
      </c>
      <c r="H626" t="inlineStr">
        <is>
          <t>Performance</t>
        </is>
      </c>
      <c r="I626" t="inlineStr">
        <is>
          <t>RWD</t>
        </is>
      </c>
      <c r="J626" t="inlineStr">
        <is>
          <t>Green</t>
        </is>
      </c>
      <c r="K626" t="n">
        <v>627</v>
      </c>
      <c r="L626" t="n">
        <v>56</v>
      </c>
      <c r="M626" t="n">
        <v>17.32</v>
      </c>
      <c r="N626" t="n">
        <v>3948.47</v>
      </c>
      <c r="O626" t="n">
        <v>4.4</v>
      </c>
      <c r="P626" t="n">
        <v>5</v>
      </c>
      <c r="Q626" t="n">
        <v>2</v>
      </c>
      <c r="R626" t="n">
        <v>2022.11</v>
      </c>
      <c r="S626" t="b">
        <v>0</v>
      </c>
      <c r="T626" t="n">
        <v>3881322</v>
      </c>
      <c r="U626" t="n">
        <v>10</v>
      </c>
      <c r="V626" t="n">
        <v>0.0876</v>
      </c>
      <c r="W626" t="n">
        <v>0.83</v>
      </c>
      <c r="X626" t="n">
        <v>61.28</v>
      </c>
      <c r="Y626">
        <f>VLOOKUP(D626,$AB$2:$AC$7,2,FALSE)</f>
        <v/>
      </c>
      <c r="Z626">
        <f>IF(A626&lt;Y626,"Yes","No")</f>
        <v/>
      </c>
    </row>
    <row r="627">
      <c r="A627" t="n">
        <v>2020</v>
      </c>
      <c r="B627" t="inlineStr">
        <is>
          <t>Q2</t>
        </is>
      </c>
      <c r="C627" t="inlineStr">
        <is>
          <t>South America</t>
        </is>
      </c>
      <c r="D627" t="inlineStr">
        <is>
          <t>Model X</t>
        </is>
      </c>
      <c r="E627" t="n">
        <v>4475</v>
      </c>
      <c r="F627" t="n">
        <v>88779.28</v>
      </c>
      <c r="G627" t="n">
        <v>47</v>
      </c>
      <c r="H627" t="inlineStr">
        <is>
          <t>Standard</t>
        </is>
      </c>
      <c r="I627" t="inlineStr">
        <is>
          <t>AWD</t>
        </is>
      </c>
      <c r="J627" t="inlineStr">
        <is>
          <t>Black</t>
        </is>
      </c>
      <c r="K627" t="n">
        <v>552</v>
      </c>
      <c r="L627" t="n">
        <v>35</v>
      </c>
      <c r="M627" t="n">
        <v>22.88</v>
      </c>
      <c r="N627" t="n">
        <v>10119.97</v>
      </c>
      <c r="O627" t="n">
        <v>4.99</v>
      </c>
      <c r="P627" t="n">
        <v>4</v>
      </c>
      <c r="Q627" t="n">
        <v>0</v>
      </c>
      <c r="R627" t="n">
        <v>2024.1</v>
      </c>
      <c r="S627" t="b">
        <v>0</v>
      </c>
      <c r="T627" t="n">
        <v>4717497</v>
      </c>
      <c r="U627" t="n">
        <v>12</v>
      </c>
      <c r="V627" t="n">
        <v>0.0948</v>
      </c>
      <c r="W627" t="n">
        <v>1.98</v>
      </c>
      <c r="X627" t="n">
        <v>80.52</v>
      </c>
      <c r="Y627">
        <f>VLOOKUP(D627,$AB$2:$AC$7,2,FALSE)</f>
        <v/>
      </c>
      <c r="Z627">
        <f>IF(A627&lt;Y627,"Yes","No")</f>
        <v/>
      </c>
    </row>
    <row r="628">
      <c r="A628" t="n">
        <v>2024</v>
      </c>
      <c r="B628" t="inlineStr">
        <is>
          <t>Q3</t>
        </is>
      </c>
      <c r="C628" t="inlineStr">
        <is>
          <t>Australia</t>
        </is>
      </c>
      <c r="D628" t="inlineStr">
        <is>
          <t>Model S</t>
        </is>
      </c>
      <c r="E628" t="n">
        <v>2716</v>
      </c>
      <c r="F628" t="n">
        <v>97207.64999999999</v>
      </c>
      <c r="G628" t="n">
        <v>51</v>
      </c>
      <c r="H628" t="inlineStr">
        <is>
          <t>Long Range</t>
        </is>
      </c>
      <c r="I628" t="inlineStr">
        <is>
          <t>RWD</t>
        </is>
      </c>
      <c r="J628" t="inlineStr">
        <is>
          <t>Silver</t>
        </is>
      </c>
      <c r="K628" t="n">
        <v>686</v>
      </c>
      <c r="L628" t="n">
        <v>82</v>
      </c>
      <c r="M628" t="n">
        <v>17.71</v>
      </c>
      <c r="N628" t="n">
        <v>4492.37</v>
      </c>
      <c r="O628" t="n">
        <v>4.62</v>
      </c>
      <c r="P628" t="n">
        <v>4</v>
      </c>
      <c r="Q628" t="n">
        <v>1</v>
      </c>
      <c r="R628" t="n">
        <v>2023.3</v>
      </c>
      <c r="S628" t="b">
        <v>1</v>
      </c>
      <c r="T628" t="n">
        <v>105000</v>
      </c>
      <c r="U628" t="n">
        <v>10</v>
      </c>
      <c r="V628" t="n">
        <v>0.082</v>
      </c>
      <c r="W628" t="n">
        <v>1.49</v>
      </c>
      <c r="X628" t="n">
        <v>87.48</v>
      </c>
      <c r="Y628">
        <f>VLOOKUP(D628,$AB$2:$AC$7,2,FALSE)</f>
        <v/>
      </c>
      <c r="Z628">
        <f>IF(A628&lt;Y628,"Yes","No")</f>
        <v/>
      </c>
    </row>
    <row r="629">
      <c r="A629" t="n">
        <v>2023</v>
      </c>
      <c r="B629" t="inlineStr">
        <is>
          <t>Q3</t>
        </is>
      </c>
      <c r="C629" t="inlineStr">
        <is>
          <t>Europe</t>
        </is>
      </c>
      <c r="D629" t="inlineStr">
        <is>
          <t>Model Y</t>
        </is>
      </c>
      <c r="E629" t="n">
        <v>2531</v>
      </c>
      <c r="F629" t="n">
        <v>105144.72</v>
      </c>
      <c r="G629" t="n">
        <v>34</v>
      </c>
      <c r="H629" t="inlineStr">
        <is>
          <t>Performance</t>
        </is>
      </c>
      <c r="I629" t="inlineStr">
        <is>
          <t>AWD</t>
        </is>
      </c>
      <c r="J629" t="inlineStr">
        <is>
          <t>Black</t>
        </is>
      </c>
      <c r="K629" t="n">
        <v>362</v>
      </c>
      <c r="L629" t="n">
        <v>31</v>
      </c>
      <c r="M629" t="n">
        <v>13.37</v>
      </c>
      <c r="N629" t="n">
        <v>1878.38</v>
      </c>
      <c r="O629" t="n">
        <v>3.78</v>
      </c>
      <c r="P629" t="n">
        <v>4</v>
      </c>
      <c r="Q629" t="n">
        <v>0</v>
      </c>
      <c r="R629" t="n">
        <v>2022.8</v>
      </c>
      <c r="S629" t="b">
        <v>1</v>
      </c>
      <c r="T629" t="n">
        <v>3639300</v>
      </c>
      <c r="U629" t="n">
        <v>7</v>
      </c>
      <c r="V629" t="n">
        <v>0.06950000000000001</v>
      </c>
      <c r="W629" t="n">
        <v>0.52</v>
      </c>
      <c r="X629" t="n">
        <v>77.93000000000001</v>
      </c>
      <c r="Y629">
        <f>VLOOKUP(D629,$AB$2:$AC$7,2,FALSE)</f>
        <v/>
      </c>
      <c r="Z629">
        <f>IF(A629&lt;Y629,"Yes","No")</f>
        <v/>
      </c>
    </row>
    <row r="630">
      <c r="A630" t="n">
        <v>2017</v>
      </c>
      <c r="B630" t="inlineStr">
        <is>
          <t>Q4</t>
        </is>
      </c>
      <c r="C630" t="inlineStr">
        <is>
          <t>Asia</t>
        </is>
      </c>
      <c r="D630" t="inlineStr">
        <is>
          <t>Model 3</t>
        </is>
      </c>
      <c r="E630" t="n">
        <v>2538</v>
      </c>
      <c r="F630" t="n">
        <v>71424.53</v>
      </c>
      <c r="G630" t="n">
        <v>37</v>
      </c>
      <c r="H630" t="inlineStr">
        <is>
          <t>Long Range</t>
        </is>
      </c>
      <c r="I630" t="inlineStr">
        <is>
          <t>AWD</t>
        </is>
      </c>
      <c r="J630" t="inlineStr">
        <is>
          <t>Green</t>
        </is>
      </c>
      <c r="K630" t="n">
        <v>601</v>
      </c>
      <c r="L630" t="n">
        <v>32</v>
      </c>
      <c r="M630" t="n">
        <v>19</v>
      </c>
      <c r="N630" t="n">
        <v>3053.2</v>
      </c>
      <c r="O630" t="n">
        <v>3.88</v>
      </c>
      <c r="P630" t="n">
        <v>8</v>
      </c>
      <c r="Q630" t="n">
        <v>3</v>
      </c>
      <c r="R630" t="n">
        <v>2024.2</v>
      </c>
      <c r="S630" t="b">
        <v>0</v>
      </c>
      <c r="T630" t="n">
        <v>3044862</v>
      </c>
      <c r="U630" t="n">
        <v>12</v>
      </c>
      <c r="V630" t="n">
        <v>0.0541</v>
      </c>
      <c r="W630" t="n">
        <v>0.55</v>
      </c>
      <c r="X630" t="n">
        <v>61.16</v>
      </c>
      <c r="Y630">
        <f>VLOOKUP(D630,$AB$2:$AC$7,2,FALSE)</f>
        <v/>
      </c>
      <c r="Z630">
        <f>IF(A630&lt;Y630,"Yes","No")</f>
        <v/>
      </c>
    </row>
    <row r="631">
      <c r="A631" t="n">
        <v>2019</v>
      </c>
      <c r="B631" t="inlineStr">
        <is>
          <t>Q1</t>
        </is>
      </c>
      <c r="C631" t="inlineStr">
        <is>
          <t>Australia</t>
        </is>
      </c>
      <c r="D631" t="inlineStr">
        <is>
          <t>Model X</t>
        </is>
      </c>
      <c r="E631" t="n">
        <v>4504</v>
      </c>
      <c r="F631" t="n">
        <v>42824.15</v>
      </c>
      <c r="G631" t="n">
        <v>15</v>
      </c>
      <c r="H631" t="inlineStr">
        <is>
          <t>Performance</t>
        </is>
      </c>
      <c r="I631" t="inlineStr">
        <is>
          <t>AWD</t>
        </is>
      </c>
      <c r="J631" t="inlineStr">
        <is>
          <t>Blue</t>
        </is>
      </c>
      <c r="K631" t="n">
        <v>544</v>
      </c>
      <c r="L631" t="n">
        <v>77</v>
      </c>
      <c r="M631" t="n">
        <v>17.05</v>
      </c>
      <c r="N631" t="n">
        <v>7689.31</v>
      </c>
      <c r="O631" t="n">
        <v>4.2</v>
      </c>
      <c r="P631" t="n">
        <v>6</v>
      </c>
      <c r="Q631" t="n">
        <v>2</v>
      </c>
      <c r="R631" t="n">
        <v>2024.12</v>
      </c>
      <c r="S631" t="b">
        <v>0</v>
      </c>
      <c r="T631" t="n">
        <v>1916597</v>
      </c>
      <c r="U631" t="n">
        <v>11</v>
      </c>
      <c r="V631" t="n">
        <v>0.047</v>
      </c>
      <c r="W631" t="n">
        <v>0.52</v>
      </c>
      <c r="X631" t="n">
        <v>63.85</v>
      </c>
      <c r="Y631">
        <f>VLOOKUP(D631,$AB$2:$AC$7,2,FALSE)</f>
        <v/>
      </c>
      <c r="Z631">
        <f>IF(A631&lt;Y631,"Yes","No")</f>
        <v/>
      </c>
    </row>
    <row r="632">
      <c r="A632" t="n">
        <v>2022</v>
      </c>
      <c r="B632" t="inlineStr">
        <is>
          <t>Q1</t>
        </is>
      </c>
      <c r="C632" t="inlineStr">
        <is>
          <t>South America</t>
        </is>
      </c>
      <c r="D632" t="inlineStr">
        <is>
          <t>Model Y</t>
        </is>
      </c>
      <c r="E632" t="n">
        <v>616</v>
      </c>
      <c r="F632" t="n">
        <v>77676.17</v>
      </c>
      <c r="G632" t="n">
        <v>29</v>
      </c>
      <c r="H632" t="inlineStr">
        <is>
          <t>Long Range</t>
        </is>
      </c>
      <c r="I632" t="inlineStr">
        <is>
          <t>RWD</t>
        </is>
      </c>
      <c r="J632" t="inlineStr">
        <is>
          <t>Silver</t>
        </is>
      </c>
      <c r="K632" t="n">
        <v>684</v>
      </c>
      <c r="L632" t="n">
        <v>76</v>
      </c>
      <c r="M632" t="n">
        <v>13.58</v>
      </c>
      <c r="N632" t="n">
        <v>1029.53</v>
      </c>
      <c r="O632" t="n">
        <v>4.55</v>
      </c>
      <c r="P632" t="n">
        <v>8</v>
      </c>
      <c r="Q632" t="n">
        <v>1</v>
      </c>
      <c r="R632" t="n">
        <v>2023.5</v>
      </c>
      <c r="S632" t="b">
        <v>1</v>
      </c>
      <c r="T632" t="n">
        <v>434004</v>
      </c>
      <c r="U632" t="n">
        <v>6</v>
      </c>
      <c r="V632" t="n">
        <v>0.0641</v>
      </c>
      <c r="W632" t="n">
        <v>1.35</v>
      </c>
      <c r="X632" t="n">
        <v>80.59999999999999</v>
      </c>
      <c r="Y632">
        <f>VLOOKUP(D632,$AB$2:$AC$7,2,FALSE)</f>
        <v/>
      </c>
      <c r="Z632">
        <f>IF(A632&lt;Y632,"Yes","No")</f>
        <v/>
      </c>
    </row>
    <row r="633">
      <c r="A633" t="n">
        <v>2013</v>
      </c>
      <c r="B633" t="inlineStr">
        <is>
          <t>Q2</t>
        </is>
      </c>
      <c r="C633" t="inlineStr">
        <is>
          <t>Australia</t>
        </is>
      </c>
      <c r="D633" t="inlineStr">
        <is>
          <t>Model Y</t>
        </is>
      </c>
      <c r="E633" t="n">
        <v>2090</v>
      </c>
      <c r="F633" t="n">
        <v>35483.86</v>
      </c>
      <c r="G633" t="n">
        <v>49</v>
      </c>
      <c r="H633" t="inlineStr">
        <is>
          <t>Performance</t>
        </is>
      </c>
      <c r="I633" t="inlineStr">
        <is>
          <t>AWD</t>
        </is>
      </c>
      <c r="J633" t="inlineStr">
        <is>
          <t>Blue</t>
        </is>
      </c>
      <c r="K633" t="n">
        <v>372</v>
      </c>
      <c r="L633" t="n">
        <v>49</v>
      </c>
      <c r="M633" t="n">
        <v>15.19</v>
      </c>
      <c r="N633" t="n">
        <v>2466.49</v>
      </c>
      <c r="O633" t="n">
        <v>4.52</v>
      </c>
      <c r="P633" t="n">
        <v>8</v>
      </c>
      <c r="Q633" t="n">
        <v>1</v>
      </c>
      <c r="R633" t="n">
        <v>2023.12</v>
      </c>
      <c r="S633" t="b">
        <v>1</v>
      </c>
      <c r="T633" t="n">
        <v>951760</v>
      </c>
      <c r="U633" t="n">
        <v>4</v>
      </c>
      <c r="V633" t="n">
        <v>0.0225</v>
      </c>
      <c r="W633" t="n">
        <v>1.98</v>
      </c>
      <c r="X633" t="n">
        <v>88.40000000000001</v>
      </c>
      <c r="Y633">
        <f>VLOOKUP(D633,$AB$2:$AC$7,2,FALSE)</f>
        <v/>
      </c>
      <c r="Z633">
        <f>IF(A633&lt;Y633,"Yes","No")</f>
        <v/>
      </c>
    </row>
    <row r="634">
      <c r="A634" t="n">
        <v>2021</v>
      </c>
      <c r="B634" t="inlineStr">
        <is>
          <t>Q1</t>
        </is>
      </c>
      <c r="C634" t="inlineStr">
        <is>
          <t>Australia</t>
        </is>
      </c>
      <c r="D634" t="inlineStr">
        <is>
          <t>Model Y</t>
        </is>
      </c>
      <c r="E634" t="n">
        <v>3053</v>
      </c>
      <c r="F634" t="n">
        <v>102518.67</v>
      </c>
      <c r="G634" t="n">
        <v>27</v>
      </c>
      <c r="H634" t="inlineStr">
        <is>
          <t>Standard</t>
        </is>
      </c>
      <c r="I634" t="inlineStr">
        <is>
          <t>RWD</t>
        </is>
      </c>
      <c r="J634" t="inlineStr">
        <is>
          <t>Green</t>
        </is>
      </c>
      <c r="K634" t="n">
        <v>628</v>
      </c>
      <c r="L634" t="n">
        <v>36</v>
      </c>
      <c r="M634" t="n">
        <v>18.02</v>
      </c>
      <c r="N634" t="n">
        <v>1731.28</v>
      </c>
      <c r="O634" t="n">
        <v>4.15</v>
      </c>
      <c r="P634" t="n">
        <v>8</v>
      </c>
      <c r="Q634" t="n">
        <v>0</v>
      </c>
      <c r="R634" t="n">
        <v>2020.2</v>
      </c>
      <c r="S634" t="b">
        <v>0</v>
      </c>
      <c r="T634" t="n">
        <v>3100123</v>
      </c>
      <c r="U634" t="n">
        <v>9</v>
      </c>
      <c r="V634" t="n">
        <v>0.0461</v>
      </c>
      <c r="W634" t="n">
        <v>2.34</v>
      </c>
      <c r="X634" t="n">
        <v>87.2</v>
      </c>
      <c r="Y634">
        <f>VLOOKUP(D634,$AB$2:$AC$7,2,FALSE)</f>
        <v/>
      </c>
      <c r="Z634">
        <f>IF(A634&lt;Y634,"Yes","No")</f>
        <v/>
      </c>
    </row>
    <row r="635">
      <c r="A635" t="n">
        <v>2014</v>
      </c>
      <c r="B635" t="inlineStr">
        <is>
          <t>Q1</t>
        </is>
      </c>
      <c r="C635" t="inlineStr">
        <is>
          <t>North America</t>
        </is>
      </c>
      <c r="D635" t="inlineStr">
        <is>
          <t>Model 3</t>
        </is>
      </c>
      <c r="E635" t="n">
        <v>757</v>
      </c>
      <c r="F635" t="n">
        <v>83485.75</v>
      </c>
      <c r="G635" t="n">
        <v>42</v>
      </c>
      <c r="H635" t="inlineStr">
        <is>
          <t>Standard</t>
        </is>
      </c>
      <c r="I635" t="inlineStr">
        <is>
          <t>RWD</t>
        </is>
      </c>
      <c r="J635" t="inlineStr">
        <is>
          <t>Green</t>
        </is>
      </c>
      <c r="K635" t="n">
        <v>629</v>
      </c>
      <c r="L635" t="n">
        <v>53</v>
      </c>
      <c r="M635" t="n">
        <v>19.69</v>
      </c>
      <c r="N635" t="n">
        <v>1102.01</v>
      </c>
      <c r="O635" t="n">
        <v>4.96</v>
      </c>
      <c r="P635" t="n">
        <v>5</v>
      </c>
      <c r="Q635" t="n">
        <v>3</v>
      </c>
      <c r="R635" t="n">
        <v>2020.9</v>
      </c>
      <c r="S635" t="b">
        <v>1</v>
      </c>
      <c r="T635" t="n">
        <v>2048239</v>
      </c>
      <c r="U635" t="n">
        <v>5</v>
      </c>
      <c r="V635" t="n">
        <v>0.0233</v>
      </c>
      <c r="W635" t="n">
        <v>0.77</v>
      </c>
      <c r="X635" t="n">
        <v>81.04000000000001</v>
      </c>
      <c r="Y635">
        <f>VLOOKUP(D635,$AB$2:$AC$7,2,FALSE)</f>
        <v/>
      </c>
      <c r="Z635">
        <f>IF(A635&lt;Y635,"Yes","No")</f>
        <v/>
      </c>
    </row>
    <row r="636">
      <c r="A636" t="n">
        <v>2012</v>
      </c>
      <c r="B636" t="inlineStr">
        <is>
          <t>Q3</t>
        </is>
      </c>
      <c r="C636" t="inlineStr">
        <is>
          <t>North America</t>
        </is>
      </c>
      <c r="D636" t="inlineStr">
        <is>
          <t>Cybertruck</t>
        </is>
      </c>
      <c r="E636" t="n">
        <v>149</v>
      </c>
      <c r="F636" t="n">
        <v>44583.97</v>
      </c>
      <c r="G636" t="n">
        <v>42</v>
      </c>
      <c r="H636" t="inlineStr">
        <is>
          <t>Long Range</t>
        </is>
      </c>
      <c r="I636" t="inlineStr">
        <is>
          <t>AWD</t>
        </is>
      </c>
      <c r="J636" t="inlineStr">
        <is>
          <t>White</t>
        </is>
      </c>
      <c r="K636" t="n">
        <v>420</v>
      </c>
      <c r="L636" t="n">
        <v>50</v>
      </c>
      <c r="M636" t="n">
        <v>24.05</v>
      </c>
      <c r="N636" t="n">
        <v>330.95</v>
      </c>
      <c r="O636" t="n">
        <v>4.7</v>
      </c>
      <c r="P636" t="n">
        <v>5</v>
      </c>
      <c r="Q636" t="n">
        <v>3</v>
      </c>
      <c r="R636" t="n">
        <v>2023.8</v>
      </c>
      <c r="S636" t="b">
        <v>1</v>
      </c>
      <c r="T636" t="n">
        <v>930866</v>
      </c>
      <c r="U636" t="n">
        <v>4</v>
      </c>
      <c r="V636" t="n">
        <v>0.0449</v>
      </c>
      <c r="W636" t="n">
        <v>1.77</v>
      </c>
      <c r="X636" t="n">
        <v>76.23999999999999</v>
      </c>
      <c r="Y636">
        <f>VLOOKUP(D636,$AB$2:$AC$7,2,FALSE)</f>
        <v/>
      </c>
      <c r="Z636">
        <f>IF(A636&lt;Y636,"Yes","No")</f>
        <v/>
      </c>
    </row>
    <row r="637">
      <c r="A637" t="n">
        <v>2024</v>
      </c>
      <c r="B637" t="inlineStr">
        <is>
          <t>Q1</t>
        </is>
      </c>
      <c r="C637" t="inlineStr">
        <is>
          <t>Europe</t>
        </is>
      </c>
      <c r="D637" t="inlineStr">
        <is>
          <t>Semi</t>
        </is>
      </c>
      <c r="E637" t="n">
        <v>1090</v>
      </c>
      <c r="F637" t="n">
        <v>107916.88</v>
      </c>
      <c r="G637" t="n">
        <v>9</v>
      </c>
      <c r="H637" t="inlineStr">
        <is>
          <t>Standard</t>
        </is>
      </c>
      <c r="I637" t="inlineStr">
        <is>
          <t>RWD</t>
        </is>
      </c>
      <c r="J637" t="inlineStr">
        <is>
          <t>Silver</t>
        </is>
      </c>
      <c r="K637" t="n">
        <v>387</v>
      </c>
      <c r="L637" t="n">
        <v>66</v>
      </c>
      <c r="M637" t="n">
        <v>14.98</v>
      </c>
      <c r="N637" t="n">
        <v>1911.73</v>
      </c>
      <c r="O637" t="n">
        <v>4.12</v>
      </c>
      <c r="P637" t="n">
        <v>6</v>
      </c>
      <c r="Q637" t="n">
        <v>1</v>
      </c>
      <c r="R637" t="n">
        <v>2022.7</v>
      </c>
      <c r="S637" t="b">
        <v>1</v>
      </c>
      <c r="T637" t="n">
        <v>3722796</v>
      </c>
      <c r="U637" t="n">
        <v>2</v>
      </c>
      <c r="V637" t="n">
        <v>0.08840000000000001</v>
      </c>
      <c r="W637" t="n">
        <v>2.06</v>
      </c>
      <c r="X637" t="n">
        <v>60.83</v>
      </c>
      <c r="Y637">
        <f>VLOOKUP(D637,$AB$2:$AC$7,2,FALSE)</f>
        <v/>
      </c>
      <c r="Z637">
        <f>IF(A637&lt;Y637,"Yes","No")</f>
        <v/>
      </c>
    </row>
    <row r="638">
      <c r="A638" t="n">
        <v>2022</v>
      </c>
      <c r="B638" t="inlineStr">
        <is>
          <t>Q3</t>
        </is>
      </c>
      <c r="C638" t="inlineStr">
        <is>
          <t>Australia</t>
        </is>
      </c>
      <c r="D638" t="inlineStr">
        <is>
          <t>Model Y</t>
        </is>
      </c>
      <c r="E638" t="n">
        <v>1890</v>
      </c>
      <c r="F638" t="n">
        <v>98631.72</v>
      </c>
      <c r="G638" t="n">
        <v>8</v>
      </c>
      <c r="H638" t="inlineStr">
        <is>
          <t>Long Range</t>
        </is>
      </c>
      <c r="I638" t="inlineStr">
        <is>
          <t>RWD</t>
        </is>
      </c>
      <c r="J638" t="inlineStr">
        <is>
          <t>Green</t>
        </is>
      </c>
      <c r="K638" t="n">
        <v>675</v>
      </c>
      <c r="L638" t="n">
        <v>40</v>
      </c>
      <c r="M638" t="n">
        <v>15.9</v>
      </c>
      <c r="N638" t="n">
        <v>2915.36</v>
      </c>
      <c r="O638" t="n">
        <v>4.25</v>
      </c>
      <c r="P638" t="n">
        <v>4</v>
      </c>
      <c r="Q638" t="n">
        <v>3</v>
      </c>
      <c r="R638" t="n">
        <v>2024.1</v>
      </c>
      <c r="S638" t="b">
        <v>0</v>
      </c>
      <c r="T638" t="n">
        <v>656449</v>
      </c>
      <c r="U638" t="n">
        <v>10</v>
      </c>
      <c r="V638" t="n">
        <v>0.0176</v>
      </c>
      <c r="W638" t="n">
        <v>2.28</v>
      </c>
      <c r="X638" t="n">
        <v>64.37</v>
      </c>
      <c r="Y638">
        <f>VLOOKUP(D638,$AB$2:$AC$7,2,FALSE)</f>
        <v/>
      </c>
      <c r="Z638">
        <f>IF(A638&lt;Y638,"Yes","No")</f>
        <v/>
      </c>
    </row>
    <row r="639">
      <c r="A639" t="n">
        <v>2022</v>
      </c>
      <c r="B639" t="inlineStr">
        <is>
          <t>Q1</t>
        </is>
      </c>
      <c r="C639" t="inlineStr">
        <is>
          <t>Asia</t>
        </is>
      </c>
      <c r="D639" t="inlineStr">
        <is>
          <t>Model X</t>
        </is>
      </c>
      <c r="E639" t="n">
        <v>3271</v>
      </c>
      <c r="F639" t="n">
        <v>58870.85</v>
      </c>
      <c r="G639" t="n">
        <v>41</v>
      </c>
      <c r="H639" t="inlineStr">
        <is>
          <t>Long Range</t>
        </is>
      </c>
      <c r="I639" t="inlineStr">
        <is>
          <t>RWD</t>
        </is>
      </c>
      <c r="J639" t="inlineStr">
        <is>
          <t>Silver</t>
        </is>
      </c>
      <c r="K639" t="n">
        <v>659</v>
      </c>
      <c r="L639" t="n">
        <v>50</v>
      </c>
      <c r="M639" t="n">
        <v>24.03</v>
      </c>
      <c r="N639" t="n">
        <v>7231.39</v>
      </c>
      <c r="O639" t="n">
        <v>4.2</v>
      </c>
      <c r="P639" t="n">
        <v>8</v>
      </c>
      <c r="Q639" t="n">
        <v>3</v>
      </c>
      <c r="R639" t="n">
        <v>2024.12</v>
      </c>
      <c r="S639" t="b">
        <v>1</v>
      </c>
      <c r="T639" t="n">
        <v>4037009</v>
      </c>
      <c r="U639" t="n">
        <v>7</v>
      </c>
      <c r="V639" t="n">
        <v>0.0182</v>
      </c>
      <c r="W639" t="n">
        <v>1.48</v>
      </c>
      <c r="X639" t="n">
        <v>70.27</v>
      </c>
      <c r="Y639">
        <f>VLOOKUP(D639,$AB$2:$AC$7,2,FALSE)</f>
        <v/>
      </c>
      <c r="Z639">
        <f>IF(A639&lt;Y639,"Yes","No")</f>
        <v/>
      </c>
    </row>
    <row r="640">
      <c r="A640" t="n">
        <v>2020</v>
      </c>
      <c r="B640" t="inlineStr">
        <is>
          <t>Q1</t>
        </is>
      </c>
      <c r="C640" t="inlineStr">
        <is>
          <t>Asia</t>
        </is>
      </c>
      <c r="D640" t="inlineStr">
        <is>
          <t>Semi</t>
        </is>
      </c>
      <c r="E640" t="n">
        <v>2247</v>
      </c>
      <c r="F640" t="n">
        <v>114403.67</v>
      </c>
      <c r="G640" t="n">
        <v>55</v>
      </c>
      <c r="H640" t="inlineStr">
        <is>
          <t>Long Range</t>
        </is>
      </c>
      <c r="I640" t="inlineStr">
        <is>
          <t>AWD</t>
        </is>
      </c>
      <c r="J640" t="inlineStr">
        <is>
          <t>White</t>
        </is>
      </c>
      <c r="K640" t="n">
        <v>515</v>
      </c>
      <c r="L640" t="n">
        <v>88</v>
      </c>
      <c r="M640" t="n">
        <v>15.87</v>
      </c>
      <c r="N640" t="n">
        <v>1983.05</v>
      </c>
      <c r="O640" t="n">
        <v>4.96</v>
      </c>
      <c r="P640" t="n">
        <v>5</v>
      </c>
      <c r="Q640" t="n">
        <v>2</v>
      </c>
      <c r="R640" t="n">
        <v>2024.11</v>
      </c>
      <c r="S640" t="b">
        <v>0</v>
      </c>
      <c r="T640" t="n">
        <v>2436413</v>
      </c>
      <c r="U640" t="n">
        <v>6</v>
      </c>
      <c r="V640" t="n">
        <v>0.0638</v>
      </c>
      <c r="W640" t="n">
        <v>1.84</v>
      </c>
      <c r="X640" t="n">
        <v>65.65000000000001</v>
      </c>
      <c r="Y640">
        <f>VLOOKUP(D640,$AB$2:$AC$7,2,FALSE)</f>
        <v/>
      </c>
      <c r="Z640">
        <f>IF(A640&lt;Y640,"Yes","No")</f>
        <v/>
      </c>
    </row>
    <row r="641">
      <c r="A641" t="n">
        <v>2021</v>
      </c>
      <c r="B641" t="inlineStr">
        <is>
          <t>Q2</t>
        </is>
      </c>
      <c r="C641" t="inlineStr">
        <is>
          <t>Asia</t>
        </is>
      </c>
      <c r="D641" t="inlineStr">
        <is>
          <t>Model 3</t>
        </is>
      </c>
      <c r="E641" t="n">
        <v>3011</v>
      </c>
      <c r="F641" t="n">
        <v>95572.78999999999</v>
      </c>
      <c r="G641" t="n">
        <v>35</v>
      </c>
      <c r="H641" t="inlineStr">
        <is>
          <t>Long Range</t>
        </is>
      </c>
      <c r="I641" t="inlineStr">
        <is>
          <t>AWD</t>
        </is>
      </c>
      <c r="J641" t="inlineStr">
        <is>
          <t>Blue</t>
        </is>
      </c>
      <c r="K641" t="n">
        <v>647</v>
      </c>
      <c r="L641" t="n">
        <v>63</v>
      </c>
      <c r="M641" t="n">
        <v>15.08</v>
      </c>
      <c r="N641" t="n">
        <v>5869</v>
      </c>
      <c r="O641" t="n">
        <v>4.81</v>
      </c>
      <c r="P641" t="n">
        <v>5</v>
      </c>
      <c r="Q641" t="n">
        <v>1</v>
      </c>
      <c r="R641" t="n">
        <v>2024.11</v>
      </c>
      <c r="S641" t="b">
        <v>0</v>
      </c>
      <c r="T641" t="n">
        <v>1635768</v>
      </c>
      <c r="U641" t="n">
        <v>12</v>
      </c>
      <c r="V641" t="n">
        <v>0.0829</v>
      </c>
      <c r="W641" t="n">
        <v>1.25</v>
      </c>
      <c r="X641" t="n">
        <v>71.75</v>
      </c>
      <c r="Y641">
        <f>VLOOKUP(D641,$AB$2:$AC$7,2,FALSE)</f>
        <v/>
      </c>
      <c r="Z641">
        <f>IF(A641&lt;Y641,"Yes","No")</f>
        <v/>
      </c>
    </row>
    <row r="642">
      <c r="A642" t="n">
        <v>2023</v>
      </c>
      <c r="B642" t="inlineStr">
        <is>
          <t>Q3</t>
        </is>
      </c>
      <c r="C642" t="inlineStr">
        <is>
          <t>South America</t>
        </is>
      </c>
      <c r="D642" t="inlineStr">
        <is>
          <t>Model Y</t>
        </is>
      </c>
      <c r="E642" t="n">
        <v>4452</v>
      </c>
      <c r="F642" t="n">
        <v>64018.95</v>
      </c>
      <c r="G642" t="n">
        <v>16</v>
      </c>
      <c r="H642" t="inlineStr">
        <is>
          <t>Performance</t>
        </is>
      </c>
      <c r="I642" t="inlineStr">
        <is>
          <t>AWD</t>
        </is>
      </c>
      <c r="J642" t="inlineStr">
        <is>
          <t>White</t>
        </is>
      </c>
      <c r="K642" t="n">
        <v>413</v>
      </c>
      <c r="L642" t="n">
        <v>54</v>
      </c>
      <c r="M642" t="n">
        <v>22.76</v>
      </c>
      <c r="N642" t="n">
        <v>10986.36</v>
      </c>
      <c r="O642" t="n">
        <v>3.5</v>
      </c>
      <c r="P642" t="n">
        <v>5</v>
      </c>
      <c r="Q642" t="n">
        <v>2</v>
      </c>
      <c r="R642" t="n">
        <v>2023.8</v>
      </c>
      <c r="S642" t="b">
        <v>0</v>
      </c>
      <c r="T642" t="n">
        <v>4387571</v>
      </c>
      <c r="U642" t="n">
        <v>11</v>
      </c>
      <c r="V642" t="n">
        <v>0.0478</v>
      </c>
      <c r="W642" t="n">
        <v>1.03</v>
      </c>
      <c r="X642" t="n">
        <v>89.45</v>
      </c>
      <c r="Y642">
        <f>VLOOKUP(D642,$AB$2:$AC$7,2,FALSE)</f>
        <v/>
      </c>
      <c r="Z642">
        <f>IF(A642&lt;Y642,"Yes","No")</f>
        <v/>
      </c>
    </row>
    <row r="643">
      <c r="A643" t="n">
        <v>2022</v>
      </c>
      <c r="B643" t="inlineStr">
        <is>
          <t>Q4</t>
        </is>
      </c>
      <c r="C643" t="inlineStr">
        <is>
          <t>South America</t>
        </is>
      </c>
      <c r="D643" t="inlineStr">
        <is>
          <t>Model S</t>
        </is>
      </c>
      <c r="E643" t="n">
        <v>3952</v>
      </c>
      <c r="F643" t="n">
        <v>72159.64</v>
      </c>
      <c r="G643" t="n">
        <v>20</v>
      </c>
      <c r="H643" t="inlineStr">
        <is>
          <t>Standard</t>
        </is>
      </c>
      <c r="I643" t="inlineStr">
        <is>
          <t>AWD</t>
        </is>
      </c>
      <c r="J643" t="inlineStr">
        <is>
          <t>Black</t>
        </is>
      </c>
      <c r="K643" t="n">
        <v>412</v>
      </c>
      <c r="L643" t="n">
        <v>53</v>
      </c>
      <c r="M643" t="n">
        <v>22.12</v>
      </c>
      <c r="N643" t="n">
        <v>9834.08</v>
      </c>
      <c r="O643" t="n">
        <v>3.56</v>
      </c>
      <c r="P643" t="n">
        <v>4</v>
      </c>
      <c r="Q643" t="n">
        <v>2</v>
      </c>
      <c r="R643" t="n">
        <v>2020.9</v>
      </c>
      <c r="S643" t="b">
        <v>0</v>
      </c>
      <c r="T643" t="n">
        <v>1168894</v>
      </c>
      <c r="U643" t="n">
        <v>3</v>
      </c>
      <c r="V643" t="n">
        <v>0.09329999999999999</v>
      </c>
      <c r="W643" t="n">
        <v>1.87</v>
      </c>
      <c r="X643" t="n">
        <v>66.15000000000001</v>
      </c>
      <c r="Y643">
        <f>VLOOKUP(D643,$AB$2:$AC$7,2,FALSE)</f>
        <v/>
      </c>
      <c r="Z643">
        <f>IF(A643&lt;Y643,"Yes","No")</f>
        <v/>
      </c>
    </row>
    <row r="644">
      <c r="A644" t="n">
        <v>2022</v>
      </c>
      <c r="B644" t="inlineStr">
        <is>
          <t>Q1</t>
        </is>
      </c>
      <c r="C644" t="inlineStr">
        <is>
          <t>North America</t>
        </is>
      </c>
      <c r="D644" t="inlineStr">
        <is>
          <t>Model S</t>
        </is>
      </c>
      <c r="E644" t="n">
        <v>2815</v>
      </c>
      <c r="F644" t="n">
        <v>118031.08</v>
      </c>
      <c r="G644" t="n">
        <v>46</v>
      </c>
      <c r="H644" t="inlineStr">
        <is>
          <t>Long Range</t>
        </is>
      </c>
      <c r="I644" t="inlineStr">
        <is>
          <t>RWD</t>
        </is>
      </c>
      <c r="J644" t="inlineStr">
        <is>
          <t>Blue</t>
        </is>
      </c>
      <c r="K644" t="n">
        <v>473</v>
      </c>
      <c r="L644" t="n">
        <v>44</v>
      </c>
      <c r="M644" t="n">
        <v>15.65</v>
      </c>
      <c r="N644" t="n">
        <v>4806.11</v>
      </c>
      <c r="O644" t="n">
        <v>4.63</v>
      </c>
      <c r="P644" t="n">
        <v>6</v>
      </c>
      <c r="Q644" t="n">
        <v>1</v>
      </c>
      <c r="R644" t="n">
        <v>2021.1</v>
      </c>
      <c r="S644" t="b">
        <v>0</v>
      </c>
      <c r="T644" t="n">
        <v>1944422</v>
      </c>
      <c r="U644" t="n">
        <v>4</v>
      </c>
      <c r="V644" t="n">
        <v>0.0825</v>
      </c>
      <c r="W644" t="n">
        <v>2.15</v>
      </c>
      <c r="X644" t="n">
        <v>66.09</v>
      </c>
      <c r="Y644">
        <f>VLOOKUP(D644,$AB$2:$AC$7,2,FALSE)</f>
        <v/>
      </c>
      <c r="Z644">
        <f>IF(A644&lt;Y644,"Yes","No")</f>
        <v/>
      </c>
    </row>
    <row r="645">
      <c r="A645" t="n">
        <v>2021</v>
      </c>
      <c r="B645" t="inlineStr">
        <is>
          <t>Q1</t>
        </is>
      </c>
      <c r="C645" t="inlineStr">
        <is>
          <t>Europe</t>
        </is>
      </c>
      <c r="D645" t="inlineStr">
        <is>
          <t>Model S</t>
        </is>
      </c>
      <c r="E645" t="n">
        <v>4729</v>
      </c>
      <c r="F645" t="n">
        <v>97938.77</v>
      </c>
      <c r="G645" t="n">
        <v>17</v>
      </c>
      <c r="H645" t="inlineStr">
        <is>
          <t>Long Range</t>
        </is>
      </c>
      <c r="I645" t="inlineStr">
        <is>
          <t>AWD</t>
        </is>
      </c>
      <c r="J645" t="inlineStr">
        <is>
          <t>Red</t>
        </is>
      </c>
      <c r="K645" t="n">
        <v>476</v>
      </c>
      <c r="L645" t="n">
        <v>84</v>
      </c>
      <c r="M645" t="n">
        <v>17.88</v>
      </c>
      <c r="N645" t="n">
        <v>4653.57</v>
      </c>
      <c r="O645" t="n">
        <v>4.41</v>
      </c>
      <c r="P645" t="n">
        <v>5</v>
      </c>
      <c r="Q645" t="n">
        <v>1</v>
      </c>
      <c r="R645" t="n">
        <v>2022.2</v>
      </c>
      <c r="S645" t="b">
        <v>1</v>
      </c>
      <c r="T645" t="n">
        <v>2102954</v>
      </c>
      <c r="U645" t="n">
        <v>12</v>
      </c>
      <c r="V645" t="n">
        <v>0.0378</v>
      </c>
      <c r="W645" t="n">
        <v>1.66</v>
      </c>
      <c r="X645" t="n">
        <v>77.98999999999999</v>
      </c>
      <c r="Y645">
        <f>VLOOKUP(D645,$AB$2:$AC$7,2,FALSE)</f>
        <v/>
      </c>
      <c r="Z645">
        <f>IF(A645&lt;Y645,"Yes","No")</f>
        <v/>
      </c>
    </row>
    <row r="646">
      <c r="A646" t="n">
        <v>2018</v>
      </c>
      <c r="B646" t="inlineStr">
        <is>
          <t>Q4</t>
        </is>
      </c>
      <c r="C646" t="inlineStr">
        <is>
          <t>Europe</t>
        </is>
      </c>
      <c r="D646" t="inlineStr">
        <is>
          <t>Model 3</t>
        </is>
      </c>
      <c r="E646" t="n">
        <v>872</v>
      </c>
      <c r="F646" t="n">
        <v>107018.99</v>
      </c>
      <c r="G646" t="n">
        <v>26</v>
      </c>
      <c r="H646" t="inlineStr">
        <is>
          <t>Performance</t>
        </is>
      </c>
      <c r="I646" t="inlineStr">
        <is>
          <t>RWD</t>
        </is>
      </c>
      <c r="J646" t="inlineStr">
        <is>
          <t>Blue</t>
        </is>
      </c>
      <c r="K646" t="n">
        <v>426</v>
      </c>
      <c r="L646" t="n">
        <v>77</v>
      </c>
      <c r="M646" t="n">
        <v>23.66</v>
      </c>
      <c r="N646" t="n">
        <v>1919.42</v>
      </c>
      <c r="O646" t="n">
        <v>4.63</v>
      </c>
      <c r="P646" t="n">
        <v>4</v>
      </c>
      <c r="Q646" t="n">
        <v>2</v>
      </c>
      <c r="R646" t="n">
        <v>2021.11</v>
      </c>
      <c r="S646" t="b">
        <v>0</v>
      </c>
      <c r="T646" t="n">
        <v>3762888</v>
      </c>
      <c r="U646" t="n">
        <v>10</v>
      </c>
      <c r="V646" t="n">
        <v>0.0408</v>
      </c>
      <c r="W646" t="n">
        <v>0.54</v>
      </c>
      <c r="X646" t="n">
        <v>75.23</v>
      </c>
      <c r="Y646">
        <f>VLOOKUP(D646,$AB$2:$AC$7,2,FALSE)</f>
        <v/>
      </c>
      <c r="Z646">
        <f>IF(A646&lt;Y646,"Yes","No")</f>
        <v/>
      </c>
    </row>
    <row r="647">
      <c r="A647" t="n">
        <v>2018</v>
      </c>
      <c r="B647" t="inlineStr">
        <is>
          <t>Q4</t>
        </is>
      </c>
      <c r="C647" t="inlineStr">
        <is>
          <t>South America</t>
        </is>
      </c>
      <c r="D647" t="inlineStr">
        <is>
          <t>Model 3</t>
        </is>
      </c>
      <c r="E647" t="n">
        <v>3105</v>
      </c>
      <c r="F647" t="n">
        <v>47283.84</v>
      </c>
      <c r="G647" t="n">
        <v>4</v>
      </c>
      <c r="H647" t="inlineStr">
        <is>
          <t>Performance</t>
        </is>
      </c>
      <c r="I647" t="inlineStr">
        <is>
          <t>RWD</t>
        </is>
      </c>
      <c r="J647" t="inlineStr">
        <is>
          <t>Black</t>
        </is>
      </c>
      <c r="K647" t="n">
        <v>556</v>
      </c>
      <c r="L647" t="n">
        <v>43</v>
      </c>
      <c r="M647" t="n">
        <v>15.62</v>
      </c>
      <c r="N647" t="n">
        <v>3746.28</v>
      </c>
      <c r="O647" t="n">
        <v>3.91</v>
      </c>
      <c r="P647" t="n">
        <v>6</v>
      </c>
      <c r="Q647" t="n">
        <v>1</v>
      </c>
      <c r="R647" t="n">
        <v>2023.1</v>
      </c>
      <c r="S647" t="b">
        <v>0</v>
      </c>
      <c r="T647" t="n">
        <v>303641</v>
      </c>
      <c r="U647" t="n">
        <v>12</v>
      </c>
      <c r="V647" t="n">
        <v>0.09420000000000001</v>
      </c>
      <c r="W647" t="n">
        <v>0.99</v>
      </c>
      <c r="X647" t="n">
        <v>80.93000000000001</v>
      </c>
      <c r="Y647">
        <f>VLOOKUP(D647,$AB$2:$AC$7,2,FALSE)</f>
        <v/>
      </c>
      <c r="Z647">
        <f>IF(A647&lt;Y647,"Yes","No")</f>
        <v/>
      </c>
    </row>
    <row r="648">
      <c r="A648" t="n">
        <v>2019</v>
      </c>
      <c r="B648" t="inlineStr">
        <is>
          <t>Q1</t>
        </is>
      </c>
      <c r="C648" t="inlineStr">
        <is>
          <t>Australia</t>
        </is>
      </c>
      <c r="D648" t="inlineStr">
        <is>
          <t>Cybertruck</t>
        </is>
      </c>
      <c r="E648" t="n">
        <v>2877</v>
      </c>
      <c r="F648" t="n">
        <v>65559.25</v>
      </c>
      <c r="G648" t="n">
        <v>1</v>
      </c>
      <c r="H648" t="inlineStr">
        <is>
          <t>Long Range</t>
        </is>
      </c>
      <c r="I648" t="inlineStr">
        <is>
          <t>RWD</t>
        </is>
      </c>
      <c r="J648" t="inlineStr">
        <is>
          <t>Green</t>
        </is>
      </c>
      <c r="K648" t="n">
        <v>578</v>
      </c>
      <c r="L648" t="n">
        <v>88</v>
      </c>
      <c r="M648" t="n">
        <v>18.09</v>
      </c>
      <c r="N648" t="n">
        <v>3955.08</v>
      </c>
      <c r="O648" t="n">
        <v>4.02</v>
      </c>
      <c r="P648" t="n">
        <v>6</v>
      </c>
      <c r="Q648" t="n">
        <v>2</v>
      </c>
      <c r="R648" t="n">
        <v>2022.8</v>
      </c>
      <c r="S648" t="b">
        <v>1</v>
      </c>
      <c r="T648" t="n">
        <v>1513829</v>
      </c>
      <c r="U648" t="n">
        <v>5</v>
      </c>
      <c r="V648" t="n">
        <v>0.0868</v>
      </c>
      <c r="W648" t="n">
        <v>1.79</v>
      </c>
      <c r="X648" t="n">
        <v>77.97</v>
      </c>
      <c r="Y648">
        <f>VLOOKUP(D648,$AB$2:$AC$7,2,FALSE)</f>
        <v/>
      </c>
      <c r="Z648">
        <f>IF(A648&lt;Y648,"Yes","No")</f>
        <v/>
      </c>
    </row>
    <row r="649">
      <c r="A649" t="n">
        <v>2024</v>
      </c>
      <c r="B649" t="inlineStr">
        <is>
          <t>Q2</t>
        </is>
      </c>
      <c r="C649" t="inlineStr">
        <is>
          <t>North America</t>
        </is>
      </c>
      <c r="D649" t="inlineStr">
        <is>
          <t>Model Y</t>
        </is>
      </c>
      <c r="E649" t="n">
        <v>3036</v>
      </c>
      <c r="F649" t="n">
        <v>39078.17</v>
      </c>
      <c r="G649" t="n">
        <v>14</v>
      </c>
      <c r="H649" t="inlineStr">
        <is>
          <t>Standard</t>
        </is>
      </c>
      <c r="I649" t="inlineStr">
        <is>
          <t>AWD</t>
        </is>
      </c>
      <c r="J649" t="inlineStr">
        <is>
          <t>Red</t>
        </is>
      </c>
      <c r="K649" t="n">
        <v>665</v>
      </c>
      <c r="L649" t="n">
        <v>74</v>
      </c>
      <c r="M649" t="n">
        <v>19.63</v>
      </c>
      <c r="N649" t="n">
        <v>3038.37</v>
      </c>
      <c r="O649" t="n">
        <v>4.29</v>
      </c>
      <c r="P649" t="n">
        <v>6</v>
      </c>
      <c r="Q649" t="n">
        <v>3</v>
      </c>
      <c r="R649" t="n">
        <v>2021.5</v>
      </c>
      <c r="S649" t="b">
        <v>1</v>
      </c>
      <c r="T649" t="n">
        <v>3756541</v>
      </c>
      <c r="U649" t="n">
        <v>6</v>
      </c>
      <c r="V649" t="n">
        <v>0.08840000000000001</v>
      </c>
      <c r="W649" t="n">
        <v>0.87</v>
      </c>
      <c r="X649" t="n">
        <v>72.28</v>
      </c>
      <c r="Y649">
        <f>VLOOKUP(D649,$AB$2:$AC$7,2,FALSE)</f>
        <v/>
      </c>
      <c r="Z649">
        <f>IF(A649&lt;Y649,"Yes","No")</f>
        <v/>
      </c>
    </row>
    <row r="650">
      <c r="A650" t="n">
        <v>2014</v>
      </c>
      <c r="B650" t="inlineStr">
        <is>
          <t>Q1</t>
        </is>
      </c>
      <c r="C650" t="inlineStr">
        <is>
          <t>Europe</t>
        </is>
      </c>
      <c r="D650" t="inlineStr">
        <is>
          <t>Model S</t>
        </is>
      </c>
      <c r="E650" t="n">
        <v>477</v>
      </c>
      <c r="F650" t="n">
        <v>83671.77</v>
      </c>
      <c r="G650" t="n">
        <v>50</v>
      </c>
      <c r="H650" t="inlineStr">
        <is>
          <t>Performance</t>
        </is>
      </c>
      <c r="I650" t="inlineStr">
        <is>
          <t>AWD</t>
        </is>
      </c>
      <c r="J650" t="inlineStr">
        <is>
          <t>White</t>
        </is>
      </c>
      <c r="K650" t="n">
        <v>630</v>
      </c>
      <c r="L650" t="n">
        <v>60</v>
      </c>
      <c r="M650" t="n">
        <v>24.3</v>
      </c>
      <c r="N650" t="n">
        <v>1092.26</v>
      </c>
      <c r="O650" t="n">
        <v>3.85</v>
      </c>
      <c r="P650" t="n">
        <v>5</v>
      </c>
      <c r="Q650" t="n">
        <v>0</v>
      </c>
      <c r="R650" t="n">
        <v>2020.2</v>
      </c>
      <c r="S650" t="b">
        <v>0</v>
      </c>
      <c r="T650" t="n">
        <v>1599300</v>
      </c>
      <c r="U650" t="n">
        <v>10</v>
      </c>
      <c r="V650" t="n">
        <v>0.0212</v>
      </c>
      <c r="W650" t="n">
        <v>1.43</v>
      </c>
      <c r="X650" t="n">
        <v>82.83</v>
      </c>
      <c r="Y650">
        <f>VLOOKUP(D650,$AB$2:$AC$7,2,FALSE)</f>
        <v/>
      </c>
      <c r="Z650">
        <f>IF(A650&lt;Y650,"Yes","No")</f>
        <v/>
      </c>
    </row>
    <row r="651">
      <c r="A651" t="n">
        <v>2023</v>
      </c>
      <c r="B651" t="inlineStr">
        <is>
          <t>Q2</t>
        </is>
      </c>
      <c r="C651" t="inlineStr">
        <is>
          <t>Europe</t>
        </is>
      </c>
      <c r="D651" t="inlineStr">
        <is>
          <t>Cybertruck</t>
        </is>
      </c>
      <c r="E651" t="n">
        <v>1580</v>
      </c>
      <c r="F651" t="n">
        <v>55879.96</v>
      </c>
      <c r="G651" t="n">
        <v>0</v>
      </c>
      <c r="H651" t="inlineStr">
        <is>
          <t>Long Range</t>
        </is>
      </c>
      <c r="I651" t="inlineStr">
        <is>
          <t>AWD</t>
        </is>
      </c>
      <c r="J651" t="inlineStr">
        <is>
          <t>White</t>
        </is>
      </c>
      <c r="K651" t="n">
        <v>612</v>
      </c>
      <c r="L651" t="n">
        <v>82</v>
      </c>
      <c r="M651" t="n">
        <v>13.25</v>
      </c>
      <c r="N651" t="n">
        <v>2384.25</v>
      </c>
      <c r="O651" t="n">
        <v>3.59</v>
      </c>
      <c r="P651" t="n">
        <v>5</v>
      </c>
      <c r="Q651" t="n">
        <v>1</v>
      </c>
      <c r="R651" t="n">
        <v>2020.8</v>
      </c>
      <c r="S651" t="b">
        <v>1</v>
      </c>
      <c r="T651" t="n">
        <v>1209737</v>
      </c>
      <c r="U651" t="n">
        <v>5</v>
      </c>
      <c r="V651" t="n">
        <v>0.0876</v>
      </c>
      <c r="W651" t="n">
        <v>2.17</v>
      </c>
      <c r="X651" t="n">
        <v>77.22</v>
      </c>
      <c r="Y651">
        <f>VLOOKUP(D651,$AB$2:$AC$7,2,FALSE)</f>
        <v/>
      </c>
      <c r="Z651">
        <f>IF(A651&lt;Y651,"Yes","No")</f>
        <v/>
      </c>
    </row>
    <row r="652">
      <c r="A652" t="n">
        <v>2016</v>
      </c>
      <c r="B652" t="inlineStr">
        <is>
          <t>Q4</t>
        </is>
      </c>
      <c r="C652" t="inlineStr">
        <is>
          <t>Europe</t>
        </is>
      </c>
      <c r="D652" t="inlineStr">
        <is>
          <t>Model Y</t>
        </is>
      </c>
      <c r="E652" t="n">
        <v>1484</v>
      </c>
      <c r="F652" t="n">
        <v>95367.78</v>
      </c>
      <c r="G652" t="n">
        <v>45</v>
      </c>
      <c r="H652" t="inlineStr">
        <is>
          <t>Standard</t>
        </is>
      </c>
      <c r="I652" t="inlineStr">
        <is>
          <t>AWD</t>
        </is>
      </c>
      <c r="J652" t="inlineStr">
        <is>
          <t>Green</t>
        </is>
      </c>
      <c r="K652" t="n">
        <v>660</v>
      </c>
      <c r="L652" t="n">
        <v>78</v>
      </c>
      <c r="M652" t="n">
        <v>13.51</v>
      </c>
      <c r="N652" t="n">
        <v>3659.12</v>
      </c>
      <c r="O652" t="n">
        <v>3.7</v>
      </c>
      <c r="P652" t="n">
        <v>6</v>
      </c>
      <c r="Q652" t="n">
        <v>3</v>
      </c>
      <c r="R652" t="n">
        <v>2024.8</v>
      </c>
      <c r="S652" t="b">
        <v>0</v>
      </c>
      <c r="T652" t="n">
        <v>4716383</v>
      </c>
      <c r="U652" t="n">
        <v>10</v>
      </c>
      <c r="V652" t="n">
        <v>0.07539999999999999</v>
      </c>
      <c r="W652" t="n">
        <v>2.28</v>
      </c>
      <c r="X652" t="n">
        <v>74</v>
      </c>
      <c r="Y652">
        <f>VLOOKUP(D652,$AB$2:$AC$7,2,FALSE)</f>
        <v/>
      </c>
      <c r="Z652">
        <f>IF(A652&lt;Y652,"Yes","No")</f>
        <v/>
      </c>
    </row>
    <row r="653">
      <c r="A653" t="n">
        <v>2022</v>
      </c>
      <c r="B653" t="inlineStr">
        <is>
          <t>Q3</t>
        </is>
      </c>
      <c r="C653" t="inlineStr">
        <is>
          <t>South America</t>
        </is>
      </c>
      <c r="D653" t="inlineStr">
        <is>
          <t>Cybertruck</t>
        </is>
      </c>
      <c r="E653" t="n">
        <v>3369</v>
      </c>
      <c r="F653" t="n">
        <v>98888.66</v>
      </c>
      <c r="G653" t="n">
        <v>33</v>
      </c>
      <c r="H653" t="inlineStr">
        <is>
          <t>Long Range</t>
        </is>
      </c>
      <c r="I653" t="inlineStr">
        <is>
          <t>AWD</t>
        </is>
      </c>
      <c r="J653" t="inlineStr">
        <is>
          <t>Silver</t>
        </is>
      </c>
      <c r="K653" t="n">
        <v>605</v>
      </c>
      <c r="L653" t="n">
        <v>38</v>
      </c>
      <c r="M653" t="n">
        <v>22.66</v>
      </c>
      <c r="N653" t="n">
        <v>3078.55</v>
      </c>
      <c r="O653" t="n">
        <v>4.4</v>
      </c>
      <c r="P653" t="n">
        <v>6</v>
      </c>
      <c r="Q653" t="n">
        <v>2</v>
      </c>
      <c r="R653" t="n">
        <v>2020.1</v>
      </c>
      <c r="S653" t="b">
        <v>0</v>
      </c>
      <c r="T653" t="n">
        <v>3309248</v>
      </c>
      <c r="U653" t="n">
        <v>8</v>
      </c>
      <c r="V653" t="n">
        <v>0.037</v>
      </c>
      <c r="W653" t="n">
        <v>0.55</v>
      </c>
      <c r="X653" t="n">
        <v>74.62</v>
      </c>
      <c r="Y653">
        <f>VLOOKUP(D653,$AB$2:$AC$7,2,FALSE)</f>
        <v/>
      </c>
      <c r="Z653">
        <f>IF(A653&lt;Y653,"Yes","No")</f>
        <v/>
      </c>
    </row>
    <row r="654">
      <c r="A654" t="n">
        <v>2024</v>
      </c>
      <c r="B654" t="inlineStr">
        <is>
          <t>Q1</t>
        </is>
      </c>
      <c r="C654" t="inlineStr">
        <is>
          <t>Europe</t>
        </is>
      </c>
      <c r="D654" t="inlineStr">
        <is>
          <t>Model Y</t>
        </is>
      </c>
      <c r="E654" t="n">
        <v>1255</v>
      </c>
      <c r="F654" t="n">
        <v>73244.94</v>
      </c>
      <c r="G654" t="n">
        <v>37</v>
      </c>
      <c r="H654" t="inlineStr">
        <is>
          <t>Performance</t>
        </is>
      </c>
      <c r="I654" t="inlineStr">
        <is>
          <t>AWD</t>
        </is>
      </c>
      <c r="J654" t="inlineStr">
        <is>
          <t>Green</t>
        </is>
      </c>
      <c r="K654" t="n">
        <v>504</v>
      </c>
      <c r="L654" t="n">
        <v>55</v>
      </c>
      <c r="M654" t="n">
        <v>15.93</v>
      </c>
      <c r="N654" t="n">
        <v>668.61</v>
      </c>
      <c r="O654" t="n">
        <v>3.84</v>
      </c>
      <c r="P654" t="n">
        <v>8</v>
      </c>
      <c r="Q654" t="n">
        <v>2</v>
      </c>
      <c r="R654" t="n">
        <v>2023.7</v>
      </c>
      <c r="S654" t="b">
        <v>0</v>
      </c>
      <c r="T654" t="n">
        <v>4002419</v>
      </c>
      <c r="U654" t="n">
        <v>7</v>
      </c>
      <c r="V654" t="n">
        <v>0.08939999999999999</v>
      </c>
      <c r="W654" t="n">
        <v>1.43</v>
      </c>
      <c r="X654" t="n">
        <v>72.47</v>
      </c>
      <c r="Y654">
        <f>VLOOKUP(D654,$AB$2:$AC$7,2,FALSE)</f>
        <v/>
      </c>
      <c r="Z654">
        <f>IF(A654&lt;Y654,"Yes","No")</f>
        <v/>
      </c>
    </row>
    <row r="655">
      <c r="A655" t="n">
        <v>2012</v>
      </c>
      <c r="B655" t="inlineStr">
        <is>
          <t>Q2</t>
        </is>
      </c>
      <c r="C655" t="inlineStr">
        <is>
          <t>Europe</t>
        </is>
      </c>
      <c r="D655" t="inlineStr">
        <is>
          <t>Semi</t>
        </is>
      </c>
      <c r="E655" t="n">
        <v>879</v>
      </c>
      <c r="F655" t="n">
        <v>60110.54</v>
      </c>
      <c r="G655" t="n">
        <v>3</v>
      </c>
      <c r="H655" t="inlineStr">
        <is>
          <t>Long Range</t>
        </is>
      </c>
      <c r="I655" t="inlineStr">
        <is>
          <t>RWD</t>
        </is>
      </c>
      <c r="J655" t="inlineStr">
        <is>
          <t>Blue</t>
        </is>
      </c>
      <c r="K655" t="n">
        <v>684</v>
      </c>
      <c r="L655" t="n">
        <v>85</v>
      </c>
      <c r="M655" t="n">
        <v>18.2</v>
      </c>
      <c r="N655" t="n">
        <v>1491.2</v>
      </c>
      <c r="O655" t="n">
        <v>4.03</v>
      </c>
      <c r="P655" t="n">
        <v>8</v>
      </c>
      <c r="Q655" t="n">
        <v>0</v>
      </c>
      <c r="R655" t="n">
        <v>2023.2</v>
      </c>
      <c r="S655" t="b">
        <v>0</v>
      </c>
      <c r="T655" t="n">
        <v>2880424</v>
      </c>
      <c r="U655" t="n">
        <v>5</v>
      </c>
      <c r="V655" t="n">
        <v>0.0379</v>
      </c>
      <c r="W655" t="n">
        <v>1.51</v>
      </c>
      <c r="X655" t="n">
        <v>60.33</v>
      </c>
      <c r="Y655">
        <f>VLOOKUP(D655,$AB$2:$AC$7,2,FALSE)</f>
        <v/>
      </c>
      <c r="Z655">
        <f>IF(A655&lt;Y655,"Yes","No")</f>
        <v/>
      </c>
    </row>
    <row r="656">
      <c r="A656" t="n">
        <v>2013</v>
      </c>
      <c r="B656" t="inlineStr">
        <is>
          <t>Q2</t>
        </is>
      </c>
      <c r="C656" t="inlineStr">
        <is>
          <t>South America</t>
        </is>
      </c>
      <c r="D656" t="inlineStr">
        <is>
          <t>Model X</t>
        </is>
      </c>
      <c r="E656" t="n">
        <v>540</v>
      </c>
      <c r="F656" t="n">
        <v>37098.1</v>
      </c>
      <c r="G656" t="n">
        <v>13</v>
      </c>
      <c r="H656" t="inlineStr">
        <is>
          <t>Performance</t>
        </is>
      </c>
      <c r="I656" t="inlineStr">
        <is>
          <t>RWD</t>
        </is>
      </c>
      <c r="J656" t="inlineStr">
        <is>
          <t>Red</t>
        </is>
      </c>
      <c r="K656" t="n">
        <v>579</v>
      </c>
      <c r="L656" t="n">
        <v>55</v>
      </c>
      <c r="M656" t="n">
        <v>17.01</v>
      </c>
      <c r="N656" t="n">
        <v>931.96</v>
      </c>
      <c r="O656" t="n">
        <v>4.02</v>
      </c>
      <c r="P656" t="n">
        <v>6</v>
      </c>
      <c r="Q656" t="n">
        <v>2</v>
      </c>
      <c r="R656" t="n">
        <v>2022.1</v>
      </c>
      <c r="S656" t="b">
        <v>1</v>
      </c>
      <c r="T656" t="n">
        <v>3777547</v>
      </c>
      <c r="U656" t="n">
        <v>9</v>
      </c>
      <c r="V656" t="n">
        <v>0.049</v>
      </c>
      <c r="W656" t="n">
        <v>1.53</v>
      </c>
      <c r="X656" t="n">
        <v>79.98999999999999</v>
      </c>
      <c r="Y656">
        <f>VLOOKUP(D656,$AB$2:$AC$7,2,FALSE)</f>
        <v/>
      </c>
      <c r="Z656">
        <f>IF(A656&lt;Y656,"Yes","No")</f>
        <v/>
      </c>
    </row>
    <row r="657">
      <c r="A657" t="n">
        <v>2020</v>
      </c>
      <c r="B657" t="inlineStr">
        <is>
          <t>Q1</t>
        </is>
      </c>
      <c r="C657" t="inlineStr">
        <is>
          <t>Europe</t>
        </is>
      </c>
      <c r="D657" t="inlineStr">
        <is>
          <t>Model Y</t>
        </is>
      </c>
      <c r="E657" t="n">
        <v>2754</v>
      </c>
      <c r="F657" t="n">
        <v>91152.38</v>
      </c>
      <c r="G657" t="n">
        <v>28</v>
      </c>
      <c r="H657" t="inlineStr">
        <is>
          <t>Performance</t>
        </is>
      </c>
      <c r="I657" t="inlineStr">
        <is>
          <t>RWD</t>
        </is>
      </c>
      <c r="J657" t="inlineStr">
        <is>
          <t>Black</t>
        </is>
      </c>
      <c r="K657" t="n">
        <v>422</v>
      </c>
      <c r="L657" t="n">
        <v>78</v>
      </c>
      <c r="M657" t="n">
        <v>23.98</v>
      </c>
      <c r="N657" t="n">
        <v>1890.29</v>
      </c>
      <c r="O657" t="n">
        <v>4.08</v>
      </c>
      <c r="P657" t="n">
        <v>8</v>
      </c>
      <c r="Q657" t="n">
        <v>1</v>
      </c>
      <c r="R657" t="n">
        <v>2020.1</v>
      </c>
      <c r="S657" t="b">
        <v>0</v>
      </c>
      <c r="T657" t="n">
        <v>201625</v>
      </c>
      <c r="U657" t="n">
        <v>4</v>
      </c>
      <c r="V657" t="n">
        <v>0.0275</v>
      </c>
      <c r="W657" t="n">
        <v>1.64</v>
      </c>
      <c r="X657" t="n">
        <v>72.53</v>
      </c>
      <c r="Y657">
        <f>VLOOKUP(D657,$AB$2:$AC$7,2,FALSE)</f>
        <v/>
      </c>
      <c r="Z657">
        <f>IF(A657&lt;Y657,"Yes","No")</f>
        <v/>
      </c>
    </row>
    <row r="658">
      <c r="A658" t="n">
        <v>2014</v>
      </c>
      <c r="B658" t="inlineStr">
        <is>
          <t>Q4</t>
        </is>
      </c>
      <c r="C658" t="inlineStr">
        <is>
          <t>South America</t>
        </is>
      </c>
      <c r="D658" t="inlineStr">
        <is>
          <t>Cybertruck</t>
        </is>
      </c>
      <c r="E658" t="n">
        <v>2140</v>
      </c>
      <c r="F658" t="n">
        <v>119186.23</v>
      </c>
      <c r="G658" t="n">
        <v>13</v>
      </c>
      <c r="H658" t="inlineStr">
        <is>
          <t>Standard</t>
        </is>
      </c>
      <c r="I658" t="inlineStr">
        <is>
          <t>AWD</t>
        </is>
      </c>
      <c r="J658" t="inlineStr">
        <is>
          <t>Black</t>
        </is>
      </c>
      <c r="K658" t="n">
        <v>369</v>
      </c>
      <c r="L658" t="n">
        <v>46</v>
      </c>
      <c r="M658" t="n">
        <v>21.73</v>
      </c>
      <c r="N658" t="n">
        <v>4438.41</v>
      </c>
      <c r="O658" t="n">
        <v>3.83</v>
      </c>
      <c r="P658" t="n">
        <v>5</v>
      </c>
      <c r="Q658" t="n">
        <v>3</v>
      </c>
      <c r="R658" t="n">
        <v>2020.2</v>
      </c>
      <c r="S658" t="b">
        <v>0</v>
      </c>
      <c r="T658" t="n">
        <v>2975087</v>
      </c>
      <c r="U658" t="n">
        <v>11</v>
      </c>
      <c r="V658" t="n">
        <v>0.0755</v>
      </c>
      <c r="W658" t="n">
        <v>1.24</v>
      </c>
      <c r="X658" t="n">
        <v>74.06999999999999</v>
      </c>
      <c r="Y658">
        <f>VLOOKUP(D658,$AB$2:$AC$7,2,FALSE)</f>
        <v/>
      </c>
      <c r="Z658">
        <f>IF(A658&lt;Y658,"Yes","No")</f>
        <v/>
      </c>
    </row>
    <row r="659">
      <c r="A659" t="n">
        <v>2016</v>
      </c>
      <c r="B659" t="inlineStr">
        <is>
          <t>Q3</t>
        </is>
      </c>
      <c r="C659" t="inlineStr">
        <is>
          <t>Asia</t>
        </is>
      </c>
      <c r="D659" t="inlineStr">
        <is>
          <t>Cybertruck</t>
        </is>
      </c>
      <c r="E659" t="n">
        <v>1324</v>
      </c>
      <c r="F659" t="n">
        <v>91758.91</v>
      </c>
      <c r="G659" t="n">
        <v>53</v>
      </c>
      <c r="H659" t="inlineStr">
        <is>
          <t>Performance</t>
        </is>
      </c>
      <c r="I659" t="inlineStr">
        <is>
          <t>RWD</t>
        </is>
      </c>
      <c r="J659" t="inlineStr">
        <is>
          <t>Silver</t>
        </is>
      </c>
      <c r="K659" t="n">
        <v>475</v>
      </c>
      <c r="L659" t="n">
        <v>44</v>
      </c>
      <c r="M659" t="n">
        <v>22.78</v>
      </c>
      <c r="N659" t="n">
        <v>1810.9</v>
      </c>
      <c r="O659" t="n">
        <v>3.91</v>
      </c>
      <c r="P659" t="n">
        <v>6</v>
      </c>
      <c r="Q659" t="n">
        <v>3</v>
      </c>
      <c r="R659" t="n">
        <v>2023.1</v>
      </c>
      <c r="S659" t="b">
        <v>0</v>
      </c>
      <c r="T659" t="n">
        <v>2261260</v>
      </c>
      <c r="U659" t="n">
        <v>3</v>
      </c>
      <c r="V659" t="n">
        <v>0.0842</v>
      </c>
      <c r="W659" t="n">
        <v>1.61</v>
      </c>
      <c r="X659" t="n">
        <v>85.33</v>
      </c>
      <c r="Y659">
        <f>VLOOKUP(D659,$AB$2:$AC$7,2,FALSE)</f>
        <v/>
      </c>
      <c r="Z659">
        <f>IF(A659&lt;Y659,"Yes","No")</f>
        <v/>
      </c>
    </row>
    <row r="660">
      <c r="A660" t="n">
        <v>2015</v>
      </c>
      <c r="B660" t="inlineStr">
        <is>
          <t>Q2</t>
        </is>
      </c>
      <c r="C660" t="inlineStr">
        <is>
          <t>Australia</t>
        </is>
      </c>
      <c r="D660" t="inlineStr">
        <is>
          <t>Model 3</t>
        </is>
      </c>
      <c r="E660" t="n">
        <v>857</v>
      </c>
      <c r="F660" t="n">
        <v>94277.45</v>
      </c>
      <c r="G660" t="n">
        <v>32</v>
      </c>
      <c r="H660" t="inlineStr">
        <is>
          <t>Long Range</t>
        </is>
      </c>
      <c r="I660" t="inlineStr">
        <is>
          <t>RWD</t>
        </is>
      </c>
      <c r="J660" t="inlineStr">
        <is>
          <t>Green</t>
        </is>
      </c>
      <c r="K660" t="n">
        <v>554</v>
      </c>
      <c r="L660" t="n">
        <v>56</v>
      </c>
      <c r="M660" t="n">
        <v>19.8</v>
      </c>
      <c r="N660" t="n">
        <v>941.13</v>
      </c>
      <c r="O660" t="n">
        <v>3.86</v>
      </c>
      <c r="P660" t="n">
        <v>8</v>
      </c>
      <c r="Q660" t="n">
        <v>0</v>
      </c>
      <c r="R660" t="n">
        <v>2022.1</v>
      </c>
      <c r="S660" t="b">
        <v>0</v>
      </c>
      <c r="T660" t="n">
        <v>3505143</v>
      </c>
      <c r="U660" t="n">
        <v>8</v>
      </c>
      <c r="V660" t="n">
        <v>0.0239</v>
      </c>
      <c r="W660" t="n">
        <v>1.45</v>
      </c>
      <c r="X660" t="n">
        <v>60.92</v>
      </c>
      <c r="Y660">
        <f>VLOOKUP(D660,$AB$2:$AC$7,2,FALSE)</f>
        <v/>
      </c>
      <c r="Z660">
        <f>IF(A660&lt;Y660,"Yes","No")</f>
        <v/>
      </c>
    </row>
    <row r="661">
      <c r="A661" t="n">
        <v>2017</v>
      </c>
      <c r="B661" t="inlineStr">
        <is>
          <t>Q1</t>
        </is>
      </c>
      <c r="C661" t="inlineStr">
        <is>
          <t>Asia</t>
        </is>
      </c>
      <c r="D661" t="inlineStr">
        <is>
          <t>Model 3</t>
        </is>
      </c>
      <c r="E661" t="n">
        <v>4035</v>
      </c>
      <c r="F661" t="n">
        <v>109724</v>
      </c>
      <c r="G661" t="n">
        <v>31</v>
      </c>
      <c r="H661" t="inlineStr">
        <is>
          <t>Long Range</t>
        </is>
      </c>
      <c r="I661" t="inlineStr">
        <is>
          <t>AWD</t>
        </is>
      </c>
      <c r="J661" t="inlineStr">
        <is>
          <t>Blue</t>
        </is>
      </c>
      <c r="K661" t="n">
        <v>570</v>
      </c>
      <c r="L661" t="n">
        <v>84</v>
      </c>
      <c r="M661" t="n">
        <v>15.82</v>
      </c>
      <c r="N661" t="n">
        <v>3980.41</v>
      </c>
      <c r="O661" t="n">
        <v>4.71</v>
      </c>
      <c r="P661" t="n">
        <v>6</v>
      </c>
      <c r="Q661" t="n">
        <v>1</v>
      </c>
      <c r="R661" t="n">
        <v>2024.6</v>
      </c>
      <c r="S661" t="b">
        <v>0</v>
      </c>
      <c r="T661" t="n">
        <v>795234</v>
      </c>
      <c r="U661" t="n">
        <v>3</v>
      </c>
      <c r="V661" t="n">
        <v>0.0174</v>
      </c>
      <c r="W661" t="n">
        <v>2.09</v>
      </c>
      <c r="X661" t="n">
        <v>60.25</v>
      </c>
      <c r="Y661">
        <f>VLOOKUP(D661,$AB$2:$AC$7,2,FALSE)</f>
        <v/>
      </c>
      <c r="Z661">
        <f>IF(A661&lt;Y661,"Yes","No")</f>
        <v/>
      </c>
    </row>
    <row r="662">
      <c r="A662" t="n">
        <v>2020</v>
      </c>
      <c r="B662" t="inlineStr">
        <is>
          <t>Q4</t>
        </is>
      </c>
      <c r="C662" t="inlineStr">
        <is>
          <t>Australia</t>
        </is>
      </c>
      <c r="D662" t="inlineStr">
        <is>
          <t>Model S</t>
        </is>
      </c>
      <c r="E662" t="n">
        <v>1294</v>
      </c>
      <c r="F662" t="n">
        <v>119306.17</v>
      </c>
      <c r="G662" t="n">
        <v>0</v>
      </c>
      <c r="H662" t="inlineStr">
        <is>
          <t>Long Range</t>
        </is>
      </c>
      <c r="I662" t="inlineStr">
        <is>
          <t>AWD</t>
        </is>
      </c>
      <c r="J662" t="inlineStr">
        <is>
          <t>Red</t>
        </is>
      </c>
      <c r="K662" t="n">
        <v>418</v>
      </c>
      <c r="L662" t="n">
        <v>48</v>
      </c>
      <c r="M662" t="n">
        <v>24.8</v>
      </c>
      <c r="N662" t="n">
        <v>1596.19</v>
      </c>
      <c r="O662" t="n">
        <v>4.53</v>
      </c>
      <c r="P662" t="n">
        <v>6</v>
      </c>
      <c r="Q662" t="n">
        <v>0</v>
      </c>
      <c r="R662" t="n">
        <v>2020.3</v>
      </c>
      <c r="S662" t="b">
        <v>0</v>
      </c>
      <c r="T662" t="n">
        <v>2869429</v>
      </c>
      <c r="U662" t="n">
        <v>3</v>
      </c>
      <c r="V662" t="n">
        <v>0.0135</v>
      </c>
      <c r="W662" t="n">
        <v>1.67</v>
      </c>
      <c r="X662" t="n">
        <v>89.65000000000001</v>
      </c>
      <c r="Y662">
        <f>VLOOKUP(D662,$AB$2:$AC$7,2,FALSE)</f>
        <v/>
      </c>
      <c r="Z662">
        <f>IF(A662&lt;Y662,"Yes","No")</f>
        <v/>
      </c>
    </row>
    <row r="663">
      <c r="A663" t="n">
        <v>2021</v>
      </c>
      <c r="B663" t="inlineStr">
        <is>
          <t>Q1</t>
        </is>
      </c>
      <c r="C663" t="inlineStr">
        <is>
          <t>Europe</t>
        </is>
      </c>
      <c r="D663" t="inlineStr">
        <is>
          <t>Model 3</t>
        </is>
      </c>
      <c r="E663" t="n">
        <v>3251</v>
      </c>
      <c r="F663" t="n">
        <v>105056.23</v>
      </c>
      <c r="G663" t="n">
        <v>31</v>
      </c>
      <c r="H663" t="inlineStr">
        <is>
          <t>Standard</t>
        </is>
      </c>
      <c r="I663" t="inlineStr">
        <is>
          <t>RWD</t>
        </is>
      </c>
      <c r="J663" t="inlineStr">
        <is>
          <t>Silver</t>
        </is>
      </c>
      <c r="K663" t="n">
        <v>499</v>
      </c>
      <c r="L663" t="n">
        <v>69</v>
      </c>
      <c r="M663" t="n">
        <v>23.04</v>
      </c>
      <c r="N663" t="n">
        <v>2091.58</v>
      </c>
      <c r="O663" t="n">
        <v>4.42</v>
      </c>
      <c r="P663" t="n">
        <v>5</v>
      </c>
      <c r="Q663" t="n">
        <v>0</v>
      </c>
      <c r="R663" t="n">
        <v>2023.1</v>
      </c>
      <c r="S663" t="b">
        <v>0</v>
      </c>
      <c r="T663" t="n">
        <v>1420316</v>
      </c>
      <c r="U663" t="n">
        <v>12</v>
      </c>
      <c r="V663" t="n">
        <v>0.0798</v>
      </c>
      <c r="W663" t="n">
        <v>1.53</v>
      </c>
      <c r="X663" t="n">
        <v>74.89</v>
      </c>
      <c r="Y663">
        <f>VLOOKUP(D663,$AB$2:$AC$7,2,FALSE)</f>
        <v/>
      </c>
      <c r="Z663">
        <f>IF(A663&lt;Y663,"Yes","No")</f>
        <v/>
      </c>
    </row>
    <row r="664">
      <c r="A664" t="n">
        <v>2015</v>
      </c>
      <c r="B664" t="inlineStr">
        <is>
          <t>Q3</t>
        </is>
      </c>
      <c r="C664" t="inlineStr">
        <is>
          <t>North America</t>
        </is>
      </c>
      <c r="D664" t="inlineStr">
        <is>
          <t>Model Y</t>
        </is>
      </c>
      <c r="E664" t="n">
        <v>2824</v>
      </c>
      <c r="F664" t="n">
        <v>91525.73</v>
      </c>
      <c r="G664" t="n">
        <v>44</v>
      </c>
      <c r="H664" t="inlineStr">
        <is>
          <t>Long Range</t>
        </is>
      </c>
      <c r="I664" t="inlineStr">
        <is>
          <t>RWD</t>
        </is>
      </c>
      <c r="J664" t="inlineStr">
        <is>
          <t>White</t>
        </is>
      </c>
      <c r="K664" t="n">
        <v>610</v>
      </c>
      <c r="L664" t="n">
        <v>49</v>
      </c>
      <c r="M664" t="n">
        <v>16.52</v>
      </c>
      <c r="N664" t="n">
        <v>5397.55</v>
      </c>
      <c r="O664" t="n">
        <v>4.1</v>
      </c>
      <c r="P664" t="n">
        <v>5</v>
      </c>
      <c r="Q664" t="n">
        <v>2</v>
      </c>
      <c r="R664" t="n">
        <v>2022.4</v>
      </c>
      <c r="S664" t="b">
        <v>1</v>
      </c>
      <c r="T664" t="n">
        <v>3969553</v>
      </c>
      <c r="U664" t="n">
        <v>4</v>
      </c>
      <c r="V664" t="n">
        <v>0.0733</v>
      </c>
      <c r="W664" t="n">
        <v>0.57</v>
      </c>
      <c r="X664" t="n">
        <v>61.76</v>
      </c>
      <c r="Y664">
        <f>VLOOKUP(D664,$AB$2:$AC$7,2,FALSE)</f>
        <v/>
      </c>
      <c r="Z664">
        <f>IF(A664&lt;Y664,"Yes","No")</f>
        <v/>
      </c>
    </row>
    <row r="665">
      <c r="A665" t="n">
        <v>2013</v>
      </c>
      <c r="B665" t="inlineStr">
        <is>
          <t>Q2</t>
        </is>
      </c>
      <c r="C665" t="inlineStr">
        <is>
          <t>North America</t>
        </is>
      </c>
      <c r="D665" t="inlineStr">
        <is>
          <t>Model Y</t>
        </is>
      </c>
      <c r="E665" t="n">
        <v>1083</v>
      </c>
      <c r="F665" t="n">
        <v>47692.78</v>
      </c>
      <c r="G665" t="n">
        <v>4</v>
      </c>
      <c r="H665" t="inlineStr">
        <is>
          <t>Long Range</t>
        </is>
      </c>
      <c r="I665" t="inlineStr">
        <is>
          <t>RWD</t>
        </is>
      </c>
      <c r="J665" t="inlineStr">
        <is>
          <t>Green</t>
        </is>
      </c>
      <c r="K665" t="n">
        <v>513</v>
      </c>
      <c r="L665" t="n">
        <v>67</v>
      </c>
      <c r="M665" t="n">
        <v>15.87</v>
      </c>
      <c r="N665" t="n">
        <v>1584.64</v>
      </c>
      <c r="O665" t="n">
        <v>4.11</v>
      </c>
      <c r="P665" t="n">
        <v>6</v>
      </c>
      <c r="Q665" t="n">
        <v>1</v>
      </c>
      <c r="R665" t="n">
        <v>2023.11</v>
      </c>
      <c r="S665" t="b">
        <v>1</v>
      </c>
      <c r="T665" t="n">
        <v>3155209</v>
      </c>
      <c r="U665" t="n">
        <v>4</v>
      </c>
      <c r="V665" t="n">
        <v>0.0452</v>
      </c>
      <c r="W665" t="n">
        <v>1.19</v>
      </c>
      <c r="X665" t="n">
        <v>61.47</v>
      </c>
      <c r="Y665">
        <f>VLOOKUP(D665,$AB$2:$AC$7,2,FALSE)</f>
        <v/>
      </c>
      <c r="Z665">
        <f>IF(A665&lt;Y665,"Yes","No")</f>
        <v/>
      </c>
    </row>
    <row r="666">
      <c r="A666" t="n">
        <v>2024</v>
      </c>
      <c r="B666" t="inlineStr">
        <is>
          <t>Q3</t>
        </is>
      </c>
      <c r="C666" t="inlineStr">
        <is>
          <t>Australia</t>
        </is>
      </c>
      <c r="D666" t="inlineStr">
        <is>
          <t>Model 3</t>
        </is>
      </c>
      <c r="E666" t="n">
        <v>4126</v>
      </c>
      <c r="F666" t="n">
        <v>74397.84</v>
      </c>
      <c r="G666" t="n">
        <v>25</v>
      </c>
      <c r="H666" t="inlineStr">
        <is>
          <t>Performance</t>
        </is>
      </c>
      <c r="I666" t="inlineStr">
        <is>
          <t>RWD</t>
        </is>
      </c>
      <c r="J666" t="inlineStr">
        <is>
          <t>Blue</t>
        </is>
      </c>
      <c r="K666" t="n">
        <v>418</v>
      </c>
      <c r="L666" t="n">
        <v>82</v>
      </c>
      <c r="M666" t="n">
        <v>16.92</v>
      </c>
      <c r="N666" t="n">
        <v>10040.18</v>
      </c>
      <c r="O666" t="n">
        <v>4.13</v>
      </c>
      <c r="P666" t="n">
        <v>6</v>
      </c>
      <c r="Q666" t="n">
        <v>1</v>
      </c>
      <c r="R666" t="n">
        <v>2020.3</v>
      </c>
      <c r="S666" t="b">
        <v>0</v>
      </c>
      <c r="T666" t="n">
        <v>3587991</v>
      </c>
      <c r="U666" t="n">
        <v>3</v>
      </c>
      <c r="V666" t="n">
        <v>0.0538</v>
      </c>
      <c r="W666" t="n">
        <v>2.48</v>
      </c>
      <c r="X666" t="n">
        <v>64.45</v>
      </c>
      <c r="Y666">
        <f>VLOOKUP(D666,$AB$2:$AC$7,2,FALSE)</f>
        <v/>
      </c>
      <c r="Z666">
        <f>IF(A666&lt;Y666,"Yes","No")</f>
        <v/>
      </c>
    </row>
    <row r="667">
      <c r="A667" t="n">
        <v>2014</v>
      </c>
      <c r="B667" t="inlineStr">
        <is>
          <t>Q2</t>
        </is>
      </c>
      <c r="C667" t="inlineStr">
        <is>
          <t>South America</t>
        </is>
      </c>
      <c r="D667" t="inlineStr">
        <is>
          <t>Cybertruck</t>
        </is>
      </c>
      <c r="E667" t="n">
        <v>4107</v>
      </c>
      <c r="F667" t="n">
        <v>116350.32</v>
      </c>
      <c r="G667" t="n">
        <v>58</v>
      </c>
      <c r="H667" t="inlineStr">
        <is>
          <t>Standard</t>
        </is>
      </c>
      <c r="I667" t="inlineStr">
        <is>
          <t>AWD</t>
        </is>
      </c>
      <c r="J667" t="inlineStr">
        <is>
          <t>Blue</t>
        </is>
      </c>
      <c r="K667" t="n">
        <v>369</v>
      </c>
      <c r="L667" t="n">
        <v>79</v>
      </c>
      <c r="M667" t="n">
        <v>13.11</v>
      </c>
      <c r="N667" t="n">
        <v>5016.52</v>
      </c>
      <c r="O667" t="n">
        <v>4.01</v>
      </c>
      <c r="P667" t="n">
        <v>6</v>
      </c>
      <c r="Q667" t="n">
        <v>2</v>
      </c>
      <c r="R667" t="n">
        <v>2020.2</v>
      </c>
      <c r="S667" t="b">
        <v>0</v>
      </c>
      <c r="T667" t="n">
        <v>4303337</v>
      </c>
      <c r="U667" t="n">
        <v>5</v>
      </c>
      <c r="V667" t="n">
        <v>0.029</v>
      </c>
      <c r="W667" t="n">
        <v>1.17</v>
      </c>
      <c r="X667" t="n">
        <v>79.76000000000001</v>
      </c>
      <c r="Y667">
        <f>VLOOKUP(D667,$AB$2:$AC$7,2,FALSE)</f>
        <v/>
      </c>
      <c r="Z667">
        <f>IF(A667&lt;Y667,"Yes","No")</f>
        <v/>
      </c>
    </row>
    <row r="668">
      <c r="A668" t="n">
        <v>2023</v>
      </c>
      <c r="B668" t="inlineStr">
        <is>
          <t>Q3</t>
        </is>
      </c>
      <c r="C668" t="inlineStr">
        <is>
          <t>South America</t>
        </is>
      </c>
      <c r="D668" t="inlineStr">
        <is>
          <t>Model Y</t>
        </is>
      </c>
      <c r="E668" t="n">
        <v>4381</v>
      </c>
      <c r="F668" t="n">
        <v>119458.64</v>
      </c>
      <c r="G668" t="n">
        <v>39</v>
      </c>
      <c r="H668" t="inlineStr">
        <is>
          <t>Performance</t>
        </is>
      </c>
      <c r="I668" t="inlineStr">
        <is>
          <t>AWD</t>
        </is>
      </c>
      <c r="J668" t="inlineStr">
        <is>
          <t>Blue</t>
        </is>
      </c>
      <c r="K668" t="n">
        <v>370</v>
      </c>
      <c r="L668" t="n">
        <v>59</v>
      </c>
      <c r="M668" t="n">
        <v>24.57</v>
      </c>
      <c r="N668" t="n">
        <v>7368.62</v>
      </c>
      <c r="O668" t="n">
        <v>3.94</v>
      </c>
      <c r="P668" t="n">
        <v>8</v>
      </c>
      <c r="Q668" t="n">
        <v>0</v>
      </c>
      <c r="R668" t="n">
        <v>2022.6</v>
      </c>
      <c r="S668" t="b">
        <v>1</v>
      </c>
      <c r="T668" t="n">
        <v>3516984</v>
      </c>
      <c r="U668" t="n">
        <v>11</v>
      </c>
      <c r="V668" t="n">
        <v>0.0664</v>
      </c>
      <c r="W668" t="n">
        <v>2.08</v>
      </c>
      <c r="X668" t="n">
        <v>74.23999999999999</v>
      </c>
      <c r="Y668">
        <f>VLOOKUP(D668,$AB$2:$AC$7,2,FALSE)</f>
        <v/>
      </c>
      <c r="Z668">
        <f>IF(A668&lt;Y668,"Yes","No")</f>
        <v/>
      </c>
    </row>
    <row r="669">
      <c r="A669" t="n">
        <v>2018</v>
      </c>
      <c r="B669" t="inlineStr">
        <is>
          <t>Q4</t>
        </is>
      </c>
      <c r="C669" t="inlineStr">
        <is>
          <t>South America</t>
        </is>
      </c>
      <c r="D669" t="inlineStr">
        <is>
          <t>Cybertruck</t>
        </is>
      </c>
      <c r="E669" t="n">
        <v>1941</v>
      </c>
      <c r="F669" t="n">
        <v>113462.61</v>
      </c>
      <c r="G669" t="n">
        <v>53</v>
      </c>
      <c r="H669" t="inlineStr">
        <is>
          <t>Performance</t>
        </is>
      </c>
      <c r="I669" t="inlineStr">
        <is>
          <t>AWD</t>
        </is>
      </c>
      <c r="J669" t="inlineStr">
        <is>
          <t>Blue</t>
        </is>
      </c>
      <c r="K669" t="n">
        <v>485</v>
      </c>
      <c r="L669" t="n">
        <v>49</v>
      </c>
      <c r="M669" t="n">
        <v>23.7</v>
      </c>
      <c r="N669" t="n">
        <v>4278.6</v>
      </c>
      <c r="O669" t="n">
        <v>4.73</v>
      </c>
      <c r="P669" t="n">
        <v>6</v>
      </c>
      <c r="Q669" t="n">
        <v>3</v>
      </c>
      <c r="R669" t="n">
        <v>2022.1</v>
      </c>
      <c r="S669" t="b">
        <v>1</v>
      </c>
      <c r="T669" t="n">
        <v>440108</v>
      </c>
      <c r="U669" t="n">
        <v>5</v>
      </c>
      <c r="V669" t="n">
        <v>0.09569999999999999</v>
      </c>
      <c r="W669" t="n">
        <v>1.4</v>
      </c>
      <c r="X669" t="n">
        <v>71.91</v>
      </c>
      <c r="Y669">
        <f>VLOOKUP(D669,$AB$2:$AC$7,2,FALSE)</f>
        <v/>
      </c>
      <c r="Z669">
        <f>IF(A669&lt;Y669,"Yes","No")</f>
        <v/>
      </c>
    </row>
    <row r="670">
      <c r="A670" t="n">
        <v>2018</v>
      </c>
      <c r="B670" t="inlineStr">
        <is>
          <t>Q1</t>
        </is>
      </c>
      <c r="C670" t="inlineStr">
        <is>
          <t>North America</t>
        </is>
      </c>
      <c r="D670" t="inlineStr">
        <is>
          <t>Model X</t>
        </is>
      </c>
      <c r="E670" t="n">
        <v>4434</v>
      </c>
      <c r="F670" t="n">
        <v>104226.1</v>
      </c>
      <c r="G670" t="n">
        <v>34</v>
      </c>
      <c r="H670" t="inlineStr">
        <is>
          <t>Long Range</t>
        </is>
      </c>
      <c r="I670" t="inlineStr">
        <is>
          <t>AWD</t>
        </is>
      </c>
      <c r="J670" t="inlineStr">
        <is>
          <t>Silver</t>
        </is>
      </c>
      <c r="K670" t="n">
        <v>677</v>
      </c>
      <c r="L670" t="n">
        <v>80</v>
      </c>
      <c r="M670" t="n">
        <v>16.67</v>
      </c>
      <c r="N670" t="n">
        <v>7539.97</v>
      </c>
      <c r="O670" t="n">
        <v>3.58</v>
      </c>
      <c r="P670" t="n">
        <v>5</v>
      </c>
      <c r="Q670" t="n">
        <v>2</v>
      </c>
      <c r="R670" t="n">
        <v>2020.4</v>
      </c>
      <c r="S670" t="b">
        <v>0</v>
      </c>
      <c r="T670" t="n">
        <v>4803951</v>
      </c>
      <c r="U670" t="n">
        <v>7</v>
      </c>
      <c r="V670" t="n">
        <v>0.026</v>
      </c>
      <c r="W670" t="n">
        <v>1.81</v>
      </c>
      <c r="X670" t="n">
        <v>60.43</v>
      </c>
      <c r="Y670">
        <f>VLOOKUP(D670,$AB$2:$AC$7,2,FALSE)</f>
        <v/>
      </c>
      <c r="Z670">
        <f>IF(A670&lt;Y670,"Yes","No")</f>
        <v/>
      </c>
    </row>
    <row r="671">
      <c r="A671" t="n">
        <v>2018</v>
      </c>
      <c r="B671" t="inlineStr">
        <is>
          <t>Q1</t>
        </is>
      </c>
      <c r="C671" t="inlineStr">
        <is>
          <t>Asia</t>
        </is>
      </c>
      <c r="D671" t="inlineStr">
        <is>
          <t>Semi</t>
        </is>
      </c>
      <c r="E671" t="n">
        <v>2061</v>
      </c>
      <c r="F671" t="n">
        <v>115459.18</v>
      </c>
      <c r="G671" t="n">
        <v>1</v>
      </c>
      <c r="H671" t="inlineStr">
        <is>
          <t>Standard</t>
        </is>
      </c>
      <c r="I671" t="inlineStr">
        <is>
          <t>AWD</t>
        </is>
      </c>
      <c r="J671" t="inlineStr">
        <is>
          <t>Green</t>
        </is>
      </c>
      <c r="K671" t="n">
        <v>482</v>
      </c>
      <c r="L671" t="n">
        <v>40</v>
      </c>
      <c r="M671" t="n">
        <v>20.89</v>
      </c>
      <c r="N671" t="n">
        <v>3799.7</v>
      </c>
      <c r="O671" t="n">
        <v>4.12</v>
      </c>
      <c r="P671" t="n">
        <v>8</v>
      </c>
      <c r="Q671" t="n">
        <v>1</v>
      </c>
      <c r="R671" t="n">
        <v>2021.6</v>
      </c>
      <c r="S671" t="b">
        <v>1</v>
      </c>
      <c r="T671" t="n">
        <v>2522449</v>
      </c>
      <c r="U671" t="n">
        <v>6</v>
      </c>
      <c r="V671" t="n">
        <v>0.0998</v>
      </c>
      <c r="W671" t="n">
        <v>1.88</v>
      </c>
      <c r="X671" t="n">
        <v>79.17</v>
      </c>
      <c r="Y671">
        <f>VLOOKUP(D671,$AB$2:$AC$7,2,FALSE)</f>
        <v/>
      </c>
      <c r="Z671">
        <f>IF(A671&lt;Y671,"Yes","No")</f>
        <v/>
      </c>
    </row>
    <row r="672">
      <c r="A672" t="n">
        <v>2013</v>
      </c>
      <c r="B672" t="inlineStr">
        <is>
          <t>Q2</t>
        </is>
      </c>
      <c r="C672" t="inlineStr">
        <is>
          <t>North America</t>
        </is>
      </c>
      <c r="D672" t="inlineStr">
        <is>
          <t>Model S</t>
        </is>
      </c>
      <c r="E672" t="n">
        <v>2012</v>
      </c>
      <c r="F672" t="n">
        <v>40608.49</v>
      </c>
      <c r="G672" t="n">
        <v>49</v>
      </c>
      <c r="H672" t="inlineStr">
        <is>
          <t>Long Range</t>
        </is>
      </c>
      <c r="I672" t="inlineStr">
        <is>
          <t>AWD</t>
        </is>
      </c>
      <c r="J672" t="inlineStr">
        <is>
          <t>Red</t>
        </is>
      </c>
      <c r="K672" t="n">
        <v>581</v>
      </c>
      <c r="L672" t="n">
        <v>51</v>
      </c>
      <c r="M672" t="n">
        <v>14.46</v>
      </c>
      <c r="N672" t="n">
        <v>4088.38</v>
      </c>
      <c r="O672" t="n">
        <v>4.67</v>
      </c>
      <c r="P672" t="n">
        <v>8</v>
      </c>
      <c r="Q672" t="n">
        <v>0</v>
      </c>
      <c r="R672" t="n">
        <v>2023.11</v>
      </c>
      <c r="S672" t="b">
        <v>0</v>
      </c>
      <c r="T672" t="n">
        <v>798503</v>
      </c>
      <c r="U672" t="n">
        <v>7</v>
      </c>
      <c r="V672" t="n">
        <v>0.081</v>
      </c>
      <c r="W672" t="n">
        <v>1.21</v>
      </c>
      <c r="X672" t="n">
        <v>71.64</v>
      </c>
      <c r="Y672">
        <f>VLOOKUP(D672,$AB$2:$AC$7,2,FALSE)</f>
        <v/>
      </c>
      <c r="Z672">
        <f>IF(A672&lt;Y672,"Yes","No")</f>
        <v/>
      </c>
    </row>
    <row r="673">
      <c r="A673" t="n">
        <v>2015</v>
      </c>
      <c r="B673" t="inlineStr">
        <is>
          <t>Q3</t>
        </is>
      </c>
      <c r="C673" t="inlineStr">
        <is>
          <t>North America</t>
        </is>
      </c>
      <c r="D673" t="inlineStr">
        <is>
          <t>Cybertruck</t>
        </is>
      </c>
      <c r="E673" t="n">
        <v>757</v>
      </c>
      <c r="F673" t="n">
        <v>119330.45</v>
      </c>
      <c r="G673" t="n">
        <v>10</v>
      </c>
      <c r="H673" t="inlineStr">
        <is>
          <t>Standard</t>
        </is>
      </c>
      <c r="I673" t="inlineStr">
        <is>
          <t>RWD</t>
        </is>
      </c>
      <c r="J673" t="inlineStr">
        <is>
          <t>Black</t>
        </is>
      </c>
      <c r="K673" t="n">
        <v>617</v>
      </c>
      <c r="L673" t="n">
        <v>82</v>
      </c>
      <c r="M673" t="n">
        <v>21.27</v>
      </c>
      <c r="N673" t="n">
        <v>672.47</v>
      </c>
      <c r="O673" t="n">
        <v>4.99</v>
      </c>
      <c r="P673" t="n">
        <v>6</v>
      </c>
      <c r="Q673" t="n">
        <v>0</v>
      </c>
      <c r="R673" t="n">
        <v>2022.7</v>
      </c>
      <c r="S673" t="b">
        <v>0</v>
      </c>
      <c r="T673" t="n">
        <v>968802</v>
      </c>
      <c r="U673" t="n">
        <v>10</v>
      </c>
      <c r="V673" t="n">
        <v>0.0798</v>
      </c>
      <c r="W673" t="n">
        <v>1.3</v>
      </c>
      <c r="X673" t="n">
        <v>65.03</v>
      </c>
      <c r="Y673">
        <f>VLOOKUP(D673,$AB$2:$AC$7,2,FALSE)</f>
        <v/>
      </c>
      <c r="Z673">
        <f>IF(A673&lt;Y673,"Yes","No")</f>
        <v/>
      </c>
    </row>
    <row r="674">
      <c r="A674" t="n">
        <v>2021</v>
      </c>
      <c r="B674" t="inlineStr">
        <is>
          <t>Q4</t>
        </is>
      </c>
      <c r="C674" t="inlineStr">
        <is>
          <t>South America</t>
        </is>
      </c>
      <c r="D674" t="inlineStr">
        <is>
          <t>Semi</t>
        </is>
      </c>
      <c r="E674" t="n">
        <v>598</v>
      </c>
      <c r="F674" t="n">
        <v>117971.67</v>
      </c>
      <c r="G674" t="n">
        <v>47</v>
      </c>
      <c r="H674" t="inlineStr">
        <is>
          <t>Standard</t>
        </is>
      </c>
      <c r="I674" t="inlineStr">
        <is>
          <t>RWD</t>
        </is>
      </c>
      <c r="J674" t="inlineStr">
        <is>
          <t>Silver</t>
        </is>
      </c>
      <c r="K674" t="n">
        <v>584</v>
      </c>
      <c r="L674" t="n">
        <v>54</v>
      </c>
      <c r="M674" t="n">
        <v>16.87</v>
      </c>
      <c r="N674" t="n">
        <v>740.17</v>
      </c>
      <c r="O674" t="n">
        <v>4.85</v>
      </c>
      <c r="P674" t="n">
        <v>4</v>
      </c>
      <c r="Q674" t="n">
        <v>3</v>
      </c>
      <c r="R674" t="n">
        <v>2021.1</v>
      </c>
      <c r="S674" t="b">
        <v>0</v>
      </c>
      <c r="T674" t="n">
        <v>243624</v>
      </c>
      <c r="U674" t="n">
        <v>12</v>
      </c>
      <c r="V674" t="n">
        <v>0.0941</v>
      </c>
      <c r="W674" t="n">
        <v>1.8</v>
      </c>
      <c r="X674" t="n">
        <v>72.47</v>
      </c>
      <c r="Y674">
        <f>VLOOKUP(D674,$AB$2:$AC$7,2,FALSE)</f>
        <v/>
      </c>
      <c r="Z674">
        <f>IF(A674&lt;Y674,"Yes","No")</f>
        <v/>
      </c>
    </row>
    <row r="675">
      <c r="A675" t="n">
        <v>2012</v>
      </c>
      <c r="B675" t="inlineStr">
        <is>
          <t>Q3</t>
        </is>
      </c>
      <c r="C675" t="inlineStr">
        <is>
          <t>Australia</t>
        </is>
      </c>
      <c r="D675" t="inlineStr">
        <is>
          <t>Model S</t>
        </is>
      </c>
      <c r="E675" t="n">
        <v>1148</v>
      </c>
      <c r="F675" t="n">
        <v>106656.9</v>
      </c>
      <c r="G675" t="n">
        <v>38</v>
      </c>
      <c r="H675" t="inlineStr">
        <is>
          <t>Performance</t>
        </is>
      </c>
      <c r="I675" t="inlineStr">
        <is>
          <t>AWD</t>
        </is>
      </c>
      <c r="J675" t="inlineStr">
        <is>
          <t>Silver</t>
        </is>
      </c>
      <c r="K675" t="n">
        <v>419</v>
      </c>
      <c r="L675" t="n">
        <v>60</v>
      </c>
      <c r="M675" t="n">
        <v>18.93</v>
      </c>
      <c r="N675" t="n">
        <v>2861.13</v>
      </c>
      <c r="O675" t="n">
        <v>4.59</v>
      </c>
      <c r="P675" t="n">
        <v>6</v>
      </c>
      <c r="Q675" t="n">
        <v>0</v>
      </c>
      <c r="R675" t="n">
        <v>2024.1</v>
      </c>
      <c r="S675" t="b">
        <v>0</v>
      </c>
      <c r="T675" t="n">
        <v>2163912</v>
      </c>
      <c r="U675" t="n">
        <v>6</v>
      </c>
      <c r="V675" t="n">
        <v>0.0583</v>
      </c>
      <c r="W675" t="n">
        <v>1.35</v>
      </c>
      <c r="X675" t="n">
        <v>61.17</v>
      </c>
      <c r="Y675">
        <f>VLOOKUP(D675,$AB$2:$AC$7,2,FALSE)</f>
        <v/>
      </c>
      <c r="Z675">
        <f>IF(A675&lt;Y675,"Yes","No")</f>
        <v/>
      </c>
    </row>
    <row r="676">
      <c r="A676" t="n">
        <v>2013</v>
      </c>
      <c r="B676" t="inlineStr">
        <is>
          <t>Q1</t>
        </is>
      </c>
      <c r="C676" t="inlineStr">
        <is>
          <t>Asia</t>
        </is>
      </c>
      <c r="D676" t="inlineStr">
        <is>
          <t>Semi</t>
        </is>
      </c>
      <c r="E676" t="n">
        <v>1171</v>
      </c>
      <c r="F676" t="n">
        <v>94152.08</v>
      </c>
      <c r="G676" t="n">
        <v>52</v>
      </c>
      <c r="H676" t="inlineStr">
        <is>
          <t>Long Range</t>
        </is>
      </c>
      <c r="I676" t="inlineStr">
        <is>
          <t>AWD</t>
        </is>
      </c>
      <c r="J676" t="inlineStr">
        <is>
          <t>White</t>
        </is>
      </c>
      <c r="K676" t="n">
        <v>524</v>
      </c>
      <c r="L676" t="n">
        <v>84</v>
      </c>
      <c r="M676" t="n">
        <v>17.94</v>
      </c>
      <c r="N676" t="n">
        <v>759.74</v>
      </c>
      <c r="O676" t="n">
        <v>4.3</v>
      </c>
      <c r="P676" t="n">
        <v>4</v>
      </c>
      <c r="Q676" t="n">
        <v>3</v>
      </c>
      <c r="R676" t="n">
        <v>2022.12</v>
      </c>
      <c r="S676" t="b">
        <v>0</v>
      </c>
      <c r="T676" t="n">
        <v>3513080</v>
      </c>
      <c r="U676" t="n">
        <v>2</v>
      </c>
      <c r="V676" t="n">
        <v>0.0124</v>
      </c>
      <c r="W676" t="n">
        <v>1.07</v>
      </c>
      <c r="X676" t="n">
        <v>65.54000000000001</v>
      </c>
      <c r="Y676">
        <f>VLOOKUP(D676,$AB$2:$AC$7,2,FALSE)</f>
        <v/>
      </c>
      <c r="Z676">
        <f>IF(A676&lt;Y676,"Yes","No")</f>
        <v/>
      </c>
    </row>
    <row r="677">
      <c r="A677" t="n">
        <v>2013</v>
      </c>
      <c r="B677" t="inlineStr">
        <is>
          <t>Q2</t>
        </is>
      </c>
      <c r="C677" t="inlineStr">
        <is>
          <t>South America</t>
        </is>
      </c>
      <c r="D677" t="inlineStr">
        <is>
          <t>Cybertruck</t>
        </is>
      </c>
      <c r="E677" t="n">
        <v>4961</v>
      </c>
      <c r="F677" t="n">
        <v>107383.44</v>
      </c>
      <c r="G677" t="n">
        <v>23</v>
      </c>
      <c r="H677" t="inlineStr">
        <is>
          <t>Standard</t>
        </is>
      </c>
      <c r="I677" t="inlineStr">
        <is>
          <t>AWD</t>
        </is>
      </c>
      <c r="J677" t="inlineStr">
        <is>
          <t>White</t>
        </is>
      </c>
      <c r="K677" t="n">
        <v>520</v>
      </c>
      <c r="L677" t="n">
        <v>50</v>
      </c>
      <c r="M677" t="n">
        <v>23.66</v>
      </c>
      <c r="N677" t="n">
        <v>4292.45</v>
      </c>
      <c r="O677" t="n">
        <v>3.82</v>
      </c>
      <c r="P677" t="n">
        <v>4</v>
      </c>
      <c r="Q677" t="n">
        <v>1</v>
      </c>
      <c r="R677" t="n">
        <v>2020.5</v>
      </c>
      <c r="S677" t="b">
        <v>0</v>
      </c>
      <c r="T677" t="n">
        <v>4715482</v>
      </c>
      <c r="U677" t="n">
        <v>10</v>
      </c>
      <c r="V677" t="n">
        <v>0.0922</v>
      </c>
      <c r="W677" t="n">
        <v>0.66</v>
      </c>
      <c r="X677" t="n">
        <v>81.38</v>
      </c>
      <c r="Y677">
        <f>VLOOKUP(D677,$AB$2:$AC$7,2,FALSE)</f>
        <v/>
      </c>
      <c r="Z677">
        <f>IF(A677&lt;Y677,"Yes","No")</f>
        <v/>
      </c>
    </row>
    <row r="678">
      <c r="A678" t="n">
        <v>2021</v>
      </c>
      <c r="B678" t="inlineStr">
        <is>
          <t>Q3</t>
        </is>
      </c>
      <c r="C678" t="inlineStr">
        <is>
          <t>South America</t>
        </is>
      </c>
      <c r="D678" t="inlineStr">
        <is>
          <t>Semi</t>
        </is>
      </c>
      <c r="E678" t="n">
        <v>2487</v>
      </c>
      <c r="F678" t="n">
        <v>43537.04</v>
      </c>
      <c r="G678" t="n">
        <v>25</v>
      </c>
      <c r="H678" t="inlineStr">
        <is>
          <t>Standard</t>
        </is>
      </c>
      <c r="I678" t="inlineStr">
        <is>
          <t>RWD</t>
        </is>
      </c>
      <c r="J678" t="inlineStr">
        <is>
          <t>Blue</t>
        </is>
      </c>
      <c r="K678" t="n">
        <v>397</v>
      </c>
      <c r="L678" t="n">
        <v>72</v>
      </c>
      <c r="M678" t="n">
        <v>17</v>
      </c>
      <c r="N678" t="n">
        <v>4929.7</v>
      </c>
      <c r="O678" t="n">
        <v>3.71</v>
      </c>
      <c r="P678" t="n">
        <v>4</v>
      </c>
      <c r="Q678" t="n">
        <v>0</v>
      </c>
      <c r="R678" t="n">
        <v>2020.8</v>
      </c>
      <c r="S678" t="b">
        <v>1</v>
      </c>
      <c r="T678" t="n">
        <v>4036128</v>
      </c>
      <c r="U678" t="n">
        <v>7</v>
      </c>
      <c r="V678" t="n">
        <v>0.0465</v>
      </c>
      <c r="W678" t="n">
        <v>0.71</v>
      </c>
      <c r="X678" t="n">
        <v>64.76000000000001</v>
      </c>
      <c r="Y678">
        <f>VLOOKUP(D678,$AB$2:$AC$7,2,FALSE)</f>
        <v/>
      </c>
      <c r="Z678">
        <f>IF(A678&lt;Y678,"Yes","No")</f>
        <v/>
      </c>
    </row>
    <row r="679">
      <c r="A679" t="n">
        <v>2020</v>
      </c>
      <c r="B679" t="inlineStr">
        <is>
          <t>Q2</t>
        </is>
      </c>
      <c r="C679" t="inlineStr">
        <is>
          <t>North America</t>
        </is>
      </c>
      <c r="D679" t="inlineStr">
        <is>
          <t>Model X</t>
        </is>
      </c>
      <c r="E679" t="n">
        <v>1429</v>
      </c>
      <c r="F679" t="n">
        <v>50735.98</v>
      </c>
      <c r="G679" t="n">
        <v>58</v>
      </c>
      <c r="H679" t="inlineStr">
        <is>
          <t>Performance</t>
        </is>
      </c>
      <c r="I679" t="inlineStr">
        <is>
          <t>AWD</t>
        </is>
      </c>
      <c r="J679" t="inlineStr">
        <is>
          <t>Green</t>
        </is>
      </c>
      <c r="K679" t="n">
        <v>358</v>
      </c>
      <c r="L679" t="n">
        <v>60</v>
      </c>
      <c r="M679" t="n">
        <v>15.62</v>
      </c>
      <c r="N679" t="n">
        <v>2738.43</v>
      </c>
      <c r="O679" t="n">
        <v>3.75</v>
      </c>
      <c r="P679" t="n">
        <v>5</v>
      </c>
      <c r="Q679" t="n">
        <v>3</v>
      </c>
      <c r="R679" t="n">
        <v>2020.11</v>
      </c>
      <c r="S679" t="b">
        <v>0</v>
      </c>
      <c r="T679" t="n">
        <v>4937632</v>
      </c>
      <c r="U679" t="n">
        <v>5</v>
      </c>
      <c r="V679" t="n">
        <v>0.0543</v>
      </c>
      <c r="W679" t="n">
        <v>0.98</v>
      </c>
      <c r="X679" t="n">
        <v>72.89</v>
      </c>
      <c r="Y679">
        <f>VLOOKUP(D679,$AB$2:$AC$7,2,FALSE)</f>
        <v/>
      </c>
      <c r="Z679">
        <f>IF(A679&lt;Y679,"Yes","No")</f>
        <v/>
      </c>
    </row>
    <row r="680">
      <c r="A680" t="n">
        <v>2021</v>
      </c>
      <c r="B680" t="inlineStr">
        <is>
          <t>Q4</t>
        </is>
      </c>
      <c r="C680" t="inlineStr">
        <is>
          <t>Europe</t>
        </is>
      </c>
      <c r="D680" t="inlineStr">
        <is>
          <t>Cybertruck</t>
        </is>
      </c>
      <c r="E680" t="n">
        <v>2447</v>
      </c>
      <c r="F680" t="n">
        <v>64262.77</v>
      </c>
      <c r="G680" t="n">
        <v>25</v>
      </c>
      <c r="H680" t="inlineStr">
        <is>
          <t>Performance</t>
        </is>
      </c>
      <c r="I680" t="inlineStr">
        <is>
          <t>RWD</t>
        </is>
      </c>
      <c r="J680" t="inlineStr">
        <is>
          <t>Silver</t>
        </is>
      </c>
      <c r="K680" t="n">
        <v>497</v>
      </c>
      <c r="L680" t="n">
        <v>47</v>
      </c>
      <c r="M680" t="n">
        <v>15.99</v>
      </c>
      <c r="N680" t="n">
        <v>5413.45</v>
      </c>
      <c r="O680" t="n">
        <v>3.69</v>
      </c>
      <c r="P680" t="n">
        <v>8</v>
      </c>
      <c r="Q680" t="n">
        <v>2</v>
      </c>
      <c r="R680" t="n">
        <v>2024.8</v>
      </c>
      <c r="S680" t="b">
        <v>1</v>
      </c>
      <c r="T680" t="n">
        <v>1061424</v>
      </c>
      <c r="U680" t="n">
        <v>8</v>
      </c>
      <c r="V680" t="n">
        <v>0.06320000000000001</v>
      </c>
      <c r="W680" t="n">
        <v>1.99</v>
      </c>
      <c r="X680" t="n">
        <v>80.73999999999999</v>
      </c>
      <c r="Y680">
        <f>VLOOKUP(D680,$AB$2:$AC$7,2,FALSE)</f>
        <v/>
      </c>
      <c r="Z680">
        <f>IF(A680&lt;Y680,"Yes","No")</f>
        <v/>
      </c>
    </row>
    <row r="681">
      <c r="A681" t="n">
        <v>2021</v>
      </c>
      <c r="B681" t="inlineStr">
        <is>
          <t>Q2</t>
        </is>
      </c>
      <c r="C681" t="inlineStr">
        <is>
          <t>South America</t>
        </is>
      </c>
      <c r="D681" t="inlineStr">
        <is>
          <t>Model S</t>
        </is>
      </c>
      <c r="E681" t="n">
        <v>2088</v>
      </c>
      <c r="F681" t="n">
        <v>46258.13</v>
      </c>
      <c r="G681" t="n">
        <v>2</v>
      </c>
      <c r="H681" t="inlineStr">
        <is>
          <t>Standard</t>
        </is>
      </c>
      <c r="I681" t="inlineStr">
        <is>
          <t>AWD</t>
        </is>
      </c>
      <c r="J681" t="inlineStr">
        <is>
          <t>Green</t>
        </is>
      </c>
      <c r="K681" t="n">
        <v>373</v>
      </c>
      <c r="L681" t="n">
        <v>76</v>
      </c>
      <c r="M681" t="n">
        <v>13.87</v>
      </c>
      <c r="N681" t="n">
        <v>2692.35</v>
      </c>
      <c r="O681" t="n">
        <v>4.95</v>
      </c>
      <c r="P681" t="n">
        <v>6</v>
      </c>
      <c r="Q681" t="n">
        <v>0</v>
      </c>
      <c r="R681" t="n">
        <v>2024.1</v>
      </c>
      <c r="S681" t="b">
        <v>1</v>
      </c>
      <c r="T681" t="n">
        <v>1029242</v>
      </c>
      <c r="U681" t="n">
        <v>2</v>
      </c>
      <c r="V681" t="n">
        <v>0.0472</v>
      </c>
      <c r="W681" t="n">
        <v>1.18</v>
      </c>
      <c r="X681" t="n">
        <v>73.41</v>
      </c>
      <c r="Y681">
        <f>VLOOKUP(D681,$AB$2:$AC$7,2,FALSE)</f>
        <v/>
      </c>
      <c r="Z681">
        <f>IF(A681&lt;Y681,"Yes","No")</f>
        <v/>
      </c>
    </row>
    <row r="682">
      <c r="A682" t="n">
        <v>2014</v>
      </c>
      <c r="B682" t="inlineStr">
        <is>
          <t>Q1</t>
        </is>
      </c>
      <c r="C682" t="inlineStr">
        <is>
          <t>Asia</t>
        </is>
      </c>
      <c r="D682" t="inlineStr">
        <is>
          <t>Model X</t>
        </is>
      </c>
      <c r="E682" t="n">
        <v>3417</v>
      </c>
      <c r="F682" t="n">
        <v>67191.59</v>
      </c>
      <c r="G682" t="n">
        <v>33</v>
      </c>
      <c r="H682" t="inlineStr">
        <is>
          <t>Performance</t>
        </is>
      </c>
      <c r="I682" t="inlineStr">
        <is>
          <t>RWD</t>
        </is>
      </c>
      <c r="J682" t="inlineStr">
        <is>
          <t>Blue</t>
        </is>
      </c>
      <c r="K682" t="n">
        <v>689</v>
      </c>
      <c r="L682" t="n">
        <v>42</v>
      </c>
      <c r="M682" t="n">
        <v>23.29</v>
      </c>
      <c r="N682" t="n">
        <v>2705.69</v>
      </c>
      <c r="O682" t="n">
        <v>4.08</v>
      </c>
      <c r="P682" t="n">
        <v>5</v>
      </c>
      <c r="Q682" t="n">
        <v>1</v>
      </c>
      <c r="R682" t="n">
        <v>2023.8</v>
      </c>
      <c r="S682" t="b">
        <v>0</v>
      </c>
      <c r="T682" t="n">
        <v>3769603</v>
      </c>
      <c r="U682" t="n">
        <v>2</v>
      </c>
      <c r="V682" t="n">
        <v>0.0327</v>
      </c>
      <c r="W682" t="n">
        <v>1.37</v>
      </c>
      <c r="X682" t="n">
        <v>64.76000000000001</v>
      </c>
      <c r="Y682">
        <f>VLOOKUP(D682,$AB$2:$AC$7,2,FALSE)</f>
        <v/>
      </c>
      <c r="Z682">
        <f>IF(A682&lt;Y682,"Yes","No")</f>
        <v/>
      </c>
    </row>
    <row r="683">
      <c r="A683" t="n">
        <v>2024</v>
      </c>
      <c r="B683" t="inlineStr">
        <is>
          <t>Q1</t>
        </is>
      </c>
      <c r="C683" t="inlineStr">
        <is>
          <t>Australia</t>
        </is>
      </c>
      <c r="D683" t="inlineStr">
        <is>
          <t>Cybertruck</t>
        </is>
      </c>
      <c r="E683" t="n">
        <v>2418</v>
      </c>
      <c r="F683" t="n">
        <v>52326.39</v>
      </c>
      <c r="G683" t="n">
        <v>7</v>
      </c>
      <c r="H683" t="inlineStr">
        <is>
          <t>Long Range</t>
        </is>
      </c>
      <c r="I683" t="inlineStr">
        <is>
          <t>AWD</t>
        </is>
      </c>
      <c r="J683" t="inlineStr">
        <is>
          <t>White</t>
        </is>
      </c>
      <c r="K683" t="n">
        <v>493</v>
      </c>
      <c r="L683" t="n">
        <v>41</v>
      </c>
      <c r="M683" t="n">
        <v>18.11</v>
      </c>
      <c r="N683" t="n">
        <v>1275.58</v>
      </c>
      <c r="O683" t="n">
        <v>4.68</v>
      </c>
      <c r="P683" t="n">
        <v>4</v>
      </c>
      <c r="Q683" t="n">
        <v>3</v>
      </c>
      <c r="R683" t="n">
        <v>2022.5</v>
      </c>
      <c r="S683" t="b">
        <v>1</v>
      </c>
      <c r="T683" t="n">
        <v>3869362</v>
      </c>
      <c r="U683" t="n">
        <v>5</v>
      </c>
      <c r="V683" t="n">
        <v>0.07199999999999999</v>
      </c>
      <c r="W683" t="n">
        <v>1.05</v>
      </c>
      <c r="X683" t="n">
        <v>74.31</v>
      </c>
      <c r="Y683">
        <f>VLOOKUP(D683,$AB$2:$AC$7,2,FALSE)</f>
        <v/>
      </c>
      <c r="Z683">
        <f>IF(A683&lt;Y683,"Yes","No")</f>
        <v/>
      </c>
    </row>
    <row r="684">
      <c r="A684" t="n">
        <v>2018</v>
      </c>
      <c r="B684" t="inlineStr">
        <is>
          <t>Q3</t>
        </is>
      </c>
      <c r="C684" t="inlineStr">
        <is>
          <t>Europe</t>
        </is>
      </c>
      <c r="D684" t="inlineStr">
        <is>
          <t>Model Y</t>
        </is>
      </c>
      <c r="E684" t="n">
        <v>1856</v>
      </c>
      <c r="F684" t="n">
        <v>72240.99000000001</v>
      </c>
      <c r="G684" t="n">
        <v>8</v>
      </c>
      <c r="H684" t="inlineStr">
        <is>
          <t>Standard</t>
        </is>
      </c>
      <c r="I684" t="inlineStr">
        <is>
          <t>AWD</t>
        </is>
      </c>
      <c r="J684" t="inlineStr">
        <is>
          <t>Green</t>
        </is>
      </c>
      <c r="K684" t="n">
        <v>598</v>
      </c>
      <c r="L684" t="n">
        <v>54</v>
      </c>
      <c r="M684" t="n">
        <v>15.63</v>
      </c>
      <c r="N684" t="n">
        <v>4448.89</v>
      </c>
      <c r="O684" t="n">
        <v>4.26</v>
      </c>
      <c r="P684" t="n">
        <v>5</v>
      </c>
      <c r="Q684" t="n">
        <v>0</v>
      </c>
      <c r="R684" t="n">
        <v>2022.12</v>
      </c>
      <c r="S684" t="b">
        <v>0</v>
      </c>
      <c r="T684" t="n">
        <v>4479090</v>
      </c>
      <c r="U684" t="n">
        <v>6</v>
      </c>
      <c r="V684" t="n">
        <v>0.0721</v>
      </c>
      <c r="W684" t="n">
        <v>1.04</v>
      </c>
      <c r="X684" t="n">
        <v>79.75</v>
      </c>
      <c r="Y684">
        <f>VLOOKUP(D684,$AB$2:$AC$7,2,FALSE)</f>
        <v/>
      </c>
      <c r="Z684">
        <f>IF(A684&lt;Y684,"Yes","No")</f>
        <v/>
      </c>
    </row>
    <row r="685">
      <c r="A685" t="n">
        <v>2024</v>
      </c>
      <c r="B685" t="inlineStr">
        <is>
          <t>Q3</t>
        </is>
      </c>
      <c r="C685" t="inlineStr">
        <is>
          <t>Australia</t>
        </is>
      </c>
      <c r="D685" t="inlineStr">
        <is>
          <t>Model S</t>
        </is>
      </c>
      <c r="E685" t="n">
        <v>565</v>
      </c>
      <c r="F685" t="n">
        <v>83208.25</v>
      </c>
      <c r="G685" t="n">
        <v>56</v>
      </c>
      <c r="H685" t="inlineStr">
        <is>
          <t>Standard</t>
        </is>
      </c>
      <c r="I685" t="inlineStr">
        <is>
          <t>AWD</t>
        </is>
      </c>
      <c r="J685" t="inlineStr">
        <is>
          <t>White</t>
        </is>
      </c>
      <c r="K685" t="n">
        <v>479</v>
      </c>
      <c r="L685" t="n">
        <v>81</v>
      </c>
      <c r="M685" t="n">
        <v>15.93</v>
      </c>
      <c r="N685" t="n">
        <v>1364.68</v>
      </c>
      <c r="O685" t="n">
        <v>4.9</v>
      </c>
      <c r="P685" t="n">
        <v>5</v>
      </c>
      <c r="Q685" t="n">
        <v>3</v>
      </c>
      <c r="R685" t="n">
        <v>2024.1</v>
      </c>
      <c r="S685" t="b">
        <v>1</v>
      </c>
      <c r="T685" t="n">
        <v>264165</v>
      </c>
      <c r="U685" t="n">
        <v>7</v>
      </c>
      <c r="V685" t="n">
        <v>0.07920000000000001</v>
      </c>
      <c r="W685" t="n">
        <v>2.04</v>
      </c>
      <c r="X685" t="n">
        <v>72.59</v>
      </c>
      <c r="Y685">
        <f>VLOOKUP(D685,$AB$2:$AC$7,2,FALSE)</f>
        <v/>
      </c>
      <c r="Z685">
        <f>IF(A685&lt;Y685,"Yes","No")</f>
        <v/>
      </c>
    </row>
    <row r="686">
      <c r="A686" t="n">
        <v>2017</v>
      </c>
      <c r="B686" t="inlineStr">
        <is>
          <t>Q1</t>
        </is>
      </c>
      <c r="C686" t="inlineStr">
        <is>
          <t>Australia</t>
        </is>
      </c>
      <c r="D686" t="inlineStr">
        <is>
          <t>Model 3</t>
        </is>
      </c>
      <c r="E686" t="n">
        <v>1584</v>
      </c>
      <c r="F686" t="n">
        <v>44219.63</v>
      </c>
      <c r="G686" t="n">
        <v>19</v>
      </c>
      <c r="H686" t="inlineStr">
        <is>
          <t>Performance</t>
        </is>
      </c>
      <c r="I686" t="inlineStr">
        <is>
          <t>RWD</t>
        </is>
      </c>
      <c r="J686" t="inlineStr">
        <is>
          <t>White</t>
        </is>
      </c>
      <c r="K686" t="n">
        <v>489</v>
      </c>
      <c r="L686" t="n">
        <v>67</v>
      </c>
      <c r="M686" t="n">
        <v>15.39</v>
      </c>
      <c r="N686" t="n">
        <v>2065.39</v>
      </c>
      <c r="O686" t="n">
        <v>4.76</v>
      </c>
      <c r="P686" t="n">
        <v>6</v>
      </c>
      <c r="Q686" t="n">
        <v>0</v>
      </c>
      <c r="R686" t="n">
        <v>2023.8</v>
      </c>
      <c r="S686" t="b">
        <v>1</v>
      </c>
      <c r="T686" t="n">
        <v>2154236</v>
      </c>
      <c r="U686" t="n">
        <v>7</v>
      </c>
      <c r="V686" t="n">
        <v>0.0141</v>
      </c>
      <c r="W686" t="n">
        <v>1.17</v>
      </c>
      <c r="X686" t="n">
        <v>74.14</v>
      </c>
      <c r="Y686">
        <f>VLOOKUP(D686,$AB$2:$AC$7,2,FALSE)</f>
        <v/>
      </c>
      <c r="Z686">
        <f>IF(A686&lt;Y686,"Yes","No")</f>
        <v/>
      </c>
    </row>
    <row r="687">
      <c r="A687" t="n">
        <v>2015</v>
      </c>
      <c r="B687" t="inlineStr">
        <is>
          <t>Q3</t>
        </is>
      </c>
      <c r="C687" t="inlineStr">
        <is>
          <t>Australia</t>
        </is>
      </c>
      <c r="D687" t="inlineStr">
        <is>
          <t>Model 3</t>
        </is>
      </c>
      <c r="E687" t="n">
        <v>3579</v>
      </c>
      <c r="F687" t="n">
        <v>116387.65</v>
      </c>
      <c r="G687" t="n">
        <v>1</v>
      </c>
      <c r="H687" t="inlineStr">
        <is>
          <t>Performance</t>
        </is>
      </c>
      <c r="I687" t="inlineStr">
        <is>
          <t>AWD</t>
        </is>
      </c>
      <c r="J687" t="inlineStr">
        <is>
          <t>Red</t>
        </is>
      </c>
      <c r="K687" t="n">
        <v>639</v>
      </c>
      <c r="L687" t="n">
        <v>87</v>
      </c>
      <c r="M687" t="n">
        <v>14.64</v>
      </c>
      <c r="N687" t="n">
        <v>4729.54</v>
      </c>
      <c r="O687" t="n">
        <v>3.57</v>
      </c>
      <c r="P687" t="n">
        <v>8</v>
      </c>
      <c r="Q687" t="n">
        <v>3</v>
      </c>
      <c r="R687" t="n">
        <v>2024.12</v>
      </c>
      <c r="S687" t="b">
        <v>1</v>
      </c>
      <c r="T687" t="n">
        <v>960798</v>
      </c>
      <c r="U687" t="n">
        <v>12</v>
      </c>
      <c r="V687" t="n">
        <v>0.09909999999999999</v>
      </c>
      <c r="W687" t="n">
        <v>1.6</v>
      </c>
      <c r="X687" t="n">
        <v>81.55</v>
      </c>
      <c r="Y687">
        <f>VLOOKUP(D687,$AB$2:$AC$7,2,FALSE)</f>
        <v/>
      </c>
      <c r="Z687">
        <f>IF(A687&lt;Y687,"Yes","No")</f>
        <v/>
      </c>
    </row>
    <row r="688">
      <c r="A688" t="n">
        <v>2015</v>
      </c>
      <c r="B688" t="inlineStr">
        <is>
          <t>Q2</t>
        </is>
      </c>
      <c r="C688" t="inlineStr">
        <is>
          <t>Europe</t>
        </is>
      </c>
      <c r="D688" t="inlineStr">
        <is>
          <t>Model X</t>
        </is>
      </c>
      <c r="E688" t="n">
        <v>843</v>
      </c>
      <c r="F688" t="n">
        <v>38112.35</v>
      </c>
      <c r="G688" t="n">
        <v>0</v>
      </c>
      <c r="H688" t="inlineStr">
        <is>
          <t>Performance</t>
        </is>
      </c>
      <c r="I688" t="inlineStr">
        <is>
          <t>RWD</t>
        </is>
      </c>
      <c r="J688" t="inlineStr">
        <is>
          <t>Red</t>
        </is>
      </c>
      <c r="K688" t="n">
        <v>493</v>
      </c>
      <c r="L688" t="n">
        <v>71</v>
      </c>
      <c r="M688" t="n">
        <v>20.06</v>
      </c>
      <c r="N688" t="n">
        <v>1179.92</v>
      </c>
      <c r="O688" t="n">
        <v>3.81</v>
      </c>
      <c r="P688" t="n">
        <v>6</v>
      </c>
      <c r="Q688" t="n">
        <v>1</v>
      </c>
      <c r="R688" t="n">
        <v>2024.2</v>
      </c>
      <c r="S688" t="b">
        <v>1</v>
      </c>
      <c r="T688" t="n">
        <v>2199808</v>
      </c>
      <c r="U688" t="n">
        <v>11</v>
      </c>
      <c r="V688" t="n">
        <v>0.0583</v>
      </c>
      <c r="W688" t="n">
        <v>1.76</v>
      </c>
      <c r="X688" t="n">
        <v>82.83</v>
      </c>
      <c r="Y688">
        <f>VLOOKUP(D688,$AB$2:$AC$7,2,FALSE)</f>
        <v/>
      </c>
      <c r="Z688">
        <f>IF(A688&lt;Y688,"Yes","No")</f>
        <v/>
      </c>
    </row>
    <row r="689">
      <c r="A689" t="n">
        <v>2012</v>
      </c>
      <c r="B689" t="inlineStr">
        <is>
          <t>Q4</t>
        </is>
      </c>
      <c r="C689" t="inlineStr">
        <is>
          <t>Asia</t>
        </is>
      </c>
      <c r="D689" t="inlineStr">
        <is>
          <t>Cybertruck</t>
        </is>
      </c>
      <c r="E689" t="n">
        <v>1418</v>
      </c>
      <c r="F689" t="n">
        <v>90870.25</v>
      </c>
      <c r="G689" t="n">
        <v>44</v>
      </c>
      <c r="H689" t="inlineStr">
        <is>
          <t>Performance</t>
        </is>
      </c>
      <c r="I689" t="inlineStr">
        <is>
          <t>AWD</t>
        </is>
      </c>
      <c r="J689" t="inlineStr">
        <is>
          <t>Blue</t>
        </is>
      </c>
      <c r="K689" t="n">
        <v>460</v>
      </c>
      <c r="L689" t="n">
        <v>80</v>
      </c>
      <c r="M689" t="n">
        <v>17.94</v>
      </c>
      <c r="N689" t="n">
        <v>1646.99</v>
      </c>
      <c r="O689" t="n">
        <v>3.63</v>
      </c>
      <c r="P689" t="n">
        <v>5</v>
      </c>
      <c r="Q689" t="n">
        <v>2</v>
      </c>
      <c r="R689" t="n">
        <v>2020.7</v>
      </c>
      <c r="S689" t="b">
        <v>0</v>
      </c>
      <c r="T689" t="n">
        <v>3093891</v>
      </c>
      <c r="U689" t="n">
        <v>9</v>
      </c>
      <c r="V689" t="n">
        <v>0.0601</v>
      </c>
      <c r="W689" t="n">
        <v>0.83</v>
      </c>
      <c r="X689" t="n">
        <v>82.17</v>
      </c>
      <c r="Y689">
        <f>VLOOKUP(D689,$AB$2:$AC$7,2,FALSE)</f>
        <v/>
      </c>
      <c r="Z689">
        <f>IF(A689&lt;Y689,"Yes","No")</f>
        <v/>
      </c>
    </row>
    <row r="690">
      <c r="A690" t="n">
        <v>2022</v>
      </c>
      <c r="B690" t="inlineStr">
        <is>
          <t>Q1</t>
        </is>
      </c>
      <c r="C690" t="inlineStr">
        <is>
          <t>Asia</t>
        </is>
      </c>
      <c r="D690" t="inlineStr">
        <is>
          <t>Model 3</t>
        </is>
      </c>
      <c r="E690" t="n">
        <v>1459</v>
      </c>
      <c r="F690" t="n">
        <v>104896.69</v>
      </c>
      <c r="G690" t="n">
        <v>14</v>
      </c>
      <c r="H690" t="inlineStr">
        <is>
          <t>Performance</t>
        </is>
      </c>
      <c r="I690" t="inlineStr">
        <is>
          <t>AWD</t>
        </is>
      </c>
      <c r="J690" t="inlineStr">
        <is>
          <t>Green</t>
        </is>
      </c>
      <c r="K690" t="n">
        <v>441</v>
      </c>
      <c r="L690" t="n">
        <v>42</v>
      </c>
      <c r="M690" t="n">
        <v>22.93</v>
      </c>
      <c r="N690" t="n">
        <v>1306.23</v>
      </c>
      <c r="O690" t="n">
        <v>3.94</v>
      </c>
      <c r="P690" t="n">
        <v>4</v>
      </c>
      <c r="Q690" t="n">
        <v>3</v>
      </c>
      <c r="R690" t="n">
        <v>2021.1</v>
      </c>
      <c r="S690" t="b">
        <v>1</v>
      </c>
      <c r="T690" t="n">
        <v>364164</v>
      </c>
      <c r="U690" t="n">
        <v>3</v>
      </c>
      <c r="V690" t="n">
        <v>0.07530000000000001</v>
      </c>
      <c r="W690" t="n">
        <v>1.95</v>
      </c>
      <c r="X690" t="n">
        <v>71</v>
      </c>
      <c r="Y690">
        <f>VLOOKUP(D690,$AB$2:$AC$7,2,FALSE)</f>
        <v/>
      </c>
      <c r="Z690">
        <f>IF(A690&lt;Y690,"Yes","No")</f>
        <v/>
      </c>
    </row>
    <row r="691">
      <c r="A691" t="n">
        <v>2024</v>
      </c>
      <c r="B691" t="inlineStr">
        <is>
          <t>Q3</t>
        </is>
      </c>
      <c r="C691" t="inlineStr">
        <is>
          <t>Australia</t>
        </is>
      </c>
      <c r="D691" t="inlineStr">
        <is>
          <t>Model 3</t>
        </is>
      </c>
      <c r="E691" t="n">
        <v>568</v>
      </c>
      <c r="F691" t="n">
        <v>105857.67</v>
      </c>
      <c r="G691" t="n">
        <v>10</v>
      </c>
      <c r="H691" t="inlineStr">
        <is>
          <t>Long Range</t>
        </is>
      </c>
      <c r="I691" t="inlineStr">
        <is>
          <t>RWD</t>
        </is>
      </c>
      <c r="J691" t="inlineStr">
        <is>
          <t>Red</t>
        </is>
      </c>
      <c r="K691" t="n">
        <v>437</v>
      </c>
      <c r="L691" t="n">
        <v>53</v>
      </c>
      <c r="M691" t="n">
        <v>13.42</v>
      </c>
      <c r="N691" t="n">
        <v>482.91</v>
      </c>
      <c r="O691" t="n">
        <v>4.76</v>
      </c>
      <c r="P691" t="n">
        <v>8</v>
      </c>
      <c r="Q691" t="n">
        <v>0</v>
      </c>
      <c r="R691" t="n">
        <v>2020.3</v>
      </c>
      <c r="S691" t="b">
        <v>1</v>
      </c>
      <c r="T691" t="n">
        <v>714155</v>
      </c>
      <c r="U691" t="n">
        <v>4</v>
      </c>
      <c r="V691" t="n">
        <v>0.0474</v>
      </c>
      <c r="W691" t="n">
        <v>1.37</v>
      </c>
      <c r="X691" t="n">
        <v>80.98999999999999</v>
      </c>
      <c r="Y691">
        <f>VLOOKUP(D691,$AB$2:$AC$7,2,FALSE)</f>
        <v/>
      </c>
      <c r="Z691">
        <f>IF(A691&lt;Y691,"Yes","No")</f>
        <v/>
      </c>
    </row>
    <row r="692">
      <c r="A692" t="n">
        <v>2014</v>
      </c>
      <c r="B692" t="inlineStr">
        <is>
          <t>Q3</t>
        </is>
      </c>
      <c r="C692" t="inlineStr">
        <is>
          <t>South America</t>
        </is>
      </c>
      <c r="D692" t="inlineStr">
        <is>
          <t>Semi</t>
        </is>
      </c>
      <c r="E692" t="n">
        <v>4596</v>
      </c>
      <c r="F692" t="n">
        <v>110125.43</v>
      </c>
      <c r="G692" t="n">
        <v>33</v>
      </c>
      <c r="H692" t="inlineStr">
        <is>
          <t>Performance</t>
        </is>
      </c>
      <c r="I692" t="inlineStr">
        <is>
          <t>RWD</t>
        </is>
      </c>
      <c r="J692" t="inlineStr">
        <is>
          <t>Blue</t>
        </is>
      </c>
      <c r="K692" t="n">
        <v>430</v>
      </c>
      <c r="L692" t="n">
        <v>83</v>
      </c>
      <c r="M692" t="n">
        <v>24.97</v>
      </c>
      <c r="N692" t="n">
        <v>7195.94</v>
      </c>
      <c r="O692" t="n">
        <v>4.35</v>
      </c>
      <c r="P692" t="n">
        <v>8</v>
      </c>
      <c r="Q692" t="n">
        <v>3</v>
      </c>
      <c r="R692" t="n">
        <v>2021.1</v>
      </c>
      <c r="S692" t="b">
        <v>0</v>
      </c>
      <c r="T692" t="n">
        <v>2441892</v>
      </c>
      <c r="U692" t="n">
        <v>7</v>
      </c>
      <c r="V692" t="n">
        <v>0.0334</v>
      </c>
      <c r="W692" t="n">
        <v>0.93</v>
      </c>
      <c r="X692" t="n">
        <v>82</v>
      </c>
      <c r="Y692">
        <f>VLOOKUP(D692,$AB$2:$AC$7,2,FALSE)</f>
        <v/>
      </c>
      <c r="Z692">
        <f>IF(A692&lt;Y692,"Yes","No")</f>
        <v/>
      </c>
    </row>
    <row r="693">
      <c r="A693" t="n">
        <v>2024</v>
      </c>
      <c r="B693" t="inlineStr">
        <is>
          <t>Q1</t>
        </is>
      </c>
      <c r="C693" t="inlineStr">
        <is>
          <t>Europe</t>
        </is>
      </c>
      <c r="D693" t="inlineStr">
        <is>
          <t>Model Y</t>
        </is>
      </c>
      <c r="E693" t="n">
        <v>2471</v>
      </c>
      <c r="F693" t="n">
        <v>66919.72</v>
      </c>
      <c r="G693" t="n">
        <v>34</v>
      </c>
      <c r="H693" t="inlineStr">
        <is>
          <t>Long Range</t>
        </is>
      </c>
      <c r="I693" t="inlineStr">
        <is>
          <t>AWD</t>
        </is>
      </c>
      <c r="J693" t="inlineStr">
        <is>
          <t>Silver</t>
        </is>
      </c>
      <c r="K693" t="n">
        <v>409</v>
      </c>
      <c r="L693" t="n">
        <v>80</v>
      </c>
      <c r="M693" t="n">
        <v>21.33</v>
      </c>
      <c r="N693" t="n">
        <v>5687.41</v>
      </c>
      <c r="O693" t="n">
        <v>3.84</v>
      </c>
      <c r="P693" t="n">
        <v>4</v>
      </c>
      <c r="Q693" t="n">
        <v>3</v>
      </c>
      <c r="R693" t="n">
        <v>2023.11</v>
      </c>
      <c r="S693" t="b">
        <v>1</v>
      </c>
      <c r="T693" t="n">
        <v>543184</v>
      </c>
      <c r="U693" t="n">
        <v>10</v>
      </c>
      <c r="V693" t="n">
        <v>0.0262</v>
      </c>
      <c r="W693" t="n">
        <v>2.25</v>
      </c>
      <c r="X693" t="n">
        <v>83.97</v>
      </c>
      <c r="Y693">
        <f>VLOOKUP(D693,$AB$2:$AC$7,2,FALSE)</f>
        <v/>
      </c>
      <c r="Z693">
        <f>IF(A693&lt;Y693,"Yes","No")</f>
        <v/>
      </c>
    </row>
    <row r="694">
      <c r="A694" t="n">
        <v>2015</v>
      </c>
      <c r="B694" t="inlineStr">
        <is>
          <t>Q1</t>
        </is>
      </c>
      <c r="C694" t="inlineStr">
        <is>
          <t>South America</t>
        </is>
      </c>
      <c r="D694" t="inlineStr">
        <is>
          <t>Cybertruck</t>
        </is>
      </c>
      <c r="E694" t="n">
        <v>4503</v>
      </c>
      <c r="F694" t="n">
        <v>110175.79</v>
      </c>
      <c r="G694" t="n">
        <v>15</v>
      </c>
      <c r="H694" t="inlineStr">
        <is>
          <t>Performance</t>
        </is>
      </c>
      <c r="I694" t="inlineStr">
        <is>
          <t>AWD</t>
        </is>
      </c>
      <c r="J694" t="inlineStr">
        <is>
          <t>White</t>
        </is>
      </c>
      <c r="K694" t="n">
        <v>618</v>
      </c>
      <c r="L694" t="n">
        <v>64</v>
      </c>
      <c r="M694" t="n">
        <v>14.12</v>
      </c>
      <c r="N694" t="n">
        <v>4603.33</v>
      </c>
      <c r="O694" t="n">
        <v>4.32</v>
      </c>
      <c r="P694" t="n">
        <v>5</v>
      </c>
      <c r="Q694" t="n">
        <v>0</v>
      </c>
      <c r="R694" t="n">
        <v>2023.8</v>
      </c>
      <c r="S694" t="b">
        <v>1</v>
      </c>
      <c r="T694" t="n">
        <v>1271992</v>
      </c>
      <c r="U694" t="n">
        <v>5</v>
      </c>
      <c r="V694" t="n">
        <v>0.07290000000000001</v>
      </c>
      <c r="W694" t="n">
        <v>0.68</v>
      </c>
      <c r="X694" t="n">
        <v>64.43000000000001</v>
      </c>
      <c r="Y694">
        <f>VLOOKUP(D694,$AB$2:$AC$7,2,FALSE)</f>
        <v/>
      </c>
      <c r="Z694">
        <f>IF(A694&lt;Y694,"Yes","No")</f>
        <v/>
      </c>
    </row>
    <row r="695">
      <c r="A695" t="n">
        <v>2019</v>
      </c>
      <c r="B695" t="inlineStr">
        <is>
          <t>Q1</t>
        </is>
      </c>
      <c r="C695" t="inlineStr">
        <is>
          <t>Australia</t>
        </is>
      </c>
      <c r="D695" t="inlineStr">
        <is>
          <t>Semi</t>
        </is>
      </c>
      <c r="E695" t="n">
        <v>4528</v>
      </c>
      <c r="F695" t="n">
        <v>41813.34</v>
      </c>
      <c r="G695" t="n">
        <v>48</v>
      </c>
      <c r="H695" t="inlineStr">
        <is>
          <t>Long Range</t>
        </is>
      </c>
      <c r="I695" t="inlineStr">
        <is>
          <t>RWD</t>
        </is>
      </c>
      <c r="J695" t="inlineStr">
        <is>
          <t>Black</t>
        </is>
      </c>
      <c r="K695" t="n">
        <v>698</v>
      </c>
      <c r="L695" t="n">
        <v>47</v>
      </c>
      <c r="M695" t="n">
        <v>24.91</v>
      </c>
      <c r="N695" t="n">
        <v>5322.04</v>
      </c>
      <c r="O695" t="n">
        <v>3.55</v>
      </c>
      <c r="P695" t="n">
        <v>4</v>
      </c>
      <c r="Q695" t="n">
        <v>0</v>
      </c>
      <c r="R695" t="n">
        <v>2020.12</v>
      </c>
      <c r="S695" t="b">
        <v>1</v>
      </c>
      <c r="T695" t="n">
        <v>801571</v>
      </c>
      <c r="U695" t="n">
        <v>7</v>
      </c>
      <c r="V695" t="n">
        <v>0.0248</v>
      </c>
      <c r="W695" t="n">
        <v>1.98</v>
      </c>
      <c r="X695" t="n">
        <v>79.11</v>
      </c>
      <c r="Y695">
        <f>VLOOKUP(D695,$AB$2:$AC$7,2,FALSE)</f>
        <v/>
      </c>
      <c r="Z695">
        <f>IF(A695&lt;Y695,"Yes","No")</f>
        <v/>
      </c>
    </row>
    <row r="696">
      <c r="A696" t="n">
        <v>2013</v>
      </c>
      <c r="B696" t="inlineStr">
        <is>
          <t>Q1</t>
        </is>
      </c>
      <c r="C696" t="inlineStr">
        <is>
          <t>Europe</t>
        </is>
      </c>
      <c r="D696" t="inlineStr">
        <is>
          <t>Model Y</t>
        </is>
      </c>
      <c r="E696" t="n">
        <v>854</v>
      </c>
      <c r="F696" t="n">
        <v>72313.22</v>
      </c>
      <c r="G696" t="n">
        <v>57</v>
      </c>
      <c r="H696" t="inlineStr">
        <is>
          <t>Performance</t>
        </is>
      </c>
      <c r="I696" t="inlineStr">
        <is>
          <t>RWD</t>
        </is>
      </c>
      <c r="J696" t="inlineStr">
        <is>
          <t>Red</t>
        </is>
      </c>
      <c r="K696" t="n">
        <v>672</v>
      </c>
      <c r="L696" t="n">
        <v>77</v>
      </c>
      <c r="M696" t="n">
        <v>24.62</v>
      </c>
      <c r="N696" t="n">
        <v>471.14</v>
      </c>
      <c r="O696" t="n">
        <v>3.72</v>
      </c>
      <c r="P696" t="n">
        <v>6</v>
      </c>
      <c r="Q696" t="n">
        <v>2</v>
      </c>
      <c r="R696" t="n">
        <v>2023.11</v>
      </c>
      <c r="S696" t="b">
        <v>1</v>
      </c>
      <c r="T696" t="n">
        <v>4328026</v>
      </c>
      <c r="U696" t="n">
        <v>12</v>
      </c>
      <c r="V696" t="n">
        <v>0.0361</v>
      </c>
      <c r="W696" t="n">
        <v>1.08</v>
      </c>
      <c r="X696" t="n">
        <v>64.78</v>
      </c>
      <c r="Y696">
        <f>VLOOKUP(D696,$AB$2:$AC$7,2,FALSE)</f>
        <v/>
      </c>
      <c r="Z696">
        <f>IF(A696&lt;Y696,"Yes","No")</f>
        <v/>
      </c>
    </row>
    <row r="697">
      <c r="A697" t="n">
        <v>2020</v>
      </c>
      <c r="B697" t="inlineStr">
        <is>
          <t>Q2</t>
        </is>
      </c>
      <c r="C697" t="inlineStr">
        <is>
          <t>South America</t>
        </is>
      </c>
      <c r="D697" t="inlineStr">
        <is>
          <t>Semi</t>
        </is>
      </c>
      <c r="E697" t="n">
        <v>4771</v>
      </c>
      <c r="F697" t="n">
        <v>80901.14</v>
      </c>
      <c r="G697" t="n">
        <v>18</v>
      </c>
      <c r="H697" t="inlineStr">
        <is>
          <t>Long Range</t>
        </is>
      </c>
      <c r="I697" t="inlineStr">
        <is>
          <t>AWD</t>
        </is>
      </c>
      <c r="J697" t="inlineStr">
        <is>
          <t>Black</t>
        </is>
      </c>
      <c r="K697" t="n">
        <v>439</v>
      </c>
      <c r="L697" t="n">
        <v>82</v>
      </c>
      <c r="M697" t="n">
        <v>22.16</v>
      </c>
      <c r="N697" t="n">
        <v>7170.01</v>
      </c>
      <c r="O697" t="n">
        <v>4.68</v>
      </c>
      <c r="P697" t="n">
        <v>6</v>
      </c>
      <c r="Q697" t="n">
        <v>3</v>
      </c>
      <c r="R697" t="n">
        <v>2023.1</v>
      </c>
      <c r="S697" t="b">
        <v>0</v>
      </c>
      <c r="T697" t="n">
        <v>4020103</v>
      </c>
      <c r="U697" t="n">
        <v>2</v>
      </c>
      <c r="V697" t="n">
        <v>0.014</v>
      </c>
      <c r="W697" t="n">
        <v>0.6</v>
      </c>
      <c r="X697" t="n">
        <v>79.86</v>
      </c>
      <c r="Y697">
        <f>VLOOKUP(D697,$AB$2:$AC$7,2,FALSE)</f>
        <v/>
      </c>
      <c r="Z697">
        <f>IF(A697&lt;Y697,"Yes","No")</f>
        <v/>
      </c>
    </row>
    <row r="698">
      <c r="A698" t="n">
        <v>2015</v>
      </c>
      <c r="B698" t="inlineStr">
        <is>
          <t>Q4</t>
        </is>
      </c>
      <c r="C698" t="inlineStr">
        <is>
          <t>Asia</t>
        </is>
      </c>
      <c r="D698" t="inlineStr">
        <is>
          <t>Semi</t>
        </is>
      </c>
      <c r="E698" t="n">
        <v>2847</v>
      </c>
      <c r="F698" t="n">
        <v>42538.53</v>
      </c>
      <c r="G698" t="n">
        <v>46</v>
      </c>
      <c r="H698" t="inlineStr">
        <is>
          <t>Performance</t>
        </is>
      </c>
      <c r="I698" t="inlineStr">
        <is>
          <t>RWD</t>
        </is>
      </c>
      <c r="J698" t="inlineStr">
        <is>
          <t>Silver</t>
        </is>
      </c>
      <c r="K698" t="n">
        <v>426</v>
      </c>
      <c r="L698" t="n">
        <v>55</v>
      </c>
      <c r="M698" t="n">
        <v>17.53</v>
      </c>
      <c r="N698" t="n">
        <v>2123.53</v>
      </c>
      <c r="O698" t="n">
        <v>4.12</v>
      </c>
      <c r="P698" t="n">
        <v>6</v>
      </c>
      <c r="Q698" t="n">
        <v>1</v>
      </c>
      <c r="R698" t="n">
        <v>2022.6</v>
      </c>
      <c r="S698" t="b">
        <v>1</v>
      </c>
      <c r="T698" t="n">
        <v>3171997</v>
      </c>
      <c r="U698" t="n">
        <v>6</v>
      </c>
      <c r="V698" t="n">
        <v>0.0839</v>
      </c>
      <c r="W698" t="n">
        <v>2.07</v>
      </c>
      <c r="X698" t="n">
        <v>71.26000000000001</v>
      </c>
      <c r="Y698">
        <f>VLOOKUP(D698,$AB$2:$AC$7,2,FALSE)</f>
        <v/>
      </c>
      <c r="Z698">
        <f>IF(A698&lt;Y698,"Yes","No")</f>
        <v/>
      </c>
    </row>
    <row r="699">
      <c r="A699" t="n">
        <v>2012</v>
      </c>
      <c r="B699" t="inlineStr">
        <is>
          <t>Q1</t>
        </is>
      </c>
      <c r="C699" t="inlineStr">
        <is>
          <t>Australia</t>
        </is>
      </c>
      <c r="D699" t="inlineStr">
        <is>
          <t>Model S</t>
        </is>
      </c>
      <c r="E699" t="n">
        <v>3381</v>
      </c>
      <c r="F699" t="n">
        <v>52672.9</v>
      </c>
      <c r="G699" t="n">
        <v>26</v>
      </c>
      <c r="H699" t="inlineStr">
        <is>
          <t>Performance</t>
        </is>
      </c>
      <c r="I699" t="inlineStr">
        <is>
          <t>RWD</t>
        </is>
      </c>
      <c r="J699" t="inlineStr">
        <is>
          <t>Silver</t>
        </is>
      </c>
      <c r="K699" t="n">
        <v>531</v>
      </c>
      <c r="L699" t="n">
        <v>80</v>
      </c>
      <c r="M699" t="n">
        <v>24.98</v>
      </c>
      <c r="N699" t="n">
        <v>6913.24</v>
      </c>
      <c r="O699" t="n">
        <v>4.67</v>
      </c>
      <c r="P699" t="n">
        <v>5</v>
      </c>
      <c r="Q699" t="n">
        <v>1</v>
      </c>
      <c r="R699" t="n">
        <v>2020.1</v>
      </c>
      <c r="S699" t="b">
        <v>0</v>
      </c>
      <c r="T699" t="n">
        <v>494152</v>
      </c>
      <c r="U699" t="n">
        <v>3</v>
      </c>
      <c r="V699" t="n">
        <v>0.08790000000000001</v>
      </c>
      <c r="W699" t="n">
        <v>1.01</v>
      </c>
      <c r="X699" t="n">
        <v>75.86</v>
      </c>
      <c r="Y699">
        <f>VLOOKUP(D699,$AB$2:$AC$7,2,FALSE)</f>
        <v/>
      </c>
      <c r="Z699">
        <f>IF(A699&lt;Y699,"Yes","No")</f>
        <v/>
      </c>
    </row>
    <row r="700">
      <c r="A700" t="n">
        <v>2020</v>
      </c>
      <c r="B700" t="inlineStr">
        <is>
          <t>Q1</t>
        </is>
      </c>
      <c r="C700" t="inlineStr">
        <is>
          <t>Asia</t>
        </is>
      </c>
      <c r="D700" t="inlineStr">
        <is>
          <t>Semi</t>
        </is>
      </c>
      <c r="E700" t="n">
        <v>2168</v>
      </c>
      <c r="F700" t="n">
        <v>116782.92</v>
      </c>
      <c r="G700" t="n">
        <v>41</v>
      </c>
      <c r="H700" t="inlineStr">
        <is>
          <t>Standard</t>
        </is>
      </c>
      <c r="I700" t="inlineStr">
        <is>
          <t>RWD</t>
        </is>
      </c>
      <c r="J700" t="inlineStr">
        <is>
          <t>Blue</t>
        </is>
      </c>
      <c r="K700" t="n">
        <v>477</v>
      </c>
      <c r="L700" t="n">
        <v>63</v>
      </c>
      <c r="M700" t="n">
        <v>15.33</v>
      </c>
      <c r="N700" t="n">
        <v>4198.03</v>
      </c>
      <c r="O700" t="n">
        <v>3.78</v>
      </c>
      <c r="P700" t="n">
        <v>4</v>
      </c>
      <c r="Q700" t="n">
        <v>3</v>
      </c>
      <c r="R700" t="n">
        <v>2022.4</v>
      </c>
      <c r="S700" t="b">
        <v>1</v>
      </c>
      <c r="T700" t="n">
        <v>649710</v>
      </c>
      <c r="U700" t="n">
        <v>4</v>
      </c>
      <c r="V700" t="n">
        <v>0.0727</v>
      </c>
      <c r="W700" t="n">
        <v>1.74</v>
      </c>
      <c r="X700" t="n">
        <v>68.84999999999999</v>
      </c>
      <c r="Y700">
        <f>VLOOKUP(D700,$AB$2:$AC$7,2,FALSE)</f>
        <v/>
      </c>
      <c r="Z700">
        <f>IF(A700&lt;Y700,"Yes","No")</f>
        <v/>
      </c>
    </row>
    <row r="701">
      <c r="A701" t="n">
        <v>2014</v>
      </c>
      <c r="B701" t="inlineStr">
        <is>
          <t>Q3</t>
        </is>
      </c>
      <c r="C701" t="inlineStr">
        <is>
          <t>Australia</t>
        </is>
      </c>
      <c r="D701" t="inlineStr">
        <is>
          <t>Model X</t>
        </is>
      </c>
      <c r="E701" t="n">
        <v>1349</v>
      </c>
      <c r="F701" t="n">
        <v>36760.3</v>
      </c>
      <c r="G701" t="n">
        <v>56</v>
      </c>
      <c r="H701" t="inlineStr">
        <is>
          <t>Long Range</t>
        </is>
      </c>
      <c r="I701" t="inlineStr">
        <is>
          <t>AWD</t>
        </is>
      </c>
      <c r="J701" t="inlineStr">
        <is>
          <t>White</t>
        </is>
      </c>
      <c r="K701" t="n">
        <v>620</v>
      </c>
      <c r="L701" t="n">
        <v>57</v>
      </c>
      <c r="M701" t="n">
        <v>15.57</v>
      </c>
      <c r="N701" t="n">
        <v>1509.76</v>
      </c>
      <c r="O701" t="n">
        <v>4.67</v>
      </c>
      <c r="P701" t="n">
        <v>4</v>
      </c>
      <c r="Q701" t="n">
        <v>3</v>
      </c>
      <c r="R701" t="n">
        <v>2020.7</v>
      </c>
      <c r="S701" t="b">
        <v>0</v>
      </c>
      <c r="T701" t="n">
        <v>3370557</v>
      </c>
      <c r="U701" t="n">
        <v>4</v>
      </c>
      <c r="V701" t="n">
        <v>0.0419</v>
      </c>
      <c r="W701" t="n">
        <v>2</v>
      </c>
      <c r="X701" t="n">
        <v>82.73</v>
      </c>
      <c r="Y701">
        <f>VLOOKUP(D701,$AB$2:$AC$7,2,FALSE)</f>
        <v/>
      </c>
      <c r="Z701">
        <f>IF(A701&lt;Y701,"Yes","No")</f>
        <v/>
      </c>
    </row>
    <row r="702">
      <c r="A702" t="n">
        <v>2012</v>
      </c>
      <c r="B702" t="inlineStr">
        <is>
          <t>Q2</t>
        </is>
      </c>
      <c r="C702" t="inlineStr">
        <is>
          <t>Australia</t>
        </is>
      </c>
      <c r="D702" t="inlineStr">
        <is>
          <t>Model 3</t>
        </is>
      </c>
      <c r="E702" t="n">
        <v>3073</v>
      </c>
      <c r="F702" t="n">
        <v>63894.11</v>
      </c>
      <c r="G702" t="n">
        <v>43</v>
      </c>
      <c r="H702" t="inlineStr">
        <is>
          <t>Standard</t>
        </is>
      </c>
      <c r="I702" t="inlineStr">
        <is>
          <t>RWD</t>
        </is>
      </c>
      <c r="J702" t="inlineStr">
        <is>
          <t>Black</t>
        </is>
      </c>
      <c r="K702" t="n">
        <v>361</v>
      </c>
      <c r="L702" t="n">
        <v>72</v>
      </c>
      <c r="M702" t="n">
        <v>14.02</v>
      </c>
      <c r="N702" t="n">
        <v>3855.21</v>
      </c>
      <c r="O702" t="n">
        <v>4.12</v>
      </c>
      <c r="P702" t="n">
        <v>6</v>
      </c>
      <c r="Q702" t="n">
        <v>2</v>
      </c>
      <c r="R702" t="n">
        <v>2024.1</v>
      </c>
      <c r="S702" t="b">
        <v>1</v>
      </c>
      <c r="T702" t="n">
        <v>1994704</v>
      </c>
      <c r="U702" t="n">
        <v>3</v>
      </c>
      <c r="V702" t="n">
        <v>0.0432</v>
      </c>
      <c r="W702" t="n">
        <v>1.61</v>
      </c>
      <c r="X702" t="n">
        <v>75.03</v>
      </c>
      <c r="Y702">
        <f>VLOOKUP(D702,$AB$2:$AC$7,2,FALSE)</f>
        <v/>
      </c>
      <c r="Z702">
        <f>IF(A702&lt;Y702,"Yes","No")</f>
        <v/>
      </c>
    </row>
    <row r="703">
      <c r="A703" t="n">
        <v>2014</v>
      </c>
      <c r="B703" t="inlineStr">
        <is>
          <t>Q3</t>
        </is>
      </c>
      <c r="C703" t="inlineStr">
        <is>
          <t>Asia</t>
        </is>
      </c>
      <c r="D703" t="inlineStr">
        <is>
          <t>Semi</t>
        </is>
      </c>
      <c r="E703" t="n">
        <v>1149</v>
      </c>
      <c r="F703" t="n">
        <v>74583.03</v>
      </c>
      <c r="G703" t="n">
        <v>53</v>
      </c>
      <c r="H703" t="inlineStr">
        <is>
          <t>Performance</t>
        </is>
      </c>
      <c r="I703" t="inlineStr">
        <is>
          <t>AWD</t>
        </is>
      </c>
      <c r="J703" t="inlineStr">
        <is>
          <t>Green</t>
        </is>
      </c>
      <c r="K703" t="n">
        <v>524</v>
      </c>
      <c r="L703" t="n">
        <v>32</v>
      </c>
      <c r="M703" t="n">
        <v>16.48</v>
      </c>
      <c r="N703" t="n">
        <v>2043.11</v>
      </c>
      <c r="O703" t="n">
        <v>4.99</v>
      </c>
      <c r="P703" t="n">
        <v>6</v>
      </c>
      <c r="Q703" t="n">
        <v>1</v>
      </c>
      <c r="R703" t="n">
        <v>2021.4</v>
      </c>
      <c r="S703" t="b">
        <v>1</v>
      </c>
      <c r="T703" t="n">
        <v>3078488</v>
      </c>
      <c r="U703" t="n">
        <v>5</v>
      </c>
      <c r="V703" t="n">
        <v>0.08459999999999999</v>
      </c>
      <c r="W703" t="n">
        <v>1.02</v>
      </c>
      <c r="X703" t="n">
        <v>69.45</v>
      </c>
      <c r="Y703">
        <f>VLOOKUP(D703,$AB$2:$AC$7,2,FALSE)</f>
        <v/>
      </c>
      <c r="Z703">
        <f>IF(A703&lt;Y703,"Yes","No")</f>
        <v/>
      </c>
    </row>
    <row r="704">
      <c r="A704" t="n">
        <v>2023</v>
      </c>
      <c r="B704" t="inlineStr">
        <is>
          <t>Q1</t>
        </is>
      </c>
      <c r="C704" t="inlineStr">
        <is>
          <t>Australia</t>
        </is>
      </c>
      <c r="D704" t="inlineStr">
        <is>
          <t>Semi</t>
        </is>
      </c>
      <c r="E704" t="n">
        <v>1867</v>
      </c>
      <c r="F704" t="n">
        <v>103569.92</v>
      </c>
      <c r="G704" t="n">
        <v>51</v>
      </c>
      <c r="H704" t="inlineStr">
        <is>
          <t>Standard</t>
        </is>
      </c>
      <c r="I704" t="inlineStr">
        <is>
          <t>AWD</t>
        </is>
      </c>
      <c r="J704" t="inlineStr">
        <is>
          <t>Red</t>
        </is>
      </c>
      <c r="K704" t="n">
        <v>657</v>
      </c>
      <c r="L704" t="n">
        <v>59</v>
      </c>
      <c r="M704" t="n">
        <v>19.31</v>
      </c>
      <c r="N704" t="n">
        <v>3626.65</v>
      </c>
      <c r="O704" t="n">
        <v>4.68</v>
      </c>
      <c r="P704" t="n">
        <v>4</v>
      </c>
      <c r="Q704" t="n">
        <v>1</v>
      </c>
      <c r="R704" t="n">
        <v>2021.1</v>
      </c>
      <c r="S704" t="b">
        <v>1</v>
      </c>
      <c r="T704" t="n">
        <v>1760861</v>
      </c>
      <c r="U704" t="n">
        <v>9</v>
      </c>
      <c r="V704" t="n">
        <v>0.0295</v>
      </c>
      <c r="W704" t="n">
        <v>1.31</v>
      </c>
      <c r="X704" t="n">
        <v>69.69</v>
      </c>
      <c r="Y704">
        <f>VLOOKUP(D704,$AB$2:$AC$7,2,FALSE)</f>
        <v/>
      </c>
      <c r="Z704">
        <f>IF(A704&lt;Y704,"Yes","No")</f>
        <v/>
      </c>
    </row>
    <row r="705">
      <c r="A705" t="n">
        <v>2015</v>
      </c>
      <c r="B705" t="inlineStr">
        <is>
          <t>Q1</t>
        </is>
      </c>
      <c r="C705" t="inlineStr">
        <is>
          <t>Australia</t>
        </is>
      </c>
      <c r="D705" t="inlineStr">
        <is>
          <t>Model S</t>
        </is>
      </c>
      <c r="E705" t="n">
        <v>679</v>
      </c>
      <c r="F705" t="n">
        <v>116277.9</v>
      </c>
      <c r="G705" t="n">
        <v>58</v>
      </c>
      <c r="H705" t="inlineStr">
        <is>
          <t>Performance</t>
        </is>
      </c>
      <c r="I705" t="inlineStr">
        <is>
          <t>RWD</t>
        </is>
      </c>
      <c r="J705" t="inlineStr">
        <is>
          <t>White</t>
        </is>
      </c>
      <c r="K705" t="n">
        <v>549</v>
      </c>
      <c r="L705" t="n">
        <v>36</v>
      </c>
      <c r="M705" t="n">
        <v>18.54</v>
      </c>
      <c r="N705" t="n">
        <v>1019.43</v>
      </c>
      <c r="O705" t="n">
        <v>4.11</v>
      </c>
      <c r="P705" t="n">
        <v>4</v>
      </c>
      <c r="Q705" t="n">
        <v>0</v>
      </c>
      <c r="R705" t="n">
        <v>2021.4</v>
      </c>
      <c r="S705" t="b">
        <v>1</v>
      </c>
      <c r="T705" t="n">
        <v>346610</v>
      </c>
      <c r="U705" t="n">
        <v>11</v>
      </c>
      <c r="V705" t="n">
        <v>0.0196</v>
      </c>
      <c r="W705" t="n">
        <v>2.06</v>
      </c>
      <c r="X705" t="n">
        <v>63.36</v>
      </c>
      <c r="Y705">
        <f>VLOOKUP(D705,$AB$2:$AC$7,2,FALSE)</f>
        <v/>
      </c>
      <c r="Z705">
        <f>IF(A705&lt;Y705,"Yes","No")</f>
        <v/>
      </c>
    </row>
    <row r="706">
      <c r="A706" t="n">
        <v>2014</v>
      </c>
      <c r="B706" t="inlineStr">
        <is>
          <t>Q1</t>
        </is>
      </c>
      <c r="C706" t="inlineStr">
        <is>
          <t>Europe</t>
        </is>
      </c>
      <c r="D706" t="inlineStr">
        <is>
          <t>Semi</t>
        </is>
      </c>
      <c r="E706" t="n">
        <v>3140</v>
      </c>
      <c r="F706" t="n">
        <v>63377.42</v>
      </c>
      <c r="G706" t="n">
        <v>40</v>
      </c>
      <c r="H706" t="inlineStr">
        <is>
          <t>Performance</t>
        </is>
      </c>
      <c r="I706" t="inlineStr">
        <is>
          <t>RWD</t>
        </is>
      </c>
      <c r="J706" t="inlineStr">
        <is>
          <t>White</t>
        </is>
      </c>
      <c r="K706" t="n">
        <v>495</v>
      </c>
      <c r="L706" t="n">
        <v>82</v>
      </c>
      <c r="M706" t="n">
        <v>24.75</v>
      </c>
      <c r="N706" t="n">
        <v>2321.72</v>
      </c>
      <c r="O706" t="n">
        <v>4.59</v>
      </c>
      <c r="P706" t="n">
        <v>8</v>
      </c>
      <c r="Q706" t="n">
        <v>0</v>
      </c>
      <c r="R706" t="n">
        <v>2024.11</v>
      </c>
      <c r="S706" t="b">
        <v>1</v>
      </c>
      <c r="T706" t="n">
        <v>3386332</v>
      </c>
      <c r="U706" t="n">
        <v>7</v>
      </c>
      <c r="V706" t="n">
        <v>0.0649</v>
      </c>
      <c r="W706" t="n">
        <v>1.19</v>
      </c>
      <c r="X706" t="n">
        <v>86.58</v>
      </c>
      <c r="Y706">
        <f>VLOOKUP(D706,$AB$2:$AC$7,2,FALSE)</f>
        <v/>
      </c>
      <c r="Z706">
        <f>IF(A706&lt;Y706,"Yes","No")</f>
        <v/>
      </c>
    </row>
    <row r="707">
      <c r="A707" t="n">
        <v>2013</v>
      </c>
      <c r="B707" t="inlineStr">
        <is>
          <t>Q3</t>
        </is>
      </c>
      <c r="C707" t="inlineStr">
        <is>
          <t>South America</t>
        </is>
      </c>
      <c r="D707" t="inlineStr">
        <is>
          <t>Model S</t>
        </is>
      </c>
      <c r="E707" t="n">
        <v>1059</v>
      </c>
      <c r="F707" t="n">
        <v>109021.54</v>
      </c>
      <c r="G707" t="n">
        <v>40</v>
      </c>
      <c r="H707" t="inlineStr">
        <is>
          <t>Performance</t>
        </is>
      </c>
      <c r="I707" t="inlineStr">
        <is>
          <t>RWD</t>
        </is>
      </c>
      <c r="J707" t="inlineStr">
        <is>
          <t>Red</t>
        </is>
      </c>
      <c r="K707" t="n">
        <v>626</v>
      </c>
      <c r="L707" t="n">
        <v>48</v>
      </c>
      <c r="M707" t="n">
        <v>15.71</v>
      </c>
      <c r="N707" t="n">
        <v>1370.35</v>
      </c>
      <c r="O707" t="n">
        <v>4.22</v>
      </c>
      <c r="P707" t="n">
        <v>4</v>
      </c>
      <c r="Q707" t="n">
        <v>1</v>
      </c>
      <c r="R707" t="n">
        <v>2023.4</v>
      </c>
      <c r="S707" t="b">
        <v>1</v>
      </c>
      <c r="T707" t="n">
        <v>1422699</v>
      </c>
      <c r="U707" t="n">
        <v>5</v>
      </c>
      <c r="V707" t="n">
        <v>0.0646</v>
      </c>
      <c r="W707" t="n">
        <v>1.51</v>
      </c>
      <c r="X707" t="n">
        <v>62.21</v>
      </c>
      <c r="Y707">
        <f>VLOOKUP(D707,$AB$2:$AC$7,2,FALSE)</f>
        <v/>
      </c>
      <c r="Z707">
        <f>IF(A707&lt;Y707,"Yes","No")</f>
        <v/>
      </c>
    </row>
    <row r="708">
      <c r="A708" t="n">
        <v>2019</v>
      </c>
      <c r="B708" t="inlineStr">
        <is>
          <t>Q3</t>
        </is>
      </c>
      <c r="C708" t="inlineStr">
        <is>
          <t>Asia</t>
        </is>
      </c>
      <c r="D708" t="inlineStr">
        <is>
          <t>Model X</t>
        </is>
      </c>
      <c r="E708" t="n">
        <v>3476</v>
      </c>
      <c r="F708" t="n">
        <v>41523.29</v>
      </c>
      <c r="G708" t="n">
        <v>16</v>
      </c>
      <c r="H708" t="inlineStr">
        <is>
          <t>Standard</t>
        </is>
      </c>
      <c r="I708" t="inlineStr">
        <is>
          <t>RWD</t>
        </is>
      </c>
      <c r="J708" t="inlineStr">
        <is>
          <t>Black</t>
        </is>
      </c>
      <c r="K708" t="n">
        <v>616</v>
      </c>
      <c r="L708" t="n">
        <v>64</v>
      </c>
      <c r="M708" t="n">
        <v>17.89</v>
      </c>
      <c r="N708" t="n">
        <v>6932.15</v>
      </c>
      <c r="O708" t="n">
        <v>4.74</v>
      </c>
      <c r="P708" t="n">
        <v>4</v>
      </c>
      <c r="Q708" t="n">
        <v>2</v>
      </c>
      <c r="R708" t="n">
        <v>2021.8</v>
      </c>
      <c r="S708" t="b">
        <v>0</v>
      </c>
      <c r="T708" t="n">
        <v>3695940</v>
      </c>
      <c r="U708" t="n">
        <v>8</v>
      </c>
      <c r="V708" t="n">
        <v>0.097</v>
      </c>
      <c r="W708" t="n">
        <v>1.99</v>
      </c>
      <c r="X708" t="n">
        <v>75.58</v>
      </c>
      <c r="Y708">
        <f>VLOOKUP(D708,$AB$2:$AC$7,2,FALSE)</f>
        <v/>
      </c>
      <c r="Z708">
        <f>IF(A708&lt;Y708,"Yes","No")</f>
        <v/>
      </c>
    </row>
    <row r="709">
      <c r="A709" t="n">
        <v>2013</v>
      </c>
      <c r="B709" t="inlineStr">
        <is>
          <t>Q1</t>
        </is>
      </c>
      <c r="C709" t="inlineStr">
        <is>
          <t>Europe</t>
        </is>
      </c>
      <c r="D709" t="inlineStr">
        <is>
          <t>Model Y</t>
        </is>
      </c>
      <c r="E709" t="n">
        <v>197</v>
      </c>
      <c r="F709" t="n">
        <v>114801.84</v>
      </c>
      <c r="G709" t="n">
        <v>60</v>
      </c>
      <c r="H709" t="inlineStr">
        <is>
          <t>Standard</t>
        </is>
      </c>
      <c r="I709" t="inlineStr">
        <is>
          <t>AWD</t>
        </is>
      </c>
      <c r="J709" t="inlineStr">
        <is>
          <t>Silver</t>
        </is>
      </c>
      <c r="K709" t="n">
        <v>454</v>
      </c>
      <c r="L709" t="n">
        <v>53</v>
      </c>
      <c r="M709" t="n">
        <v>17.69</v>
      </c>
      <c r="N709" t="n">
        <v>447.01</v>
      </c>
      <c r="O709" t="n">
        <v>3.63</v>
      </c>
      <c r="P709" t="n">
        <v>4</v>
      </c>
      <c r="Q709" t="n">
        <v>3</v>
      </c>
      <c r="R709" t="n">
        <v>2021.11</v>
      </c>
      <c r="S709" t="b">
        <v>0</v>
      </c>
      <c r="T709" t="n">
        <v>709679</v>
      </c>
      <c r="U709" t="n">
        <v>7</v>
      </c>
      <c r="V709" t="n">
        <v>0.0946</v>
      </c>
      <c r="W709" t="n">
        <v>0.93</v>
      </c>
      <c r="X709" t="n">
        <v>88.58</v>
      </c>
      <c r="Y709">
        <f>VLOOKUP(D709,$AB$2:$AC$7,2,FALSE)</f>
        <v/>
      </c>
      <c r="Z709">
        <f>IF(A709&lt;Y709,"Yes","No")</f>
        <v/>
      </c>
    </row>
    <row r="710">
      <c r="A710" t="n">
        <v>2024</v>
      </c>
      <c r="B710" t="inlineStr">
        <is>
          <t>Q2</t>
        </is>
      </c>
      <c r="C710" t="inlineStr">
        <is>
          <t>Asia</t>
        </is>
      </c>
      <c r="D710" t="inlineStr">
        <is>
          <t>Model X</t>
        </is>
      </c>
      <c r="E710" t="n">
        <v>2964</v>
      </c>
      <c r="F710" t="n">
        <v>39424.43</v>
      </c>
      <c r="G710" t="n">
        <v>27</v>
      </c>
      <c r="H710" t="inlineStr">
        <is>
          <t>Performance</t>
        </is>
      </c>
      <c r="I710" t="inlineStr">
        <is>
          <t>AWD</t>
        </is>
      </c>
      <c r="J710" t="inlineStr">
        <is>
          <t>Blue</t>
        </is>
      </c>
      <c r="K710" t="n">
        <v>642</v>
      </c>
      <c r="L710" t="n">
        <v>36</v>
      </c>
      <c r="M710" t="n">
        <v>18.82</v>
      </c>
      <c r="N710" t="n">
        <v>6505.58</v>
      </c>
      <c r="O710" t="n">
        <v>4.14</v>
      </c>
      <c r="P710" t="n">
        <v>5</v>
      </c>
      <c r="Q710" t="n">
        <v>1</v>
      </c>
      <c r="R710" t="n">
        <v>2024.5</v>
      </c>
      <c r="S710" t="b">
        <v>0</v>
      </c>
      <c r="T710" t="n">
        <v>438411</v>
      </c>
      <c r="U710" t="n">
        <v>3</v>
      </c>
      <c r="V710" t="n">
        <v>0.0318</v>
      </c>
      <c r="W710" t="n">
        <v>2.29</v>
      </c>
      <c r="X710" t="n">
        <v>60.15</v>
      </c>
      <c r="Y710">
        <f>VLOOKUP(D710,$AB$2:$AC$7,2,FALSE)</f>
        <v/>
      </c>
      <c r="Z710">
        <f>IF(A710&lt;Y710,"Yes","No")</f>
        <v/>
      </c>
    </row>
    <row r="711">
      <c r="A711" t="n">
        <v>2020</v>
      </c>
      <c r="B711" t="inlineStr">
        <is>
          <t>Q4</t>
        </is>
      </c>
      <c r="C711" t="inlineStr">
        <is>
          <t>Europe</t>
        </is>
      </c>
      <c r="D711" t="inlineStr">
        <is>
          <t>Model X</t>
        </is>
      </c>
      <c r="E711" t="n">
        <v>2494</v>
      </c>
      <c r="F711" t="n">
        <v>55181.18</v>
      </c>
      <c r="G711" t="n">
        <v>55</v>
      </c>
      <c r="H711" t="inlineStr">
        <is>
          <t>Performance</t>
        </is>
      </c>
      <c r="I711" t="inlineStr">
        <is>
          <t>AWD</t>
        </is>
      </c>
      <c r="J711" t="inlineStr">
        <is>
          <t>Blue</t>
        </is>
      </c>
      <c r="K711" t="n">
        <v>373</v>
      </c>
      <c r="L711" t="n">
        <v>43</v>
      </c>
      <c r="M711" t="n">
        <v>15.8</v>
      </c>
      <c r="N711" t="n">
        <v>3114.02</v>
      </c>
      <c r="O711" t="n">
        <v>4.59</v>
      </c>
      <c r="P711" t="n">
        <v>4</v>
      </c>
      <c r="Q711" t="n">
        <v>0</v>
      </c>
      <c r="R711" t="n">
        <v>2022.8</v>
      </c>
      <c r="S711" t="b">
        <v>1</v>
      </c>
      <c r="T711" t="n">
        <v>498385</v>
      </c>
      <c r="U711" t="n">
        <v>10</v>
      </c>
      <c r="V711" t="n">
        <v>0.0431</v>
      </c>
      <c r="W711" t="n">
        <v>1.63</v>
      </c>
      <c r="X711" t="n">
        <v>81.23</v>
      </c>
      <c r="Y711">
        <f>VLOOKUP(D711,$AB$2:$AC$7,2,FALSE)</f>
        <v/>
      </c>
      <c r="Z711">
        <f>IF(A711&lt;Y711,"Yes","No")</f>
        <v/>
      </c>
    </row>
    <row r="712">
      <c r="A712" t="n">
        <v>2024</v>
      </c>
      <c r="B712" t="inlineStr">
        <is>
          <t>Q3</t>
        </is>
      </c>
      <c r="C712" t="inlineStr">
        <is>
          <t>Asia</t>
        </is>
      </c>
      <c r="D712" t="inlineStr">
        <is>
          <t>Cybertruck</t>
        </is>
      </c>
      <c r="E712" t="n">
        <v>1539</v>
      </c>
      <c r="F712" t="n">
        <v>114471.74</v>
      </c>
      <c r="G712" t="n">
        <v>45</v>
      </c>
      <c r="H712" t="inlineStr">
        <is>
          <t>Long Range</t>
        </is>
      </c>
      <c r="I712" t="inlineStr">
        <is>
          <t>RWD</t>
        </is>
      </c>
      <c r="J712" t="inlineStr">
        <is>
          <t>Silver</t>
        </is>
      </c>
      <c r="K712" t="n">
        <v>434</v>
      </c>
      <c r="L712" t="n">
        <v>55</v>
      </c>
      <c r="M712" t="n">
        <v>22.07</v>
      </c>
      <c r="N712" t="n">
        <v>2943.07</v>
      </c>
      <c r="O712" t="n">
        <v>4.44</v>
      </c>
      <c r="P712" t="n">
        <v>8</v>
      </c>
      <c r="Q712" t="n">
        <v>3</v>
      </c>
      <c r="R712" t="n">
        <v>2022.9</v>
      </c>
      <c r="S712" t="b">
        <v>0</v>
      </c>
      <c r="T712" t="n">
        <v>852077</v>
      </c>
      <c r="U712" t="n">
        <v>10</v>
      </c>
      <c r="V712" t="n">
        <v>0.0366</v>
      </c>
      <c r="W712" t="n">
        <v>1.57</v>
      </c>
      <c r="X712" t="n">
        <v>70.98999999999999</v>
      </c>
      <c r="Y712">
        <f>VLOOKUP(D712,$AB$2:$AC$7,2,FALSE)</f>
        <v/>
      </c>
      <c r="Z712">
        <f>IF(A712&lt;Y712,"Yes","No")</f>
        <v/>
      </c>
    </row>
    <row r="713">
      <c r="A713" t="n">
        <v>2018</v>
      </c>
      <c r="B713" t="inlineStr">
        <is>
          <t>Q2</t>
        </is>
      </c>
      <c r="C713" t="inlineStr">
        <is>
          <t>Europe</t>
        </is>
      </c>
      <c r="D713" t="inlineStr">
        <is>
          <t>Model X</t>
        </is>
      </c>
      <c r="E713" t="n">
        <v>4681</v>
      </c>
      <c r="F713" t="n">
        <v>43750.24</v>
      </c>
      <c r="G713" t="n">
        <v>1</v>
      </c>
      <c r="H713" t="inlineStr">
        <is>
          <t>Performance</t>
        </is>
      </c>
      <c r="I713" t="inlineStr">
        <is>
          <t>RWD</t>
        </is>
      </c>
      <c r="J713" t="inlineStr">
        <is>
          <t>Silver</t>
        </is>
      </c>
      <c r="K713" t="n">
        <v>666</v>
      </c>
      <c r="L713" t="n">
        <v>80</v>
      </c>
      <c r="M713" t="n">
        <v>24.7</v>
      </c>
      <c r="N713" t="n">
        <v>4160.95</v>
      </c>
      <c r="O713" t="n">
        <v>3.76</v>
      </c>
      <c r="P713" t="n">
        <v>5</v>
      </c>
      <c r="Q713" t="n">
        <v>0</v>
      </c>
      <c r="R713" t="n">
        <v>2021.4</v>
      </c>
      <c r="S713" t="b">
        <v>0</v>
      </c>
      <c r="T713" t="n">
        <v>1285245</v>
      </c>
      <c r="U713" t="n">
        <v>8</v>
      </c>
      <c r="V713" t="n">
        <v>0.0464</v>
      </c>
      <c r="W713" t="n">
        <v>1.62</v>
      </c>
      <c r="X713" t="n">
        <v>88.13</v>
      </c>
      <c r="Y713">
        <f>VLOOKUP(D713,$AB$2:$AC$7,2,FALSE)</f>
        <v/>
      </c>
      <c r="Z713">
        <f>IF(A713&lt;Y713,"Yes","No")</f>
        <v/>
      </c>
    </row>
    <row r="714">
      <c r="A714" t="n">
        <v>2018</v>
      </c>
      <c r="B714" t="inlineStr">
        <is>
          <t>Q1</t>
        </is>
      </c>
      <c r="C714" t="inlineStr">
        <is>
          <t>South America</t>
        </is>
      </c>
      <c r="D714" t="inlineStr">
        <is>
          <t>Model Y</t>
        </is>
      </c>
      <c r="E714" t="n">
        <v>1319</v>
      </c>
      <c r="F714" t="n">
        <v>68829.47</v>
      </c>
      <c r="G714" t="n">
        <v>7</v>
      </c>
      <c r="H714" t="inlineStr">
        <is>
          <t>Long Range</t>
        </is>
      </c>
      <c r="I714" t="inlineStr">
        <is>
          <t>RWD</t>
        </is>
      </c>
      <c r="J714" t="inlineStr">
        <is>
          <t>Red</t>
        </is>
      </c>
      <c r="K714" t="n">
        <v>678</v>
      </c>
      <c r="L714" t="n">
        <v>58</v>
      </c>
      <c r="M714" t="n">
        <v>15.09</v>
      </c>
      <c r="N714" t="n">
        <v>1229.06</v>
      </c>
      <c r="O714" t="n">
        <v>4.34</v>
      </c>
      <c r="P714" t="n">
        <v>5</v>
      </c>
      <c r="Q714" t="n">
        <v>1</v>
      </c>
      <c r="R714" t="n">
        <v>2022.11</v>
      </c>
      <c r="S714" t="b">
        <v>0</v>
      </c>
      <c r="T714" t="n">
        <v>2146499</v>
      </c>
      <c r="U714" t="n">
        <v>10</v>
      </c>
      <c r="V714" t="n">
        <v>0.0225</v>
      </c>
      <c r="W714" t="n">
        <v>2.29</v>
      </c>
      <c r="X714" t="n">
        <v>82.70999999999999</v>
      </c>
      <c r="Y714">
        <f>VLOOKUP(D714,$AB$2:$AC$7,2,FALSE)</f>
        <v/>
      </c>
      <c r="Z714">
        <f>IF(A714&lt;Y714,"Yes","No")</f>
        <v/>
      </c>
    </row>
    <row r="715">
      <c r="A715" t="n">
        <v>2016</v>
      </c>
      <c r="B715" t="inlineStr">
        <is>
          <t>Q1</t>
        </is>
      </c>
      <c r="C715" t="inlineStr">
        <is>
          <t>Asia</t>
        </is>
      </c>
      <c r="D715" t="inlineStr">
        <is>
          <t>Model Y</t>
        </is>
      </c>
      <c r="E715" t="n">
        <v>1015</v>
      </c>
      <c r="F715" t="n">
        <v>118435.83</v>
      </c>
      <c r="G715" t="n">
        <v>57</v>
      </c>
      <c r="H715" t="inlineStr">
        <is>
          <t>Performance</t>
        </is>
      </c>
      <c r="I715" t="inlineStr">
        <is>
          <t>RWD</t>
        </is>
      </c>
      <c r="J715" t="inlineStr">
        <is>
          <t>White</t>
        </is>
      </c>
      <c r="K715" t="n">
        <v>365</v>
      </c>
      <c r="L715" t="n">
        <v>65</v>
      </c>
      <c r="M715" t="n">
        <v>22.66</v>
      </c>
      <c r="N715" t="n">
        <v>2099.17</v>
      </c>
      <c r="O715" t="n">
        <v>4.11</v>
      </c>
      <c r="P715" t="n">
        <v>6</v>
      </c>
      <c r="Q715" t="n">
        <v>1</v>
      </c>
      <c r="R715" t="n">
        <v>2023.11</v>
      </c>
      <c r="S715" t="b">
        <v>0</v>
      </c>
      <c r="T715" t="n">
        <v>884312</v>
      </c>
      <c r="U715" t="n">
        <v>10</v>
      </c>
      <c r="V715" t="n">
        <v>0.0444</v>
      </c>
      <c r="W715" t="n">
        <v>1.26</v>
      </c>
      <c r="X715" t="n">
        <v>72.20999999999999</v>
      </c>
      <c r="Y715">
        <f>VLOOKUP(D715,$AB$2:$AC$7,2,FALSE)</f>
        <v/>
      </c>
      <c r="Z715">
        <f>IF(A715&lt;Y715,"Yes","No")</f>
        <v/>
      </c>
    </row>
    <row r="716">
      <c r="A716" t="n">
        <v>2013</v>
      </c>
      <c r="B716" t="inlineStr">
        <is>
          <t>Q2</t>
        </is>
      </c>
      <c r="C716" t="inlineStr">
        <is>
          <t>North America</t>
        </is>
      </c>
      <c r="D716" t="inlineStr">
        <is>
          <t>Cybertruck</t>
        </is>
      </c>
      <c r="E716" t="n">
        <v>3997</v>
      </c>
      <c r="F716" t="n">
        <v>103743.08</v>
      </c>
      <c r="G716" t="n">
        <v>6</v>
      </c>
      <c r="H716" t="inlineStr">
        <is>
          <t>Performance</t>
        </is>
      </c>
      <c r="I716" t="inlineStr">
        <is>
          <t>AWD</t>
        </is>
      </c>
      <c r="J716" t="inlineStr">
        <is>
          <t>Black</t>
        </is>
      </c>
      <c r="K716" t="n">
        <v>620</v>
      </c>
      <c r="L716" t="n">
        <v>50</v>
      </c>
      <c r="M716" t="n">
        <v>19.86</v>
      </c>
      <c r="N716" t="n">
        <v>9836.41</v>
      </c>
      <c r="O716" t="n">
        <v>4.63</v>
      </c>
      <c r="P716" t="n">
        <v>6</v>
      </c>
      <c r="Q716" t="n">
        <v>1</v>
      </c>
      <c r="R716" t="n">
        <v>2022.7</v>
      </c>
      <c r="S716" t="b">
        <v>1</v>
      </c>
      <c r="T716" t="n">
        <v>2118305</v>
      </c>
      <c r="U716" t="n">
        <v>11</v>
      </c>
      <c r="V716" t="n">
        <v>0.08169999999999999</v>
      </c>
      <c r="W716" t="n">
        <v>1.12</v>
      </c>
      <c r="X716" t="n">
        <v>75.27</v>
      </c>
      <c r="Y716">
        <f>VLOOKUP(D716,$AB$2:$AC$7,2,FALSE)</f>
        <v/>
      </c>
      <c r="Z716">
        <f>IF(A716&lt;Y716,"Yes","No")</f>
        <v/>
      </c>
    </row>
    <row r="717">
      <c r="A717" t="n">
        <v>2022</v>
      </c>
      <c r="B717" t="inlineStr">
        <is>
          <t>Q1</t>
        </is>
      </c>
      <c r="C717" t="inlineStr">
        <is>
          <t>North America</t>
        </is>
      </c>
      <c r="D717" t="inlineStr">
        <is>
          <t>Model 3</t>
        </is>
      </c>
      <c r="E717" t="n">
        <v>3969</v>
      </c>
      <c r="F717" t="n">
        <v>98948.28999999999</v>
      </c>
      <c r="G717" t="n">
        <v>0</v>
      </c>
      <c r="H717" t="inlineStr">
        <is>
          <t>Standard</t>
        </is>
      </c>
      <c r="I717" t="inlineStr">
        <is>
          <t>RWD</t>
        </is>
      </c>
      <c r="J717" t="inlineStr">
        <is>
          <t>Silver</t>
        </is>
      </c>
      <c r="K717" t="n">
        <v>550</v>
      </c>
      <c r="L717" t="n">
        <v>88</v>
      </c>
      <c r="M717" t="n">
        <v>23.62</v>
      </c>
      <c r="N717" t="n">
        <v>2481.46</v>
      </c>
      <c r="O717" t="n">
        <v>3.58</v>
      </c>
      <c r="P717" t="n">
        <v>8</v>
      </c>
      <c r="Q717" t="n">
        <v>1</v>
      </c>
      <c r="R717" t="n">
        <v>2020.2</v>
      </c>
      <c r="S717" t="b">
        <v>1</v>
      </c>
      <c r="T717" t="n">
        <v>2908849</v>
      </c>
      <c r="U717" t="n">
        <v>2</v>
      </c>
      <c r="V717" t="n">
        <v>0.0143</v>
      </c>
      <c r="W717" t="n">
        <v>0.63</v>
      </c>
      <c r="X717" t="n">
        <v>75.83</v>
      </c>
      <c r="Y717">
        <f>VLOOKUP(D717,$AB$2:$AC$7,2,FALSE)</f>
        <v/>
      </c>
      <c r="Z717">
        <f>IF(A717&lt;Y717,"Yes","No")</f>
        <v/>
      </c>
    </row>
    <row r="718">
      <c r="A718" t="n">
        <v>2021</v>
      </c>
      <c r="B718" t="inlineStr">
        <is>
          <t>Q3</t>
        </is>
      </c>
      <c r="C718" t="inlineStr">
        <is>
          <t>North America</t>
        </is>
      </c>
      <c r="D718" t="inlineStr">
        <is>
          <t>Model X</t>
        </is>
      </c>
      <c r="E718" t="n">
        <v>649</v>
      </c>
      <c r="F718" t="n">
        <v>107916.13</v>
      </c>
      <c r="G718" t="n">
        <v>20</v>
      </c>
      <c r="H718" t="inlineStr">
        <is>
          <t>Standard</t>
        </is>
      </c>
      <c r="I718" t="inlineStr">
        <is>
          <t>RWD</t>
        </is>
      </c>
      <c r="J718" t="inlineStr">
        <is>
          <t>Blue</t>
        </is>
      </c>
      <c r="K718" t="n">
        <v>440</v>
      </c>
      <c r="L718" t="n">
        <v>85</v>
      </c>
      <c r="M718" t="n">
        <v>20.55</v>
      </c>
      <c r="N718" t="n">
        <v>578.78</v>
      </c>
      <c r="O718" t="n">
        <v>4.37</v>
      </c>
      <c r="P718" t="n">
        <v>8</v>
      </c>
      <c r="Q718" t="n">
        <v>3</v>
      </c>
      <c r="R718" t="n">
        <v>2021.1</v>
      </c>
      <c r="S718" t="b">
        <v>0</v>
      </c>
      <c r="T718" t="n">
        <v>1949778</v>
      </c>
      <c r="U718" t="n">
        <v>12</v>
      </c>
      <c r="V718" t="n">
        <v>0.0352</v>
      </c>
      <c r="W718" t="n">
        <v>0.53</v>
      </c>
      <c r="X718" t="n">
        <v>74.86</v>
      </c>
      <c r="Y718">
        <f>VLOOKUP(D718,$AB$2:$AC$7,2,FALSE)</f>
        <v/>
      </c>
      <c r="Z718">
        <f>IF(A718&lt;Y718,"Yes","No")</f>
        <v/>
      </c>
    </row>
    <row r="719">
      <c r="A719" t="n">
        <v>2019</v>
      </c>
      <c r="B719" t="inlineStr">
        <is>
          <t>Q3</t>
        </is>
      </c>
      <c r="C719" t="inlineStr">
        <is>
          <t>Australia</t>
        </is>
      </c>
      <c r="D719" t="inlineStr">
        <is>
          <t>Model 3</t>
        </is>
      </c>
      <c r="E719" t="n">
        <v>526</v>
      </c>
      <c r="F719" t="n">
        <v>95716.81</v>
      </c>
      <c r="G719" t="n">
        <v>28</v>
      </c>
      <c r="H719" t="inlineStr">
        <is>
          <t>Standard</t>
        </is>
      </c>
      <c r="I719" t="inlineStr">
        <is>
          <t>RWD</t>
        </is>
      </c>
      <c r="J719" t="inlineStr">
        <is>
          <t>Blue</t>
        </is>
      </c>
      <c r="K719" t="n">
        <v>693</v>
      </c>
      <c r="L719" t="n">
        <v>38</v>
      </c>
      <c r="M719" t="n">
        <v>20.16</v>
      </c>
      <c r="N719" t="n">
        <v>625.47</v>
      </c>
      <c r="O719" t="n">
        <v>4.33</v>
      </c>
      <c r="P719" t="n">
        <v>4</v>
      </c>
      <c r="Q719" t="n">
        <v>3</v>
      </c>
      <c r="R719" t="n">
        <v>2023.7</v>
      </c>
      <c r="S719" t="b">
        <v>1</v>
      </c>
      <c r="T719" t="n">
        <v>1450329</v>
      </c>
      <c r="U719" t="n">
        <v>11</v>
      </c>
      <c r="V719" t="n">
        <v>0.07290000000000001</v>
      </c>
      <c r="W719" t="n">
        <v>1.7</v>
      </c>
      <c r="X719" t="n">
        <v>83.06999999999999</v>
      </c>
      <c r="Y719">
        <f>VLOOKUP(D719,$AB$2:$AC$7,2,FALSE)</f>
        <v/>
      </c>
      <c r="Z719">
        <f>IF(A719&lt;Y719,"Yes","No")</f>
        <v/>
      </c>
    </row>
    <row r="720">
      <c r="A720" t="n">
        <v>2016</v>
      </c>
      <c r="B720" t="inlineStr">
        <is>
          <t>Q1</t>
        </is>
      </c>
      <c r="C720" t="inlineStr">
        <is>
          <t>Australia</t>
        </is>
      </c>
      <c r="D720" t="inlineStr">
        <is>
          <t>Cybertruck</t>
        </is>
      </c>
      <c r="E720" t="n">
        <v>4420</v>
      </c>
      <c r="F720" t="n">
        <v>57337.92</v>
      </c>
      <c r="G720" t="n">
        <v>12</v>
      </c>
      <c r="H720" t="inlineStr">
        <is>
          <t>Standard</t>
        </is>
      </c>
      <c r="I720" t="inlineStr">
        <is>
          <t>AWD</t>
        </is>
      </c>
      <c r="J720" t="inlineStr">
        <is>
          <t>Blue</t>
        </is>
      </c>
      <c r="K720" t="n">
        <v>468</v>
      </c>
      <c r="L720" t="n">
        <v>35</v>
      </c>
      <c r="M720" t="n">
        <v>24.25</v>
      </c>
      <c r="N720" t="n">
        <v>10645.07</v>
      </c>
      <c r="O720" t="n">
        <v>3.97</v>
      </c>
      <c r="P720" t="n">
        <v>5</v>
      </c>
      <c r="Q720" t="n">
        <v>1</v>
      </c>
      <c r="R720" t="n">
        <v>2022.7</v>
      </c>
      <c r="S720" t="b">
        <v>1</v>
      </c>
      <c r="T720" t="n">
        <v>4019097</v>
      </c>
      <c r="U720" t="n">
        <v>10</v>
      </c>
      <c r="V720" t="n">
        <v>0.0934</v>
      </c>
      <c r="W720" t="n">
        <v>1.43</v>
      </c>
      <c r="X720" t="n">
        <v>66.15000000000001</v>
      </c>
      <c r="Y720">
        <f>VLOOKUP(D720,$AB$2:$AC$7,2,FALSE)</f>
        <v/>
      </c>
      <c r="Z720">
        <f>IF(A720&lt;Y720,"Yes","No")</f>
        <v/>
      </c>
    </row>
    <row r="721">
      <c r="A721" t="n">
        <v>2014</v>
      </c>
      <c r="B721" t="inlineStr">
        <is>
          <t>Q1</t>
        </is>
      </c>
      <c r="C721" t="inlineStr">
        <is>
          <t>North America</t>
        </is>
      </c>
      <c r="D721" t="inlineStr">
        <is>
          <t>Cybertruck</t>
        </is>
      </c>
      <c r="E721" t="n">
        <v>1388</v>
      </c>
      <c r="F721" t="n">
        <v>35039.48</v>
      </c>
      <c r="G721" t="n">
        <v>7</v>
      </c>
      <c r="H721" t="inlineStr">
        <is>
          <t>Standard</t>
        </is>
      </c>
      <c r="I721" t="inlineStr">
        <is>
          <t>RWD</t>
        </is>
      </c>
      <c r="J721" t="inlineStr">
        <is>
          <t>Black</t>
        </is>
      </c>
      <c r="K721" t="n">
        <v>612</v>
      </c>
      <c r="L721" t="n">
        <v>72</v>
      </c>
      <c r="M721" t="n">
        <v>16.81</v>
      </c>
      <c r="N721" t="n">
        <v>1992.41</v>
      </c>
      <c r="O721" t="n">
        <v>4.32</v>
      </c>
      <c r="P721" t="n">
        <v>6</v>
      </c>
      <c r="Q721" t="n">
        <v>3</v>
      </c>
      <c r="R721" t="n">
        <v>2020.4</v>
      </c>
      <c r="S721" t="b">
        <v>1</v>
      </c>
      <c r="T721" t="n">
        <v>3853812</v>
      </c>
      <c r="U721" t="n">
        <v>3</v>
      </c>
      <c r="V721" t="n">
        <v>0.0902</v>
      </c>
      <c r="W721" t="n">
        <v>1.59</v>
      </c>
      <c r="X721" t="n">
        <v>69.20999999999999</v>
      </c>
      <c r="Y721">
        <f>VLOOKUP(D721,$AB$2:$AC$7,2,FALSE)</f>
        <v/>
      </c>
      <c r="Z721">
        <f>IF(A721&lt;Y721,"Yes","No")</f>
        <v/>
      </c>
    </row>
    <row r="722">
      <c r="A722" t="n">
        <v>2021</v>
      </c>
      <c r="B722" t="inlineStr">
        <is>
          <t>Q1</t>
        </is>
      </c>
      <c r="C722" t="inlineStr">
        <is>
          <t>Europe</t>
        </is>
      </c>
      <c r="D722" t="inlineStr">
        <is>
          <t>Cybertruck</t>
        </is>
      </c>
      <c r="E722" t="n">
        <v>2696</v>
      </c>
      <c r="F722" t="n">
        <v>39061.78</v>
      </c>
      <c r="G722" t="n">
        <v>55</v>
      </c>
      <c r="H722" t="inlineStr">
        <is>
          <t>Long Range</t>
        </is>
      </c>
      <c r="I722" t="inlineStr">
        <is>
          <t>RWD</t>
        </is>
      </c>
      <c r="J722" t="inlineStr">
        <is>
          <t>Silver</t>
        </is>
      </c>
      <c r="K722" t="n">
        <v>372</v>
      </c>
      <c r="L722" t="n">
        <v>82</v>
      </c>
      <c r="M722" t="n">
        <v>14.13</v>
      </c>
      <c r="N722" t="n">
        <v>2832.91</v>
      </c>
      <c r="O722" t="n">
        <v>4.99</v>
      </c>
      <c r="P722" t="n">
        <v>5</v>
      </c>
      <c r="Q722" t="n">
        <v>3</v>
      </c>
      <c r="R722" t="n">
        <v>2021.11</v>
      </c>
      <c r="S722" t="b">
        <v>0</v>
      </c>
      <c r="T722" t="n">
        <v>952412</v>
      </c>
      <c r="U722" t="n">
        <v>8</v>
      </c>
      <c r="V722" t="n">
        <v>0.0523</v>
      </c>
      <c r="W722" t="n">
        <v>0.72</v>
      </c>
      <c r="X722" t="n">
        <v>64.25</v>
      </c>
      <c r="Y722">
        <f>VLOOKUP(D722,$AB$2:$AC$7,2,FALSE)</f>
        <v/>
      </c>
      <c r="Z722">
        <f>IF(A722&lt;Y722,"Yes","No")</f>
        <v/>
      </c>
    </row>
    <row r="723">
      <c r="A723" t="n">
        <v>2019</v>
      </c>
      <c r="B723" t="inlineStr">
        <is>
          <t>Q4</t>
        </is>
      </c>
      <c r="C723" t="inlineStr">
        <is>
          <t>South America</t>
        </is>
      </c>
      <c r="D723" t="inlineStr">
        <is>
          <t>Model 3</t>
        </is>
      </c>
      <c r="E723" t="n">
        <v>1579</v>
      </c>
      <c r="F723" t="n">
        <v>41390.18</v>
      </c>
      <c r="G723" t="n">
        <v>53</v>
      </c>
      <c r="H723" t="inlineStr">
        <is>
          <t>Standard</t>
        </is>
      </c>
      <c r="I723" t="inlineStr">
        <is>
          <t>AWD</t>
        </is>
      </c>
      <c r="J723" t="inlineStr">
        <is>
          <t>Blue</t>
        </is>
      </c>
      <c r="K723" t="n">
        <v>651</v>
      </c>
      <c r="L723" t="n">
        <v>64</v>
      </c>
      <c r="M723" t="n">
        <v>22.93</v>
      </c>
      <c r="N723" t="n">
        <v>1112.68</v>
      </c>
      <c r="O723" t="n">
        <v>3.79</v>
      </c>
      <c r="P723" t="n">
        <v>8</v>
      </c>
      <c r="Q723" t="n">
        <v>1</v>
      </c>
      <c r="R723" t="n">
        <v>2024.9</v>
      </c>
      <c r="S723" t="b">
        <v>0</v>
      </c>
      <c r="T723" t="n">
        <v>4221372</v>
      </c>
      <c r="U723" t="n">
        <v>12</v>
      </c>
      <c r="V723" t="n">
        <v>0.0646</v>
      </c>
      <c r="W723" t="n">
        <v>0.97</v>
      </c>
      <c r="X723" t="n">
        <v>72.78</v>
      </c>
      <c r="Y723">
        <f>VLOOKUP(D723,$AB$2:$AC$7,2,FALSE)</f>
        <v/>
      </c>
      <c r="Z723">
        <f>IF(A723&lt;Y723,"Yes","No")</f>
        <v/>
      </c>
    </row>
    <row r="724">
      <c r="A724" t="n">
        <v>2015</v>
      </c>
      <c r="B724" t="inlineStr">
        <is>
          <t>Q2</t>
        </is>
      </c>
      <c r="C724" t="inlineStr">
        <is>
          <t>North America</t>
        </is>
      </c>
      <c r="D724" t="inlineStr">
        <is>
          <t>Cybertruck</t>
        </is>
      </c>
      <c r="E724" t="n">
        <v>1501</v>
      </c>
      <c r="F724" t="n">
        <v>81198.5</v>
      </c>
      <c r="G724" t="n">
        <v>20</v>
      </c>
      <c r="H724" t="inlineStr">
        <is>
          <t>Long Range</t>
        </is>
      </c>
      <c r="I724" t="inlineStr">
        <is>
          <t>AWD</t>
        </is>
      </c>
      <c r="J724" t="inlineStr">
        <is>
          <t>White</t>
        </is>
      </c>
      <c r="K724" t="n">
        <v>467</v>
      </c>
      <c r="L724" t="n">
        <v>66</v>
      </c>
      <c r="M724" t="n">
        <v>22</v>
      </c>
      <c r="N724" t="n">
        <v>3631.72</v>
      </c>
      <c r="O724" t="n">
        <v>3.53</v>
      </c>
      <c r="P724" t="n">
        <v>8</v>
      </c>
      <c r="Q724" t="n">
        <v>3</v>
      </c>
      <c r="R724" t="n">
        <v>2020.8</v>
      </c>
      <c r="S724" t="b">
        <v>0</v>
      </c>
      <c r="T724" t="n">
        <v>612451</v>
      </c>
      <c r="U724" t="n">
        <v>8</v>
      </c>
      <c r="V724" t="n">
        <v>0.08749999999999999</v>
      </c>
      <c r="W724" t="n">
        <v>1.49</v>
      </c>
      <c r="X724" t="n">
        <v>87.01000000000001</v>
      </c>
      <c r="Y724">
        <f>VLOOKUP(D724,$AB$2:$AC$7,2,FALSE)</f>
        <v/>
      </c>
      <c r="Z724">
        <f>IF(A724&lt;Y724,"Yes","No")</f>
        <v/>
      </c>
    </row>
    <row r="725">
      <c r="A725" t="n">
        <v>2020</v>
      </c>
      <c r="B725" t="inlineStr">
        <is>
          <t>Q2</t>
        </is>
      </c>
      <c r="C725" t="inlineStr">
        <is>
          <t>North America</t>
        </is>
      </c>
      <c r="D725" t="inlineStr">
        <is>
          <t>Model X</t>
        </is>
      </c>
      <c r="E725" t="n">
        <v>68</v>
      </c>
      <c r="F725" t="n">
        <v>66969.92999999999</v>
      </c>
      <c r="G725" t="n">
        <v>9</v>
      </c>
      <c r="H725" t="inlineStr">
        <is>
          <t>Standard</t>
        </is>
      </c>
      <c r="I725" t="inlineStr">
        <is>
          <t>AWD</t>
        </is>
      </c>
      <c r="J725" t="inlineStr">
        <is>
          <t>Black</t>
        </is>
      </c>
      <c r="K725" t="n">
        <v>464</v>
      </c>
      <c r="L725" t="n">
        <v>70</v>
      </c>
      <c r="M725" t="n">
        <v>17.19</v>
      </c>
      <c r="N725" t="n">
        <v>125.65</v>
      </c>
      <c r="O725" t="n">
        <v>3.63</v>
      </c>
      <c r="P725" t="n">
        <v>8</v>
      </c>
      <c r="Q725" t="n">
        <v>2</v>
      </c>
      <c r="R725" t="n">
        <v>2020.6</v>
      </c>
      <c r="S725" t="b">
        <v>0</v>
      </c>
      <c r="T725" t="n">
        <v>979972</v>
      </c>
      <c r="U725" t="n">
        <v>12</v>
      </c>
      <c r="V725" t="n">
        <v>0.0338</v>
      </c>
      <c r="W725" t="n">
        <v>1.64</v>
      </c>
      <c r="X725" t="n">
        <v>81.97</v>
      </c>
      <c r="Y725">
        <f>VLOOKUP(D725,$AB$2:$AC$7,2,FALSE)</f>
        <v/>
      </c>
      <c r="Z725">
        <f>IF(A725&lt;Y725,"Yes","No")</f>
        <v/>
      </c>
    </row>
    <row r="726">
      <c r="A726" t="n">
        <v>2020</v>
      </c>
      <c r="B726" t="inlineStr">
        <is>
          <t>Q2</t>
        </is>
      </c>
      <c r="C726" t="inlineStr">
        <is>
          <t>North America</t>
        </is>
      </c>
      <c r="D726" t="inlineStr">
        <is>
          <t>Cybertruck</t>
        </is>
      </c>
      <c r="E726" t="n">
        <v>1186</v>
      </c>
      <c r="F726" t="n">
        <v>62828.37</v>
      </c>
      <c r="G726" t="n">
        <v>25</v>
      </c>
      <c r="H726" t="inlineStr">
        <is>
          <t>Long Range</t>
        </is>
      </c>
      <c r="I726" t="inlineStr">
        <is>
          <t>AWD</t>
        </is>
      </c>
      <c r="J726" t="inlineStr">
        <is>
          <t>Silver</t>
        </is>
      </c>
      <c r="K726" t="n">
        <v>652</v>
      </c>
      <c r="L726" t="n">
        <v>64</v>
      </c>
      <c r="M726" t="n">
        <v>22.27</v>
      </c>
      <c r="N726" t="n">
        <v>1229.92</v>
      </c>
      <c r="O726" t="n">
        <v>4.14</v>
      </c>
      <c r="P726" t="n">
        <v>6</v>
      </c>
      <c r="Q726" t="n">
        <v>0</v>
      </c>
      <c r="R726" t="n">
        <v>2021.3</v>
      </c>
      <c r="S726" t="b">
        <v>1</v>
      </c>
      <c r="T726" t="n">
        <v>2875636</v>
      </c>
      <c r="U726" t="n">
        <v>2</v>
      </c>
      <c r="V726" t="n">
        <v>0.0956</v>
      </c>
      <c r="W726" t="n">
        <v>1.88</v>
      </c>
      <c r="X726" t="n">
        <v>66.89</v>
      </c>
      <c r="Y726">
        <f>VLOOKUP(D726,$AB$2:$AC$7,2,FALSE)</f>
        <v/>
      </c>
      <c r="Z726">
        <f>IF(A726&lt;Y726,"Yes","No")</f>
        <v/>
      </c>
    </row>
    <row r="727">
      <c r="A727" t="n">
        <v>2020</v>
      </c>
      <c r="B727" t="inlineStr">
        <is>
          <t>Q4</t>
        </is>
      </c>
      <c r="C727" t="inlineStr">
        <is>
          <t>South America</t>
        </is>
      </c>
      <c r="D727" t="inlineStr">
        <is>
          <t>Semi</t>
        </is>
      </c>
      <c r="E727" t="n">
        <v>2104</v>
      </c>
      <c r="F727" t="n">
        <v>78125.7</v>
      </c>
      <c r="G727" t="n">
        <v>18</v>
      </c>
      <c r="H727" t="inlineStr">
        <is>
          <t>Performance</t>
        </is>
      </c>
      <c r="I727" t="inlineStr">
        <is>
          <t>AWD</t>
        </is>
      </c>
      <c r="J727" t="inlineStr">
        <is>
          <t>White</t>
        </is>
      </c>
      <c r="K727" t="n">
        <v>660</v>
      </c>
      <c r="L727" t="n">
        <v>51</v>
      </c>
      <c r="M727" t="n">
        <v>23.15</v>
      </c>
      <c r="N727" t="n">
        <v>3617.74</v>
      </c>
      <c r="O727" t="n">
        <v>4.33</v>
      </c>
      <c r="P727" t="n">
        <v>4</v>
      </c>
      <c r="Q727" t="n">
        <v>0</v>
      </c>
      <c r="R727" t="n">
        <v>2022.6</v>
      </c>
      <c r="S727" t="b">
        <v>0</v>
      </c>
      <c r="T727" t="n">
        <v>4677599</v>
      </c>
      <c r="U727" t="n">
        <v>10</v>
      </c>
      <c r="V727" t="n">
        <v>0.0512</v>
      </c>
      <c r="W727" t="n">
        <v>2.12</v>
      </c>
      <c r="X727" t="n">
        <v>87.39</v>
      </c>
      <c r="Y727">
        <f>VLOOKUP(D727,$AB$2:$AC$7,2,FALSE)</f>
        <v/>
      </c>
      <c r="Z727">
        <f>IF(A727&lt;Y727,"Yes","No")</f>
        <v/>
      </c>
    </row>
    <row r="728">
      <c r="A728" t="n">
        <v>2023</v>
      </c>
      <c r="B728" t="inlineStr">
        <is>
          <t>Q4</t>
        </is>
      </c>
      <c r="C728" t="inlineStr">
        <is>
          <t>North America</t>
        </is>
      </c>
      <c r="D728" t="inlineStr">
        <is>
          <t>Model X</t>
        </is>
      </c>
      <c r="E728" t="n">
        <v>1516</v>
      </c>
      <c r="F728" t="n">
        <v>54998.88</v>
      </c>
      <c r="G728" t="n">
        <v>34</v>
      </c>
      <c r="H728" t="inlineStr">
        <is>
          <t>Long Range</t>
        </is>
      </c>
      <c r="I728" t="inlineStr">
        <is>
          <t>RWD</t>
        </is>
      </c>
      <c r="J728" t="inlineStr">
        <is>
          <t>Blue</t>
        </is>
      </c>
      <c r="K728" t="n">
        <v>594</v>
      </c>
      <c r="L728" t="n">
        <v>42</v>
      </c>
      <c r="M728" t="n">
        <v>19.47</v>
      </c>
      <c r="N728" t="n">
        <v>3705.44</v>
      </c>
      <c r="O728" t="n">
        <v>3.78</v>
      </c>
      <c r="P728" t="n">
        <v>8</v>
      </c>
      <c r="Q728" t="n">
        <v>2</v>
      </c>
      <c r="R728" t="n">
        <v>2023.2</v>
      </c>
      <c r="S728" t="b">
        <v>1</v>
      </c>
      <c r="T728" t="n">
        <v>3970553</v>
      </c>
      <c r="U728" t="n">
        <v>9</v>
      </c>
      <c r="V728" t="n">
        <v>0.0649</v>
      </c>
      <c r="W728" t="n">
        <v>1.48</v>
      </c>
      <c r="X728" t="n">
        <v>76.26000000000001</v>
      </c>
      <c r="Y728">
        <f>VLOOKUP(D728,$AB$2:$AC$7,2,FALSE)</f>
        <v/>
      </c>
      <c r="Z728">
        <f>IF(A728&lt;Y728,"Yes","No")</f>
        <v/>
      </c>
    </row>
    <row r="729">
      <c r="A729" t="n">
        <v>2021</v>
      </c>
      <c r="B729" t="inlineStr">
        <is>
          <t>Q4</t>
        </is>
      </c>
      <c r="C729" t="inlineStr">
        <is>
          <t>South America</t>
        </is>
      </c>
      <c r="D729" t="inlineStr">
        <is>
          <t>Model Y</t>
        </is>
      </c>
      <c r="E729" t="n">
        <v>1310</v>
      </c>
      <c r="F729" t="n">
        <v>106148.83</v>
      </c>
      <c r="G729" t="n">
        <v>8</v>
      </c>
      <c r="H729" t="inlineStr">
        <is>
          <t>Long Range</t>
        </is>
      </c>
      <c r="I729" t="inlineStr">
        <is>
          <t>AWD</t>
        </is>
      </c>
      <c r="J729" t="inlineStr">
        <is>
          <t>Blue</t>
        </is>
      </c>
      <c r="K729" t="n">
        <v>369</v>
      </c>
      <c r="L729" t="n">
        <v>80</v>
      </c>
      <c r="M729" t="n">
        <v>20.72</v>
      </c>
      <c r="N729" t="n">
        <v>1488.83</v>
      </c>
      <c r="O729" t="n">
        <v>4.29</v>
      </c>
      <c r="P729" t="n">
        <v>8</v>
      </c>
      <c r="Q729" t="n">
        <v>1</v>
      </c>
      <c r="R729" t="n">
        <v>2021.6</v>
      </c>
      <c r="S729" t="b">
        <v>1</v>
      </c>
      <c r="T729" t="n">
        <v>2359280</v>
      </c>
      <c r="U729" t="n">
        <v>2</v>
      </c>
      <c r="V729" t="n">
        <v>0.0697</v>
      </c>
      <c r="W729" t="n">
        <v>2.24</v>
      </c>
      <c r="X729" t="n">
        <v>82.67</v>
      </c>
      <c r="Y729">
        <f>VLOOKUP(D729,$AB$2:$AC$7,2,FALSE)</f>
        <v/>
      </c>
      <c r="Z729">
        <f>IF(A729&lt;Y729,"Yes","No")</f>
        <v/>
      </c>
    </row>
    <row r="730">
      <c r="A730" t="n">
        <v>2018</v>
      </c>
      <c r="B730" t="inlineStr">
        <is>
          <t>Q4</t>
        </is>
      </c>
      <c r="C730" t="inlineStr">
        <is>
          <t>South America</t>
        </is>
      </c>
      <c r="D730" t="inlineStr">
        <is>
          <t>Model X</t>
        </is>
      </c>
      <c r="E730" t="n">
        <v>3790</v>
      </c>
      <c r="F730" t="n">
        <v>83381.45</v>
      </c>
      <c r="G730" t="n">
        <v>1</v>
      </c>
      <c r="H730" t="inlineStr">
        <is>
          <t>Performance</t>
        </is>
      </c>
      <c r="I730" t="inlineStr">
        <is>
          <t>AWD</t>
        </is>
      </c>
      <c r="J730" t="inlineStr">
        <is>
          <t>Black</t>
        </is>
      </c>
      <c r="K730" t="n">
        <v>493</v>
      </c>
      <c r="L730" t="n">
        <v>87</v>
      </c>
      <c r="M730" t="n">
        <v>19.5</v>
      </c>
      <c r="N730" t="n">
        <v>7795.11</v>
      </c>
      <c r="O730" t="n">
        <v>4.01</v>
      </c>
      <c r="P730" t="n">
        <v>6</v>
      </c>
      <c r="Q730" t="n">
        <v>2</v>
      </c>
      <c r="R730" t="n">
        <v>2022.3</v>
      </c>
      <c r="S730" t="b">
        <v>0</v>
      </c>
      <c r="T730" t="n">
        <v>3964512</v>
      </c>
      <c r="U730" t="n">
        <v>11</v>
      </c>
      <c r="V730" t="n">
        <v>0.0455</v>
      </c>
      <c r="W730" t="n">
        <v>0.78</v>
      </c>
      <c r="X730" t="n">
        <v>84.79000000000001</v>
      </c>
      <c r="Y730">
        <f>VLOOKUP(D730,$AB$2:$AC$7,2,FALSE)</f>
        <v/>
      </c>
      <c r="Z730">
        <f>IF(A730&lt;Y730,"Yes","No")</f>
        <v/>
      </c>
    </row>
    <row r="731">
      <c r="A731" t="n">
        <v>2021</v>
      </c>
      <c r="B731" t="inlineStr">
        <is>
          <t>Q3</t>
        </is>
      </c>
      <c r="C731" t="inlineStr">
        <is>
          <t>Europe</t>
        </is>
      </c>
      <c r="D731" t="inlineStr">
        <is>
          <t>Semi</t>
        </is>
      </c>
      <c r="E731" t="n">
        <v>2070</v>
      </c>
      <c r="F731" t="n">
        <v>88885.67</v>
      </c>
      <c r="G731" t="n">
        <v>8</v>
      </c>
      <c r="H731" t="inlineStr">
        <is>
          <t>Performance</t>
        </is>
      </c>
      <c r="I731" t="inlineStr">
        <is>
          <t>RWD</t>
        </is>
      </c>
      <c r="J731" t="inlineStr">
        <is>
          <t>Blue</t>
        </is>
      </c>
      <c r="K731" t="n">
        <v>463</v>
      </c>
      <c r="L731" t="n">
        <v>85</v>
      </c>
      <c r="M731" t="n">
        <v>24.29</v>
      </c>
      <c r="N731" t="n">
        <v>3296.19</v>
      </c>
      <c r="O731" t="n">
        <v>4.85</v>
      </c>
      <c r="P731" t="n">
        <v>4</v>
      </c>
      <c r="Q731" t="n">
        <v>2</v>
      </c>
      <c r="R731" t="n">
        <v>2023.3</v>
      </c>
      <c r="S731" t="b">
        <v>0</v>
      </c>
      <c r="T731" t="n">
        <v>767791</v>
      </c>
      <c r="U731" t="n">
        <v>12</v>
      </c>
      <c r="V731" t="n">
        <v>0.0712</v>
      </c>
      <c r="W731" t="n">
        <v>1.16</v>
      </c>
      <c r="X731" t="n">
        <v>75.98999999999999</v>
      </c>
      <c r="Y731">
        <f>VLOOKUP(D731,$AB$2:$AC$7,2,FALSE)</f>
        <v/>
      </c>
      <c r="Z731">
        <f>IF(A731&lt;Y731,"Yes","No")</f>
        <v/>
      </c>
    </row>
    <row r="732">
      <c r="A732" t="n">
        <v>2017</v>
      </c>
      <c r="B732" t="inlineStr">
        <is>
          <t>Q4</t>
        </is>
      </c>
      <c r="C732" t="inlineStr">
        <is>
          <t>Europe</t>
        </is>
      </c>
      <c r="D732" t="inlineStr">
        <is>
          <t>Model X</t>
        </is>
      </c>
      <c r="E732" t="n">
        <v>3237</v>
      </c>
      <c r="F732" t="n">
        <v>49252.74</v>
      </c>
      <c r="G732" t="n">
        <v>36</v>
      </c>
      <c r="H732" t="inlineStr">
        <is>
          <t>Standard</t>
        </is>
      </c>
      <c r="I732" t="inlineStr">
        <is>
          <t>RWD</t>
        </is>
      </c>
      <c r="J732" t="inlineStr">
        <is>
          <t>Silver</t>
        </is>
      </c>
      <c r="K732" t="n">
        <v>463</v>
      </c>
      <c r="L732" t="n">
        <v>85</v>
      </c>
      <c r="M732" t="n">
        <v>21.34</v>
      </c>
      <c r="N732" t="n">
        <v>3841.19</v>
      </c>
      <c r="O732" t="n">
        <v>4.41</v>
      </c>
      <c r="P732" t="n">
        <v>6</v>
      </c>
      <c r="Q732" t="n">
        <v>0</v>
      </c>
      <c r="R732" t="n">
        <v>2021.9</v>
      </c>
      <c r="S732" t="b">
        <v>1</v>
      </c>
      <c r="T732" t="n">
        <v>4797062</v>
      </c>
      <c r="U732" t="n">
        <v>8</v>
      </c>
      <c r="V732" t="n">
        <v>0.0432</v>
      </c>
      <c r="W732" t="n">
        <v>0.55</v>
      </c>
      <c r="X732" t="n">
        <v>79.37</v>
      </c>
      <c r="Y732">
        <f>VLOOKUP(D732,$AB$2:$AC$7,2,FALSE)</f>
        <v/>
      </c>
      <c r="Z732">
        <f>IF(A732&lt;Y732,"Yes","No")</f>
        <v/>
      </c>
    </row>
    <row r="733">
      <c r="A733" t="n">
        <v>2020</v>
      </c>
      <c r="B733" t="inlineStr">
        <is>
          <t>Q3</t>
        </is>
      </c>
      <c r="C733" t="inlineStr">
        <is>
          <t>Australia</t>
        </is>
      </c>
      <c r="D733" t="inlineStr">
        <is>
          <t>Cybertruck</t>
        </is>
      </c>
      <c r="E733" t="n">
        <v>2707</v>
      </c>
      <c r="F733" t="n">
        <v>36328.75</v>
      </c>
      <c r="G733" t="n">
        <v>20</v>
      </c>
      <c r="H733" t="inlineStr">
        <is>
          <t>Long Range</t>
        </is>
      </c>
      <c r="I733" t="inlineStr">
        <is>
          <t>RWD</t>
        </is>
      </c>
      <c r="J733" t="inlineStr">
        <is>
          <t>White</t>
        </is>
      </c>
      <c r="K733" t="n">
        <v>464</v>
      </c>
      <c r="L733" t="n">
        <v>30</v>
      </c>
      <c r="M733" t="n">
        <v>15.33</v>
      </c>
      <c r="N733" t="n">
        <v>4754.18</v>
      </c>
      <c r="O733" t="n">
        <v>3.68</v>
      </c>
      <c r="P733" t="n">
        <v>4</v>
      </c>
      <c r="Q733" t="n">
        <v>0</v>
      </c>
      <c r="R733" t="n">
        <v>2023.1</v>
      </c>
      <c r="S733" t="b">
        <v>0</v>
      </c>
      <c r="T733" t="n">
        <v>1482567</v>
      </c>
      <c r="U733" t="n">
        <v>2</v>
      </c>
      <c r="V733" t="n">
        <v>0.0279</v>
      </c>
      <c r="W733" t="n">
        <v>2.17</v>
      </c>
      <c r="X733" t="n">
        <v>70.01000000000001</v>
      </c>
      <c r="Y733">
        <f>VLOOKUP(D733,$AB$2:$AC$7,2,FALSE)</f>
        <v/>
      </c>
      <c r="Z733">
        <f>IF(A733&lt;Y733,"Yes","No")</f>
        <v/>
      </c>
    </row>
    <row r="734">
      <c r="A734" t="n">
        <v>2015</v>
      </c>
      <c r="B734" t="inlineStr">
        <is>
          <t>Q3</t>
        </is>
      </c>
      <c r="C734" t="inlineStr">
        <is>
          <t>North America</t>
        </is>
      </c>
      <c r="D734" t="inlineStr">
        <is>
          <t>Model S</t>
        </is>
      </c>
      <c r="E734" t="n">
        <v>3033</v>
      </c>
      <c r="F734" t="n">
        <v>52865.8</v>
      </c>
      <c r="G734" t="n">
        <v>19</v>
      </c>
      <c r="H734" t="inlineStr">
        <is>
          <t>Standard</t>
        </is>
      </c>
      <c r="I734" t="inlineStr">
        <is>
          <t>RWD</t>
        </is>
      </c>
      <c r="J734" t="inlineStr">
        <is>
          <t>White</t>
        </is>
      </c>
      <c r="K734" t="n">
        <v>582</v>
      </c>
      <c r="L734" t="n">
        <v>36</v>
      </c>
      <c r="M734" t="n">
        <v>16.92</v>
      </c>
      <c r="N734" t="n">
        <v>3504.73</v>
      </c>
      <c r="O734" t="n">
        <v>3.66</v>
      </c>
      <c r="P734" t="n">
        <v>5</v>
      </c>
      <c r="Q734" t="n">
        <v>2</v>
      </c>
      <c r="R734" t="n">
        <v>2024.4</v>
      </c>
      <c r="S734" t="b">
        <v>0</v>
      </c>
      <c r="T734" t="n">
        <v>4091766</v>
      </c>
      <c r="U734" t="n">
        <v>10</v>
      </c>
      <c r="V734" t="n">
        <v>0.0188</v>
      </c>
      <c r="W734" t="n">
        <v>2.1</v>
      </c>
      <c r="X734" t="n">
        <v>73.42</v>
      </c>
      <c r="Y734">
        <f>VLOOKUP(D734,$AB$2:$AC$7,2,FALSE)</f>
        <v/>
      </c>
      <c r="Z734">
        <f>IF(A734&lt;Y734,"Yes","No")</f>
        <v/>
      </c>
    </row>
    <row r="735">
      <c r="A735" t="n">
        <v>2017</v>
      </c>
      <c r="B735" t="inlineStr">
        <is>
          <t>Q1</t>
        </is>
      </c>
      <c r="C735" t="inlineStr">
        <is>
          <t>North America</t>
        </is>
      </c>
      <c r="D735" t="inlineStr">
        <is>
          <t>Cybertruck</t>
        </is>
      </c>
      <c r="E735" t="n">
        <v>2227</v>
      </c>
      <c r="F735" t="n">
        <v>115982.1</v>
      </c>
      <c r="G735" t="n">
        <v>9</v>
      </c>
      <c r="H735" t="inlineStr">
        <is>
          <t>Performance</t>
        </is>
      </c>
      <c r="I735" t="inlineStr">
        <is>
          <t>AWD</t>
        </is>
      </c>
      <c r="J735" t="inlineStr">
        <is>
          <t>White</t>
        </is>
      </c>
      <c r="K735" t="n">
        <v>394</v>
      </c>
      <c r="L735" t="n">
        <v>32</v>
      </c>
      <c r="M735" t="n">
        <v>22.32</v>
      </c>
      <c r="N735" t="n">
        <v>1903.3</v>
      </c>
      <c r="O735" t="n">
        <v>4.07</v>
      </c>
      <c r="P735" t="n">
        <v>4</v>
      </c>
      <c r="Q735" t="n">
        <v>3</v>
      </c>
      <c r="R735" t="n">
        <v>2024.1</v>
      </c>
      <c r="S735" t="b">
        <v>1</v>
      </c>
      <c r="T735" t="n">
        <v>4109870</v>
      </c>
      <c r="U735" t="n">
        <v>2</v>
      </c>
      <c r="V735" t="n">
        <v>0.0345</v>
      </c>
      <c r="W735" t="n">
        <v>0.76</v>
      </c>
      <c r="X735" t="n">
        <v>85.34</v>
      </c>
      <c r="Y735">
        <f>VLOOKUP(D735,$AB$2:$AC$7,2,FALSE)</f>
        <v/>
      </c>
      <c r="Z735">
        <f>IF(A735&lt;Y735,"Yes","No")</f>
        <v/>
      </c>
    </row>
    <row r="736">
      <c r="A736" t="n">
        <v>2020</v>
      </c>
      <c r="B736" t="inlineStr">
        <is>
          <t>Q3</t>
        </is>
      </c>
      <c r="C736" t="inlineStr">
        <is>
          <t>Australia</t>
        </is>
      </c>
      <c r="D736" t="inlineStr">
        <is>
          <t>Model 3</t>
        </is>
      </c>
      <c r="E736" t="n">
        <v>1171</v>
      </c>
      <c r="F736" t="n">
        <v>114489.79</v>
      </c>
      <c r="G736" t="n">
        <v>35</v>
      </c>
      <c r="H736" t="inlineStr">
        <is>
          <t>Long Range</t>
        </is>
      </c>
      <c r="I736" t="inlineStr">
        <is>
          <t>RWD</t>
        </is>
      </c>
      <c r="J736" t="inlineStr">
        <is>
          <t>Red</t>
        </is>
      </c>
      <c r="K736" t="n">
        <v>516</v>
      </c>
      <c r="L736" t="n">
        <v>85</v>
      </c>
      <c r="M736" t="n">
        <v>22.28</v>
      </c>
      <c r="N736" t="n">
        <v>1771.58</v>
      </c>
      <c r="O736" t="n">
        <v>4.69</v>
      </c>
      <c r="P736" t="n">
        <v>8</v>
      </c>
      <c r="Q736" t="n">
        <v>3</v>
      </c>
      <c r="R736" t="n">
        <v>2022.5</v>
      </c>
      <c r="S736" t="b">
        <v>1</v>
      </c>
      <c r="T736" t="n">
        <v>1259465</v>
      </c>
      <c r="U736" t="n">
        <v>9</v>
      </c>
      <c r="V736" t="n">
        <v>0.0735</v>
      </c>
      <c r="W736" t="n">
        <v>1.52</v>
      </c>
      <c r="X736" t="n">
        <v>89.48999999999999</v>
      </c>
      <c r="Y736">
        <f>VLOOKUP(D736,$AB$2:$AC$7,2,FALSE)</f>
        <v/>
      </c>
      <c r="Z736">
        <f>IF(A736&lt;Y736,"Yes","No")</f>
        <v/>
      </c>
    </row>
    <row r="737">
      <c r="A737" t="n">
        <v>2022</v>
      </c>
      <c r="B737" t="inlineStr">
        <is>
          <t>Q3</t>
        </is>
      </c>
      <c r="C737" t="inlineStr">
        <is>
          <t>South America</t>
        </is>
      </c>
      <c r="D737" t="inlineStr">
        <is>
          <t>Semi</t>
        </is>
      </c>
      <c r="E737" t="n">
        <v>2831</v>
      </c>
      <c r="F737" t="n">
        <v>97295.46000000001</v>
      </c>
      <c r="G737" t="n">
        <v>27</v>
      </c>
      <c r="H737" t="inlineStr">
        <is>
          <t>Long Range</t>
        </is>
      </c>
      <c r="I737" t="inlineStr">
        <is>
          <t>RWD</t>
        </is>
      </c>
      <c r="J737" t="inlineStr">
        <is>
          <t>Green</t>
        </is>
      </c>
      <c r="K737" t="n">
        <v>664</v>
      </c>
      <c r="L737" t="n">
        <v>48</v>
      </c>
      <c r="M737" t="n">
        <v>15.13</v>
      </c>
      <c r="N737" t="n">
        <v>2145.31</v>
      </c>
      <c r="O737" t="n">
        <v>4.94</v>
      </c>
      <c r="P737" t="n">
        <v>4</v>
      </c>
      <c r="Q737" t="n">
        <v>0</v>
      </c>
      <c r="R737" t="n">
        <v>2023.6</v>
      </c>
      <c r="S737" t="b">
        <v>1</v>
      </c>
      <c r="T737" t="n">
        <v>1241901</v>
      </c>
      <c r="U737" t="n">
        <v>2</v>
      </c>
      <c r="V737" t="n">
        <v>0.08939999999999999</v>
      </c>
      <c r="W737" t="n">
        <v>0.59</v>
      </c>
      <c r="X737" t="n">
        <v>84.05</v>
      </c>
      <c r="Y737">
        <f>VLOOKUP(D737,$AB$2:$AC$7,2,FALSE)</f>
        <v/>
      </c>
      <c r="Z737">
        <f>IF(A737&lt;Y737,"Yes","No")</f>
        <v/>
      </c>
    </row>
    <row r="738">
      <c r="A738" t="n">
        <v>2017</v>
      </c>
      <c r="B738" t="inlineStr">
        <is>
          <t>Q2</t>
        </is>
      </c>
      <c r="C738" t="inlineStr">
        <is>
          <t>South America</t>
        </is>
      </c>
      <c r="D738" t="inlineStr">
        <is>
          <t>Semi</t>
        </is>
      </c>
      <c r="E738" t="n">
        <v>1951</v>
      </c>
      <c r="F738" t="n">
        <v>41183.59</v>
      </c>
      <c r="G738" t="n">
        <v>15</v>
      </c>
      <c r="H738" t="inlineStr">
        <is>
          <t>Standard</t>
        </is>
      </c>
      <c r="I738" t="inlineStr">
        <is>
          <t>AWD</t>
        </is>
      </c>
      <c r="J738" t="inlineStr">
        <is>
          <t>White</t>
        </is>
      </c>
      <c r="K738" t="n">
        <v>512</v>
      </c>
      <c r="L738" t="n">
        <v>34</v>
      </c>
      <c r="M738" t="n">
        <v>15.5</v>
      </c>
      <c r="N738" t="n">
        <v>2239.66</v>
      </c>
      <c r="O738" t="n">
        <v>4.22</v>
      </c>
      <c r="P738" t="n">
        <v>5</v>
      </c>
      <c r="Q738" t="n">
        <v>3</v>
      </c>
      <c r="R738" t="n">
        <v>2024.12</v>
      </c>
      <c r="S738" t="b">
        <v>1</v>
      </c>
      <c r="T738" t="n">
        <v>941959</v>
      </c>
      <c r="U738" t="n">
        <v>6</v>
      </c>
      <c r="V738" t="n">
        <v>0.0373</v>
      </c>
      <c r="W738" t="n">
        <v>2.2</v>
      </c>
      <c r="X738" t="n">
        <v>75.73999999999999</v>
      </c>
      <c r="Y738">
        <f>VLOOKUP(D738,$AB$2:$AC$7,2,FALSE)</f>
        <v/>
      </c>
      <c r="Z738">
        <f>IF(A738&lt;Y738,"Yes","No")</f>
        <v/>
      </c>
    </row>
    <row r="739">
      <c r="A739" t="n">
        <v>2018</v>
      </c>
      <c r="B739" t="inlineStr">
        <is>
          <t>Q4</t>
        </is>
      </c>
      <c r="C739" t="inlineStr">
        <is>
          <t>South America</t>
        </is>
      </c>
      <c r="D739" t="inlineStr">
        <is>
          <t>Cybertruck</t>
        </is>
      </c>
      <c r="E739" t="n">
        <v>4069</v>
      </c>
      <c r="F739" t="n">
        <v>47246.15</v>
      </c>
      <c r="G739" t="n">
        <v>54</v>
      </c>
      <c r="H739" t="inlineStr">
        <is>
          <t>Performance</t>
        </is>
      </c>
      <c r="I739" t="inlineStr">
        <is>
          <t>AWD</t>
        </is>
      </c>
      <c r="J739" t="inlineStr">
        <is>
          <t>Blue</t>
        </is>
      </c>
      <c r="K739" t="n">
        <v>579</v>
      </c>
      <c r="L739" t="n">
        <v>87</v>
      </c>
      <c r="M739" t="n">
        <v>20.65</v>
      </c>
      <c r="N739" t="n">
        <v>5623.88</v>
      </c>
      <c r="O739" t="n">
        <v>4.92</v>
      </c>
      <c r="P739" t="n">
        <v>8</v>
      </c>
      <c r="Q739" t="n">
        <v>1</v>
      </c>
      <c r="R739" t="n">
        <v>2020.3</v>
      </c>
      <c r="S739" t="b">
        <v>0</v>
      </c>
      <c r="T739" t="n">
        <v>4422767</v>
      </c>
      <c r="U739" t="n">
        <v>4</v>
      </c>
      <c r="V739" t="n">
        <v>0.0927</v>
      </c>
      <c r="W739" t="n">
        <v>1.08</v>
      </c>
      <c r="X739" t="n">
        <v>88.48999999999999</v>
      </c>
      <c r="Y739">
        <f>VLOOKUP(D739,$AB$2:$AC$7,2,FALSE)</f>
        <v/>
      </c>
      <c r="Z739">
        <f>IF(A739&lt;Y739,"Yes","No")</f>
        <v/>
      </c>
    </row>
    <row r="740">
      <c r="A740" t="n">
        <v>2013</v>
      </c>
      <c r="B740" t="inlineStr">
        <is>
          <t>Q2</t>
        </is>
      </c>
      <c r="C740" t="inlineStr">
        <is>
          <t>Europe</t>
        </is>
      </c>
      <c r="D740" t="inlineStr">
        <is>
          <t>Semi</t>
        </is>
      </c>
      <c r="E740" t="n">
        <v>4501</v>
      </c>
      <c r="F740" t="n">
        <v>103656.98</v>
      </c>
      <c r="G740" t="n">
        <v>6</v>
      </c>
      <c r="H740" t="inlineStr">
        <is>
          <t>Performance</t>
        </is>
      </c>
      <c r="I740" t="inlineStr">
        <is>
          <t>AWD</t>
        </is>
      </c>
      <c r="J740" t="inlineStr">
        <is>
          <t>Black</t>
        </is>
      </c>
      <c r="K740" t="n">
        <v>382</v>
      </c>
      <c r="L740" t="n">
        <v>38</v>
      </c>
      <c r="M740" t="n">
        <v>15.4</v>
      </c>
      <c r="N740" t="n">
        <v>3539.7</v>
      </c>
      <c r="O740" t="n">
        <v>4.76</v>
      </c>
      <c r="P740" t="n">
        <v>4</v>
      </c>
      <c r="Q740" t="n">
        <v>2</v>
      </c>
      <c r="R740" t="n">
        <v>2024.2</v>
      </c>
      <c r="S740" t="b">
        <v>1</v>
      </c>
      <c r="T740" t="n">
        <v>3263816</v>
      </c>
      <c r="U740" t="n">
        <v>2</v>
      </c>
      <c r="V740" t="n">
        <v>0.0897</v>
      </c>
      <c r="W740" t="n">
        <v>1.54</v>
      </c>
      <c r="X740" t="n">
        <v>72.45999999999999</v>
      </c>
      <c r="Y740">
        <f>VLOOKUP(D740,$AB$2:$AC$7,2,FALSE)</f>
        <v/>
      </c>
      <c r="Z740">
        <f>IF(A740&lt;Y740,"Yes","No")</f>
        <v/>
      </c>
    </row>
    <row r="741">
      <c r="A741" t="n">
        <v>2019</v>
      </c>
      <c r="B741" t="inlineStr">
        <is>
          <t>Q2</t>
        </is>
      </c>
      <c r="C741" t="inlineStr">
        <is>
          <t>Europe</t>
        </is>
      </c>
      <c r="D741" t="inlineStr">
        <is>
          <t>Semi</t>
        </is>
      </c>
      <c r="E741" t="n">
        <v>4578</v>
      </c>
      <c r="F741" t="n">
        <v>74370.82000000001</v>
      </c>
      <c r="G741" t="n">
        <v>1</v>
      </c>
      <c r="H741" t="inlineStr">
        <is>
          <t>Performance</t>
        </is>
      </c>
      <c r="I741" t="inlineStr">
        <is>
          <t>AWD</t>
        </is>
      </c>
      <c r="J741" t="inlineStr">
        <is>
          <t>Blue</t>
        </is>
      </c>
      <c r="K741" t="n">
        <v>556</v>
      </c>
      <c r="L741" t="n">
        <v>63</v>
      </c>
      <c r="M741" t="n">
        <v>21.47</v>
      </c>
      <c r="N741" t="n">
        <v>8379.18</v>
      </c>
      <c r="O741" t="n">
        <v>3.77</v>
      </c>
      <c r="P741" t="n">
        <v>5</v>
      </c>
      <c r="Q741" t="n">
        <v>2</v>
      </c>
      <c r="R741" t="n">
        <v>2023.8</v>
      </c>
      <c r="S741" t="b">
        <v>0</v>
      </c>
      <c r="T741" t="n">
        <v>2283895</v>
      </c>
      <c r="U741" t="n">
        <v>7</v>
      </c>
      <c r="V741" t="n">
        <v>0.0606</v>
      </c>
      <c r="W741" t="n">
        <v>1.03</v>
      </c>
      <c r="X741" t="n">
        <v>64.06999999999999</v>
      </c>
      <c r="Y741">
        <f>VLOOKUP(D741,$AB$2:$AC$7,2,FALSE)</f>
        <v/>
      </c>
      <c r="Z741">
        <f>IF(A741&lt;Y741,"Yes","No")</f>
        <v/>
      </c>
    </row>
    <row r="742">
      <c r="A742" t="n">
        <v>2014</v>
      </c>
      <c r="B742" t="inlineStr">
        <is>
          <t>Q1</t>
        </is>
      </c>
      <c r="C742" t="inlineStr">
        <is>
          <t>Asia</t>
        </is>
      </c>
      <c r="D742" t="inlineStr">
        <is>
          <t>Model 3</t>
        </is>
      </c>
      <c r="E742" t="n">
        <v>789</v>
      </c>
      <c r="F742" t="n">
        <v>78428.89</v>
      </c>
      <c r="G742" t="n">
        <v>49</v>
      </c>
      <c r="H742" t="inlineStr">
        <is>
          <t>Performance</t>
        </is>
      </c>
      <c r="I742" t="inlineStr">
        <is>
          <t>RWD</t>
        </is>
      </c>
      <c r="J742" t="inlineStr">
        <is>
          <t>Blue</t>
        </is>
      </c>
      <c r="K742" t="n">
        <v>686</v>
      </c>
      <c r="L742" t="n">
        <v>65</v>
      </c>
      <c r="M742" t="n">
        <v>15.89</v>
      </c>
      <c r="N742" t="n">
        <v>555.85</v>
      </c>
      <c r="O742" t="n">
        <v>3.58</v>
      </c>
      <c r="P742" t="n">
        <v>5</v>
      </c>
      <c r="Q742" t="n">
        <v>3</v>
      </c>
      <c r="R742" t="n">
        <v>2020.11</v>
      </c>
      <c r="S742" t="b">
        <v>0</v>
      </c>
      <c r="T742" t="n">
        <v>1572611</v>
      </c>
      <c r="U742" t="n">
        <v>3</v>
      </c>
      <c r="V742" t="n">
        <v>0.0511</v>
      </c>
      <c r="W742" t="n">
        <v>0.93</v>
      </c>
      <c r="X742" t="n">
        <v>73.29000000000001</v>
      </c>
      <c r="Y742">
        <f>VLOOKUP(D742,$AB$2:$AC$7,2,FALSE)</f>
        <v/>
      </c>
      <c r="Z742">
        <f>IF(A742&lt;Y742,"Yes","No")</f>
        <v/>
      </c>
    </row>
    <row r="743">
      <c r="A743" t="n">
        <v>2023</v>
      </c>
      <c r="B743" t="inlineStr">
        <is>
          <t>Q2</t>
        </is>
      </c>
      <c r="C743" t="inlineStr">
        <is>
          <t>South America</t>
        </is>
      </c>
      <c r="D743" t="inlineStr">
        <is>
          <t>Semi</t>
        </is>
      </c>
      <c r="E743" t="n">
        <v>4822</v>
      </c>
      <c r="F743" t="n">
        <v>117162.72</v>
      </c>
      <c r="G743" t="n">
        <v>53</v>
      </c>
      <c r="H743" t="inlineStr">
        <is>
          <t>Standard</t>
        </is>
      </c>
      <c r="I743" t="inlineStr">
        <is>
          <t>RWD</t>
        </is>
      </c>
      <c r="J743" t="inlineStr">
        <is>
          <t>Black</t>
        </is>
      </c>
      <c r="K743" t="n">
        <v>438</v>
      </c>
      <c r="L743" t="n">
        <v>39</v>
      </c>
      <c r="M743" t="n">
        <v>19.92</v>
      </c>
      <c r="N743" t="n">
        <v>7877.94</v>
      </c>
      <c r="O743" t="n">
        <v>4.42</v>
      </c>
      <c r="P743" t="n">
        <v>8</v>
      </c>
      <c r="Q743" t="n">
        <v>1</v>
      </c>
      <c r="R743" t="n">
        <v>2020.12</v>
      </c>
      <c r="S743" t="b">
        <v>0</v>
      </c>
      <c r="T743" t="n">
        <v>2842694</v>
      </c>
      <c r="U743" t="n">
        <v>12</v>
      </c>
      <c r="V743" t="n">
        <v>0.0868</v>
      </c>
      <c r="W743" t="n">
        <v>0.65</v>
      </c>
      <c r="X743" t="n">
        <v>69.09999999999999</v>
      </c>
      <c r="Y743">
        <f>VLOOKUP(D743,$AB$2:$AC$7,2,FALSE)</f>
        <v/>
      </c>
      <c r="Z743">
        <f>IF(A743&lt;Y743,"Yes","No")</f>
        <v/>
      </c>
    </row>
    <row r="744">
      <c r="A744" t="n">
        <v>2020</v>
      </c>
      <c r="B744" t="inlineStr">
        <is>
          <t>Q2</t>
        </is>
      </c>
      <c r="C744" t="inlineStr">
        <is>
          <t>Europe</t>
        </is>
      </c>
      <c r="D744" t="inlineStr">
        <is>
          <t>Model 3</t>
        </is>
      </c>
      <c r="E744" t="n">
        <v>2713</v>
      </c>
      <c r="F744" t="n">
        <v>90532.17</v>
      </c>
      <c r="G744" t="n">
        <v>44</v>
      </c>
      <c r="H744" t="inlineStr">
        <is>
          <t>Standard</t>
        </is>
      </c>
      <c r="I744" t="inlineStr">
        <is>
          <t>AWD</t>
        </is>
      </c>
      <c r="J744" t="inlineStr">
        <is>
          <t>White</t>
        </is>
      </c>
      <c r="K744" t="n">
        <v>634</v>
      </c>
      <c r="L744" t="n">
        <v>90</v>
      </c>
      <c r="M744" t="n">
        <v>16.7</v>
      </c>
      <c r="N744" t="n">
        <v>3623.89</v>
      </c>
      <c r="O744" t="n">
        <v>4.23</v>
      </c>
      <c r="P744" t="n">
        <v>8</v>
      </c>
      <c r="Q744" t="n">
        <v>3</v>
      </c>
      <c r="R744" t="n">
        <v>2021.3</v>
      </c>
      <c r="S744" t="b">
        <v>0</v>
      </c>
      <c r="T744" t="n">
        <v>2531377</v>
      </c>
      <c r="U744" t="n">
        <v>5</v>
      </c>
      <c r="V744" t="n">
        <v>0.0948</v>
      </c>
      <c r="W744" t="n">
        <v>1.64</v>
      </c>
      <c r="X744" t="n">
        <v>67.83</v>
      </c>
      <c r="Y744">
        <f>VLOOKUP(D744,$AB$2:$AC$7,2,FALSE)</f>
        <v/>
      </c>
      <c r="Z744">
        <f>IF(A744&lt;Y744,"Yes","No")</f>
        <v/>
      </c>
    </row>
    <row r="745">
      <c r="A745" t="n">
        <v>2016</v>
      </c>
      <c r="B745" t="inlineStr">
        <is>
          <t>Q4</t>
        </is>
      </c>
      <c r="C745" t="inlineStr">
        <is>
          <t>South America</t>
        </is>
      </c>
      <c r="D745" t="inlineStr">
        <is>
          <t>Semi</t>
        </is>
      </c>
      <c r="E745" t="n">
        <v>1004</v>
      </c>
      <c r="F745" t="n">
        <v>50339.14</v>
      </c>
      <c r="G745" t="n">
        <v>28</v>
      </c>
      <c r="H745" t="inlineStr">
        <is>
          <t>Performance</t>
        </is>
      </c>
      <c r="I745" t="inlineStr">
        <is>
          <t>RWD</t>
        </is>
      </c>
      <c r="J745" t="inlineStr">
        <is>
          <t>Red</t>
        </is>
      </c>
      <c r="K745" t="n">
        <v>445</v>
      </c>
      <c r="L745" t="n">
        <v>66</v>
      </c>
      <c r="M745" t="n">
        <v>15.09</v>
      </c>
      <c r="N745" t="n">
        <v>642.3200000000001</v>
      </c>
      <c r="O745" t="n">
        <v>3.58</v>
      </c>
      <c r="P745" t="n">
        <v>5</v>
      </c>
      <c r="Q745" t="n">
        <v>3</v>
      </c>
      <c r="R745" t="n">
        <v>2024.8</v>
      </c>
      <c r="S745" t="b">
        <v>1</v>
      </c>
      <c r="T745" t="n">
        <v>1897151</v>
      </c>
      <c r="U745" t="n">
        <v>9</v>
      </c>
      <c r="V745" t="n">
        <v>0.0737</v>
      </c>
      <c r="W745" t="n">
        <v>2.14</v>
      </c>
      <c r="X745" t="n">
        <v>64.15000000000001</v>
      </c>
      <c r="Y745">
        <f>VLOOKUP(D745,$AB$2:$AC$7,2,FALSE)</f>
        <v/>
      </c>
      <c r="Z745">
        <f>IF(A745&lt;Y745,"Yes","No")</f>
        <v/>
      </c>
    </row>
    <row r="746">
      <c r="A746" t="n">
        <v>2020</v>
      </c>
      <c r="B746" t="inlineStr">
        <is>
          <t>Q2</t>
        </is>
      </c>
      <c r="C746" t="inlineStr">
        <is>
          <t>Europe</t>
        </is>
      </c>
      <c r="D746" t="inlineStr">
        <is>
          <t>Model 3</t>
        </is>
      </c>
      <c r="E746" t="n">
        <v>280</v>
      </c>
      <c r="F746" t="n">
        <v>104047.27</v>
      </c>
      <c r="G746" t="n">
        <v>48</v>
      </c>
      <c r="H746" t="inlineStr">
        <is>
          <t>Standard</t>
        </is>
      </c>
      <c r="I746" t="inlineStr">
        <is>
          <t>AWD</t>
        </is>
      </c>
      <c r="J746" t="inlineStr">
        <is>
          <t>White</t>
        </is>
      </c>
      <c r="K746" t="n">
        <v>553</v>
      </c>
      <c r="L746" t="n">
        <v>76</v>
      </c>
      <c r="M746" t="n">
        <v>22.49</v>
      </c>
      <c r="N746" t="n">
        <v>623.27</v>
      </c>
      <c r="O746" t="n">
        <v>4.32</v>
      </c>
      <c r="P746" t="n">
        <v>5</v>
      </c>
      <c r="Q746" t="n">
        <v>0</v>
      </c>
      <c r="R746" t="n">
        <v>2020.5</v>
      </c>
      <c r="S746" t="b">
        <v>0</v>
      </c>
      <c r="T746" t="n">
        <v>4005752</v>
      </c>
      <c r="U746" t="n">
        <v>10</v>
      </c>
      <c r="V746" t="n">
        <v>0.0553</v>
      </c>
      <c r="W746" t="n">
        <v>2.23</v>
      </c>
      <c r="X746" t="n">
        <v>73.15000000000001</v>
      </c>
      <c r="Y746">
        <f>VLOOKUP(D746,$AB$2:$AC$7,2,FALSE)</f>
        <v/>
      </c>
      <c r="Z746">
        <f>IF(A746&lt;Y746,"Yes","No")</f>
        <v/>
      </c>
    </row>
    <row r="747">
      <c r="A747" t="n">
        <v>2022</v>
      </c>
      <c r="B747" t="inlineStr">
        <is>
          <t>Q2</t>
        </is>
      </c>
      <c r="C747" t="inlineStr">
        <is>
          <t>Asia</t>
        </is>
      </c>
      <c r="D747" t="inlineStr">
        <is>
          <t>Semi</t>
        </is>
      </c>
      <c r="E747" t="n">
        <v>4263</v>
      </c>
      <c r="F747" t="n">
        <v>65375.96</v>
      </c>
      <c r="G747" t="n">
        <v>15</v>
      </c>
      <c r="H747" t="inlineStr">
        <is>
          <t>Performance</t>
        </is>
      </c>
      <c r="I747" t="inlineStr">
        <is>
          <t>RWD</t>
        </is>
      </c>
      <c r="J747" t="inlineStr">
        <is>
          <t>Red</t>
        </is>
      </c>
      <c r="K747" t="n">
        <v>370</v>
      </c>
      <c r="L747" t="n">
        <v>42</v>
      </c>
      <c r="M747" t="n">
        <v>13.21</v>
      </c>
      <c r="N747" t="n">
        <v>10469.84</v>
      </c>
      <c r="O747" t="n">
        <v>3.85</v>
      </c>
      <c r="P747" t="n">
        <v>8</v>
      </c>
      <c r="Q747" t="n">
        <v>0</v>
      </c>
      <c r="R747" t="n">
        <v>2024.1</v>
      </c>
      <c r="S747" t="b">
        <v>0</v>
      </c>
      <c r="T747" t="n">
        <v>1018391</v>
      </c>
      <c r="U747" t="n">
        <v>9</v>
      </c>
      <c r="V747" t="n">
        <v>0.016</v>
      </c>
      <c r="W747" t="n">
        <v>2.17</v>
      </c>
      <c r="X747" t="n">
        <v>64.89</v>
      </c>
      <c r="Y747">
        <f>VLOOKUP(D747,$AB$2:$AC$7,2,FALSE)</f>
        <v/>
      </c>
      <c r="Z747">
        <f>IF(A747&lt;Y747,"Yes","No")</f>
        <v/>
      </c>
    </row>
    <row r="748">
      <c r="A748" t="n">
        <v>2015</v>
      </c>
      <c r="B748" t="inlineStr">
        <is>
          <t>Q1</t>
        </is>
      </c>
      <c r="C748" t="inlineStr">
        <is>
          <t>North America</t>
        </is>
      </c>
      <c r="D748" t="inlineStr">
        <is>
          <t>Model 3</t>
        </is>
      </c>
      <c r="E748" t="n">
        <v>4778</v>
      </c>
      <c r="F748" t="n">
        <v>49235.81</v>
      </c>
      <c r="G748" t="n">
        <v>59</v>
      </c>
      <c r="H748" t="inlineStr">
        <is>
          <t>Performance</t>
        </is>
      </c>
      <c r="I748" t="inlineStr">
        <is>
          <t>RWD</t>
        </is>
      </c>
      <c r="J748" t="inlineStr">
        <is>
          <t>Green</t>
        </is>
      </c>
      <c r="K748" t="n">
        <v>362</v>
      </c>
      <c r="L748" t="n">
        <v>35</v>
      </c>
      <c r="M748" t="n">
        <v>16.63</v>
      </c>
      <c r="N748" t="n">
        <v>6956.47</v>
      </c>
      <c r="O748" t="n">
        <v>4.48</v>
      </c>
      <c r="P748" t="n">
        <v>5</v>
      </c>
      <c r="Q748" t="n">
        <v>0</v>
      </c>
      <c r="R748" t="n">
        <v>2024.4</v>
      </c>
      <c r="S748" t="b">
        <v>1</v>
      </c>
      <c r="T748" t="n">
        <v>4936445</v>
      </c>
      <c r="U748" t="n">
        <v>8</v>
      </c>
      <c r="V748" t="n">
        <v>0.0993</v>
      </c>
      <c r="W748" t="n">
        <v>0.67</v>
      </c>
      <c r="X748" t="n">
        <v>80.59999999999999</v>
      </c>
      <c r="Y748">
        <f>VLOOKUP(D748,$AB$2:$AC$7,2,FALSE)</f>
        <v/>
      </c>
      <c r="Z748">
        <f>IF(A748&lt;Y748,"Yes","No")</f>
        <v/>
      </c>
    </row>
    <row r="749">
      <c r="A749" t="n">
        <v>2019</v>
      </c>
      <c r="B749" t="inlineStr">
        <is>
          <t>Q1</t>
        </is>
      </c>
      <c r="C749" t="inlineStr">
        <is>
          <t>South America</t>
        </is>
      </c>
      <c r="D749" t="inlineStr">
        <is>
          <t>Model S</t>
        </is>
      </c>
      <c r="E749" t="n">
        <v>1239</v>
      </c>
      <c r="F749" t="n">
        <v>68814.66</v>
      </c>
      <c r="G749" t="n">
        <v>40</v>
      </c>
      <c r="H749" t="inlineStr">
        <is>
          <t>Standard</t>
        </is>
      </c>
      <c r="I749" t="inlineStr">
        <is>
          <t>AWD</t>
        </is>
      </c>
      <c r="J749" t="inlineStr">
        <is>
          <t>Red</t>
        </is>
      </c>
      <c r="K749" t="n">
        <v>456</v>
      </c>
      <c r="L749" t="n">
        <v>40</v>
      </c>
      <c r="M749" t="n">
        <v>14.42</v>
      </c>
      <c r="N749" t="n">
        <v>2321.36</v>
      </c>
      <c r="O749" t="n">
        <v>4.55</v>
      </c>
      <c r="P749" t="n">
        <v>8</v>
      </c>
      <c r="Q749" t="n">
        <v>3</v>
      </c>
      <c r="R749" t="n">
        <v>2023.11</v>
      </c>
      <c r="S749" t="b">
        <v>1</v>
      </c>
      <c r="T749" t="n">
        <v>548819</v>
      </c>
      <c r="U749" t="n">
        <v>3</v>
      </c>
      <c r="V749" t="n">
        <v>0.0645</v>
      </c>
      <c r="W749" t="n">
        <v>1.99</v>
      </c>
      <c r="X749" t="n">
        <v>62.68</v>
      </c>
      <c r="Y749">
        <f>VLOOKUP(D749,$AB$2:$AC$7,2,FALSE)</f>
        <v/>
      </c>
      <c r="Z749">
        <f>IF(A749&lt;Y749,"Yes","No")</f>
        <v/>
      </c>
    </row>
    <row r="750">
      <c r="A750" t="n">
        <v>2013</v>
      </c>
      <c r="B750" t="inlineStr">
        <is>
          <t>Q4</t>
        </is>
      </c>
      <c r="C750" t="inlineStr">
        <is>
          <t>Australia</t>
        </is>
      </c>
      <c r="D750" t="inlineStr">
        <is>
          <t>Model S</t>
        </is>
      </c>
      <c r="E750" t="n">
        <v>1110</v>
      </c>
      <c r="F750" t="n">
        <v>112629.25</v>
      </c>
      <c r="G750" t="n">
        <v>2</v>
      </c>
      <c r="H750" t="inlineStr">
        <is>
          <t>Standard</t>
        </is>
      </c>
      <c r="I750" t="inlineStr">
        <is>
          <t>AWD</t>
        </is>
      </c>
      <c r="J750" t="inlineStr">
        <is>
          <t>Blue</t>
        </is>
      </c>
      <c r="K750" t="n">
        <v>419</v>
      </c>
      <c r="L750" t="n">
        <v>76</v>
      </c>
      <c r="M750" t="n">
        <v>17.12</v>
      </c>
      <c r="N750" t="n">
        <v>2203.53</v>
      </c>
      <c r="O750" t="n">
        <v>4.29</v>
      </c>
      <c r="P750" t="n">
        <v>8</v>
      </c>
      <c r="Q750" t="n">
        <v>1</v>
      </c>
      <c r="R750" t="n">
        <v>2021.1</v>
      </c>
      <c r="S750" t="b">
        <v>1</v>
      </c>
      <c r="T750" t="n">
        <v>410571</v>
      </c>
      <c r="U750" t="n">
        <v>6</v>
      </c>
      <c r="V750" t="n">
        <v>0.0615</v>
      </c>
      <c r="W750" t="n">
        <v>1.36</v>
      </c>
      <c r="X750" t="n">
        <v>70.12</v>
      </c>
      <c r="Y750">
        <f>VLOOKUP(D750,$AB$2:$AC$7,2,FALSE)</f>
        <v/>
      </c>
      <c r="Z750">
        <f>IF(A750&lt;Y750,"Yes","No")</f>
        <v/>
      </c>
    </row>
    <row r="751">
      <c r="A751" t="n">
        <v>2020</v>
      </c>
      <c r="B751" t="inlineStr">
        <is>
          <t>Q1</t>
        </is>
      </c>
      <c r="C751" t="inlineStr">
        <is>
          <t>Europe</t>
        </is>
      </c>
      <c r="D751" t="inlineStr">
        <is>
          <t>Model Y</t>
        </is>
      </c>
      <c r="E751" t="n">
        <v>2519</v>
      </c>
      <c r="F751" t="n">
        <v>101015.14</v>
      </c>
      <c r="G751" t="n">
        <v>6</v>
      </c>
      <c r="H751" t="inlineStr">
        <is>
          <t>Standard</t>
        </is>
      </c>
      <c r="I751" t="inlineStr">
        <is>
          <t>RWD</t>
        </is>
      </c>
      <c r="J751" t="inlineStr">
        <is>
          <t>Black</t>
        </is>
      </c>
      <c r="K751" t="n">
        <v>401</v>
      </c>
      <c r="L751" t="n">
        <v>35</v>
      </c>
      <c r="M751" t="n">
        <v>16.41</v>
      </c>
      <c r="N751" t="n">
        <v>5238.7</v>
      </c>
      <c r="O751" t="n">
        <v>4.52</v>
      </c>
      <c r="P751" t="n">
        <v>5</v>
      </c>
      <c r="Q751" t="n">
        <v>2</v>
      </c>
      <c r="R751" t="n">
        <v>2020.1</v>
      </c>
      <c r="S751" t="b">
        <v>0</v>
      </c>
      <c r="T751" t="n">
        <v>1229393</v>
      </c>
      <c r="U751" t="n">
        <v>4</v>
      </c>
      <c r="V751" t="n">
        <v>0.06370000000000001</v>
      </c>
      <c r="W751" t="n">
        <v>1.25</v>
      </c>
      <c r="X751" t="n">
        <v>60.51</v>
      </c>
      <c r="Y751">
        <f>VLOOKUP(D751,$AB$2:$AC$7,2,FALSE)</f>
        <v/>
      </c>
      <c r="Z751">
        <f>IF(A751&lt;Y751,"Yes","No")</f>
        <v/>
      </c>
    </row>
    <row r="752">
      <c r="A752" t="n">
        <v>2021</v>
      </c>
      <c r="B752" t="inlineStr">
        <is>
          <t>Q2</t>
        </is>
      </c>
      <c r="C752" t="inlineStr">
        <is>
          <t>Asia</t>
        </is>
      </c>
      <c r="D752" t="inlineStr">
        <is>
          <t>Model X</t>
        </is>
      </c>
      <c r="E752" t="n">
        <v>3167</v>
      </c>
      <c r="F752" t="n">
        <v>106369.92</v>
      </c>
      <c r="G752" t="n">
        <v>4</v>
      </c>
      <c r="H752" t="inlineStr">
        <is>
          <t>Performance</t>
        </is>
      </c>
      <c r="I752" t="inlineStr">
        <is>
          <t>AWD</t>
        </is>
      </c>
      <c r="J752" t="inlineStr">
        <is>
          <t>Black</t>
        </is>
      </c>
      <c r="K752" t="n">
        <v>691</v>
      </c>
      <c r="L752" t="n">
        <v>66</v>
      </c>
      <c r="M752" t="n">
        <v>20.15</v>
      </c>
      <c r="N752" t="n">
        <v>2395.54</v>
      </c>
      <c r="O752" t="n">
        <v>4.54</v>
      </c>
      <c r="P752" t="n">
        <v>8</v>
      </c>
      <c r="Q752" t="n">
        <v>0</v>
      </c>
      <c r="R752" t="n">
        <v>2020.4</v>
      </c>
      <c r="S752" t="b">
        <v>0</v>
      </c>
      <c r="T752" t="n">
        <v>1095311</v>
      </c>
      <c r="U752" t="n">
        <v>4</v>
      </c>
      <c r="V752" t="n">
        <v>0.0348</v>
      </c>
      <c r="W752" t="n">
        <v>1.35</v>
      </c>
      <c r="X752" t="n">
        <v>70.77</v>
      </c>
      <c r="Y752">
        <f>VLOOKUP(D752,$AB$2:$AC$7,2,FALSE)</f>
        <v/>
      </c>
      <c r="Z752">
        <f>IF(A752&lt;Y752,"Yes","No")</f>
        <v/>
      </c>
    </row>
    <row r="753">
      <c r="A753" t="n">
        <v>2017</v>
      </c>
      <c r="B753" t="inlineStr">
        <is>
          <t>Q3</t>
        </is>
      </c>
      <c r="C753" t="inlineStr">
        <is>
          <t>Australia</t>
        </is>
      </c>
      <c r="D753" t="inlineStr">
        <is>
          <t>Model X</t>
        </is>
      </c>
      <c r="E753" t="n">
        <v>1117</v>
      </c>
      <c r="F753" t="n">
        <v>53021.07</v>
      </c>
      <c r="G753" t="n">
        <v>1</v>
      </c>
      <c r="H753" t="inlineStr">
        <is>
          <t>Long Range</t>
        </is>
      </c>
      <c r="I753" t="inlineStr">
        <is>
          <t>AWD</t>
        </is>
      </c>
      <c r="J753" t="inlineStr">
        <is>
          <t>Green</t>
        </is>
      </c>
      <c r="K753" t="n">
        <v>429</v>
      </c>
      <c r="L753" t="n">
        <v>31</v>
      </c>
      <c r="M753" t="n">
        <v>14.69</v>
      </c>
      <c r="N753" t="n">
        <v>1634.96</v>
      </c>
      <c r="O753" t="n">
        <v>3.58</v>
      </c>
      <c r="P753" t="n">
        <v>4</v>
      </c>
      <c r="Q753" t="n">
        <v>2</v>
      </c>
      <c r="R753" t="n">
        <v>2024.3</v>
      </c>
      <c r="S753" t="b">
        <v>0</v>
      </c>
      <c r="T753" t="n">
        <v>2036147</v>
      </c>
      <c r="U753" t="n">
        <v>10</v>
      </c>
      <c r="V753" t="n">
        <v>0.0545</v>
      </c>
      <c r="W753" t="n">
        <v>0.62</v>
      </c>
      <c r="X753" t="n">
        <v>77.97</v>
      </c>
      <c r="Y753">
        <f>VLOOKUP(D753,$AB$2:$AC$7,2,FALSE)</f>
        <v/>
      </c>
      <c r="Z753">
        <f>IF(A753&lt;Y753,"Yes","No")</f>
        <v/>
      </c>
    </row>
    <row r="754">
      <c r="A754" t="n">
        <v>2012</v>
      </c>
      <c r="B754" t="inlineStr">
        <is>
          <t>Q4</t>
        </is>
      </c>
      <c r="C754" t="inlineStr">
        <is>
          <t>North America</t>
        </is>
      </c>
      <c r="D754" t="inlineStr">
        <is>
          <t>Model Y</t>
        </is>
      </c>
      <c r="E754" t="n">
        <v>3541</v>
      </c>
      <c r="F754" t="n">
        <v>108266.96</v>
      </c>
      <c r="G754" t="n">
        <v>1</v>
      </c>
      <c r="H754" t="inlineStr">
        <is>
          <t>Long Range</t>
        </is>
      </c>
      <c r="I754" t="inlineStr">
        <is>
          <t>AWD</t>
        </is>
      </c>
      <c r="J754" t="inlineStr">
        <is>
          <t>Black</t>
        </is>
      </c>
      <c r="K754" t="n">
        <v>414</v>
      </c>
      <c r="L754" t="n">
        <v>85</v>
      </c>
      <c r="M754" t="n">
        <v>16.38</v>
      </c>
      <c r="N754" t="n">
        <v>6374.47</v>
      </c>
      <c r="O754" t="n">
        <v>4.85</v>
      </c>
      <c r="P754" t="n">
        <v>6</v>
      </c>
      <c r="Q754" t="n">
        <v>2</v>
      </c>
      <c r="R754" t="n">
        <v>2022.3</v>
      </c>
      <c r="S754" t="b">
        <v>1</v>
      </c>
      <c r="T754" t="n">
        <v>1960902</v>
      </c>
      <c r="U754" t="n">
        <v>6</v>
      </c>
      <c r="V754" t="n">
        <v>0.0129</v>
      </c>
      <c r="W754" t="n">
        <v>0.62</v>
      </c>
      <c r="X754" t="n">
        <v>60.51</v>
      </c>
      <c r="Y754">
        <f>VLOOKUP(D754,$AB$2:$AC$7,2,FALSE)</f>
        <v/>
      </c>
      <c r="Z754">
        <f>IF(A754&lt;Y754,"Yes","No")</f>
        <v/>
      </c>
    </row>
    <row r="755">
      <c r="A755" t="n">
        <v>2017</v>
      </c>
      <c r="B755" t="inlineStr">
        <is>
          <t>Q4</t>
        </is>
      </c>
      <c r="C755" t="inlineStr">
        <is>
          <t>Australia</t>
        </is>
      </c>
      <c r="D755" t="inlineStr">
        <is>
          <t>Cybertruck</t>
        </is>
      </c>
      <c r="E755" t="n">
        <v>3748</v>
      </c>
      <c r="F755" t="n">
        <v>66328.12</v>
      </c>
      <c r="G755" t="n">
        <v>57</v>
      </c>
      <c r="H755" t="inlineStr">
        <is>
          <t>Long Range</t>
        </is>
      </c>
      <c r="I755" t="inlineStr">
        <is>
          <t>AWD</t>
        </is>
      </c>
      <c r="J755" t="inlineStr">
        <is>
          <t>White</t>
        </is>
      </c>
      <c r="K755" t="n">
        <v>576</v>
      </c>
      <c r="L755" t="n">
        <v>67</v>
      </c>
      <c r="M755" t="n">
        <v>21.12</v>
      </c>
      <c r="N755" t="n">
        <v>9355.299999999999</v>
      </c>
      <c r="O755" t="n">
        <v>4.06</v>
      </c>
      <c r="P755" t="n">
        <v>8</v>
      </c>
      <c r="Q755" t="n">
        <v>1</v>
      </c>
      <c r="R755" t="n">
        <v>2021.5</v>
      </c>
      <c r="S755" t="b">
        <v>0</v>
      </c>
      <c r="T755" t="n">
        <v>992757</v>
      </c>
      <c r="U755" t="n">
        <v>4</v>
      </c>
      <c r="V755" t="n">
        <v>0.0853</v>
      </c>
      <c r="W755" t="n">
        <v>1</v>
      </c>
      <c r="X755" t="n">
        <v>73.03</v>
      </c>
      <c r="Y755">
        <f>VLOOKUP(D755,$AB$2:$AC$7,2,FALSE)</f>
        <v/>
      </c>
      <c r="Z755">
        <f>IF(A755&lt;Y755,"Yes","No")</f>
        <v/>
      </c>
    </row>
    <row r="756">
      <c r="A756" t="n">
        <v>2013</v>
      </c>
      <c r="B756" t="inlineStr">
        <is>
          <t>Q1</t>
        </is>
      </c>
      <c r="C756" t="inlineStr">
        <is>
          <t>South America</t>
        </is>
      </c>
      <c r="D756" t="inlineStr">
        <is>
          <t>Model S</t>
        </is>
      </c>
      <c r="E756" t="n">
        <v>1020</v>
      </c>
      <c r="F756" t="n">
        <v>102767.02</v>
      </c>
      <c r="G756" t="n">
        <v>32</v>
      </c>
      <c r="H756" t="inlineStr">
        <is>
          <t>Standard</t>
        </is>
      </c>
      <c r="I756" t="inlineStr">
        <is>
          <t>AWD</t>
        </is>
      </c>
      <c r="J756" t="inlineStr">
        <is>
          <t>Black</t>
        </is>
      </c>
      <c r="K756" t="n">
        <v>363</v>
      </c>
      <c r="L756" t="n">
        <v>81</v>
      </c>
      <c r="M756" t="n">
        <v>23.94</v>
      </c>
      <c r="N756" t="n">
        <v>2126.76</v>
      </c>
      <c r="O756" t="n">
        <v>4.33</v>
      </c>
      <c r="P756" t="n">
        <v>4</v>
      </c>
      <c r="Q756" t="n">
        <v>3</v>
      </c>
      <c r="R756" t="n">
        <v>2023.5</v>
      </c>
      <c r="S756" t="b">
        <v>1</v>
      </c>
      <c r="T756" t="n">
        <v>4201896</v>
      </c>
      <c r="U756" t="n">
        <v>4</v>
      </c>
      <c r="V756" t="n">
        <v>0.0481</v>
      </c>
      <c r="W756" t="n">
        <v>0.59</v>
      </c>
      <c r="X756" t="n">
        <v>60.39</v>
      </c>
      <c r="Y756">
        <f>VLOOKUP(D756,$AB$2:$AC$7,2,FALSE)</f>
        <v/>
      </c>
      <c r="Z756">
        <f>IF(A756&lt;Y756,"Yes","No")</f>
        <v/>
      </c>
    </row>
    <row r="757">
      <c r="A757" t="n">
        <v>2013</v>
      </c>
      <c r="B757" t="inlineStr">
        <is>
          <t>Q3</t>
        </is>
      </c>
      <c r="C757" t="inlineStr">
        <is>
          <t>Australia</t>
        </is>
      </c>
      <c r="D757" t="inlineStr">
        <is>
          <t>Model S</t>
        </is>
      </c>
      <c r="E757" t="n">
        <v>1263</v>
      </c>
      <c r="F757" t="n">
        <v>85383.53</v>
      </c>
      <c r="G757" t="n">
        <v>55</v>
      </c>
      <c r="H757" t="inlineStr">
        <is>
          <t>Performance</t>
        </is>
      </c>
      <c r="I757" t="inlineStr">
        <is>
          <t>AWD</t>
        </is>
      </c>
      <c r="J757" t="inlineStr">
        <is>
          <t>White</t>
        </is>
      </c>
      <c r="K757" t="n">
        <v>381</v>
      </c>
      <c r="L757" t="n">
        <v>59</v>
      </c>
      <c r="M757" t="n">
        <v>14.01</v>
      </c>
      <c r="N757" t="n">
        <v>1915.63</v>
      </c>
      <c r="O757" t="n">
        <v>4.11</v>
      </c>
      <c r="P757" t="n">
        <v>4</v>
      </c>
      <c r="Q757" t="n">
        <v>1</v>
      </c>
      <c r="R757" t="n">
        <v>2020.8</v>
      </c>
      <c r="S757" t="b">
        <v>1</v>
      </c>
      <c r="T757" t="n">
        <v>2886186</v>
      </c>
      <c r="U757" t="n">
        <v>3</v>
      </c>
      <c r="V757" t="n">
        <v>0.09719999999999999</v>
      </c>
      <c r="W757" t="n">
        <v>2.13</v>
      </c>
      <c r="X757" t="n">
        <v>68.63</v>
      </c>
      <c r="Y757">
        <f>VLOOKUP(D757,$AB$2:$AC$7,2,FALSE)</f>
        <v/>
      </c>
      <c r="Z757">
        <f>IF(A757&lt;Y757,"Yes","No")</f>
        <v/>
      </c>
    </row>
    <row r="758">
      <c r="A758" t="n">
        <v>2020</v>
      </c>
      <c r="B758" t="inlineStr">
        <is>
          <t>Q3</t>
        </is>
      </c>
      <c r="C758" t="inlineStr">
        <is>
          <t>Australia</t>
        </is>
      </c>
      <c r="D758" t="inlineStr">
        <is>
          <t>Model X</t>
        </is>
      </c>
      <c r="E758" t="n">
        <v>1684</v>
      </c>
      <c r="F758" t="n">
        <v>103087.26</v>
      </c>
      <c r="G758" t="n">
        <v>11</v>
      </c>
      <c r="H758" t="inlineStr">
        <is>
          <t>Standard</t>
        </is>
      </c>
      <c r="I758" t="inlineStr">
        <is>
          <t>AWD</t>
        </is>
      </c>
      <c r="J758" t="inlineStr">
        <is>
          <t>Red</t>
        </is>
      </c>
      <c r="K758" t="n">
        <v>358</v>
      </c>
      <c r="L758" t="n">
        <v>66</v>
      </c>
      <c r="M758" t="n">
        <v>18.22</v>
      </c>
      <c r="N758" t="n">
        <v>2017.21</v>
      </c>
      <c r="O758" t="n">
        <v>4.79</v>
      </c>
      <c r="P758" t="n">
        <v>6</v>
      </c>
      <c r="Q758" t="n">
        <v>3</v>
      </c>
      <c r="R758" t="n">
        <v>2023.12</v>
      </c>
      <c r="S758" t="b">
        <v>0</v>
      </c>
      <c r="T758" t="n">
        <v>2228698</v>
      </c>
      <c r="U758" t="n">
        <v>9</v>
      </c>
      <c r="V758" t="n">
        <v>0.0127</v>
      </c>
      <c r="W758" t="n">
        <v>0.74</v>
      </c>
      <c r="X758" t="n">
        <v>60.16</v>
      </c>
      <c r="Y758">
        <f>VLOOKUP(D758,$AB$2:$AC$7,2,FALSE)</f>
        <v/>
      </c>
      <c r="Z758">
        <f>IF(A758&lt;Y758,"Yes","No")</f>
        <v/>
      </c>
    </row>
    <row r="759">
      <c r="A759" t="n">
        <v>2015</v>
      </c>
      <c r="B759" t="inlineStr">
        <is>
          <t>Q2</t>
        </is>
      </c>
      <c r="C759" t="inlineStr">
        <is>
          <t>South America</t>
        </is>
      </c>
      <c r="D759" t="inlineStr">
        <is>
          <t>Model Y</t>
        </is>
      </c>
      <c r="E759" t="n">
        <v>1332</v>
      </c>
      <c r="F759" t="n">
        <v>104919.76</v>
      </c>
      <c r="G759" t="n">
        <v>58</v>
      </c>
      <c r="H759" t="inlineStr">
        <is>
          <t>Long Range</t>
        </is>
      </c>
      <c r="I759" t="inlineStr">
        <is>
          <t>RWD</t>
        </is>
      </c>
      <c r="J759" t="inlineStr">
        <is>
          <t>Blue</t>
        </is>
      </c>
      <c r="K759" t="n">
        <v>551</v>
      </c>
      <c r="L759" t="n">
        <v>57</v>
      </c>
      <c r="M759" t="n">
        <v>22.88</v>
      </c>
      <c r="N759" t="n">
        <v>876.28</v>
      </c>
      <c r="O759" t="n">
        <v>4.38</v>
      </c>
      <c r="P759" t="n">
        <v>5</v>
      </c>
      <c r="Q759" t="n">
        <v>1</v>
      </c>
      <c r="R759" t="n">
        <v>2023.1</v>
      </c>
      <c r="S759" t="b">
        <v>1</v>
      </c>
      <c r="T759" t="n">
        <v>583023</v>
      </c>
      <c r="U759" t="n">
        <v>6</v>
      </c>
      <c r="V759" t="n">
        <v>0.0463</v>
      </c>
      <c r="W759" t="n">
        <v>1.35</v>
      </c>
      <c r="X759" t="n">
        <v>69.31999999999999</v>
      </c>
      <c r="Y759">
        <f>VLOOKUP(D759,$AB$2:$AC$7,2,FALSE)</f>
        <v/>
      </c>
      <c r="Z759">
        <f>IF(A759&lt;Y759,"Yes","No")</f>
        <v/>
      </c>
    </row>
    <row r="760">
      <c r="A760" t="n">
        <v>2017</v>
      </c>
      <c r="B760" t="inlineStr">
        <is>
          <t>Q1</t>
        </is>
      </c>
      <c r="C760" t="inlineStr">
        <is>
          <t>North America</t>
        </is>
      </c>
      <c r="D760" t="inlineStr">
        <is>
          <t>Model S</t>
        </is>
      </c>
      <c r="E760" t="n">
        <v>464</v>
      </c>
      <c r="F760" t="n">
        <v>72989.17</v>
      </c>
      <c r="G760" t="n">
        <v>31</v>
      </c>
      <c r="H760" t="inlineStr">
        <is>
          <t>Performance</t>
        </is>
      </c>
      <c r="I760" t="inlineStr">
        <is>
          <t>RWD</t>
        </is>
      </c>
      <c r="J760" t="inlineStr">
        <is>
          <t>Red</t>
        </is>
      </c>
      <c r="K760" t="n">
        <v>479</v>
      </c>
      <c r="L760" t="n">
        <v>32</v>
      </c>
      <c r="M760" t="n">
        <v>13.24</v>
      </c>
      <c r="N760" t="n">
        <v>839.9400000000001</v>
      </c>
      <c r="O760" t="n">
        <v>4.38</v>
      </c>
      <c r="P760" t="n">
        <v>4</v>
      </c>
      <c r="Q760" t="n">
        <v>2</v>
      </c>
      <c r="R760" t="n">
        <v>2024.1</v>
      </c>
      <c r="S760" t="b">
        <v>0</v>
      </c>
      <c r="T760" t="n">
        <v>2191200</v>
      </c>
      <c r="U760" t="n">
        <v>12</v>
      </c>
      <c r="V760" t="n">
        <v>0.0998</v>
      </c>
      <c r="W760" t="n">
        <v>0.63</v>
      </c>
      <c r="X760" t="n">
        <v>83.53</v>
      </c>
      <c r="Y760">
        <f>VLOOKUP(D760,$AB$2:$AC$7,2,FALSE)</f>
        <v/>
      </c>
      <c r="Z760">
        <f>IF(A760&lt;Y760,"Yes","No")</f>
        <v/>
      </c>
    </row>
    <row r="761">
      <c r="A761" t="n">
        <v>2012</v>
      </c>
      <c r="B761" t="inlineStr">
        <is>
          <t>Q3</t>
        </is>
      </c>
      <c r="C761" t="inlineStr">
        <is>
          <t>South America</t>
        </is>
      </c>
      <c r="D761" t="inlineStr">
        <is>
          <t>Cybertruck</t>
        </is>
      </c>
      <c r="E761" t="n">
        <v>4161</v>
      </c>
      <c r="F761" t="n">
        <v>38221.31</v>
      </c>
      <c r="G761" t="n">
        <v>37</v>
      </c>
      <c r="H761" t="inlineStr">
        <is>
          <t>Long Range</t>
        </is>
      </c>
      <c r="I761" t="inlineStr">
        <is>
          <t>RWD</t>
        </is>
      </c>
      <c r="J761" t="inlineStr">
        <is>
          <t>Blue</t>
        </is>
      </c>
      <c r="K761" t="n">
        <v>660</v>
      </c>
      <c r="L761" t="n">
        <v>63</v>
      </c>
      <c r="M761" t="n">
        <v>24.88</v>
      </c>
      <c r="N761" t="n">
        <v>7397.27</v>
      </c>
      <c r="O761" t="n">
        <v>4.47</v>
      </c>
      <c r="P761" t="n">
        <v>5</v>
      </c>
      <c r="Q761" t="n">
        <v>3</v>
      </c>
      <c r="R761" t="n">
        <v>2024.8</v>
      </c>
      <c r="S761" t="b">
        <v>1</v>
      </c>
      <c r="T761" t="n">
        <v>3577717</v>
      </c>
      <c r="U761" t="n">
        <v>8</v>
      </c>
      <c r="V761" t="n">
        <v>0.0643</v>
      </c>
      <c r="W761" t="n">
        <v>2</v>
      </c>
      <c r="X761" t="n">
        <v>63.06</v>
      </c>
      <c r="Y761">
        <f>VLOOKUP(D761,$AB$2:$AC$7,2,FALSE)</f>
        <v/>
      </c>
      <c r="Z761">
        <f>IF(A761&lt;Y761,"Yes","No")</f>
        <v/>
      </c>
    </row>
    <row r="762">
      <c r="A762" t="n">
        <v>2018</v>
      </c>
      <c r="B762" t="inlineStr">
        <is>
          <t>Q1</t>
        </is>
      </c>
      <c r="C762" t="inlineStr">
        <is>
          <t>Europe</t>
        </is>
      </c>
      <c r="D762" t="inlineStr">
        <is>
          <t>Model 3</t>
        </is>
      </c>
      <c r="E762" t="n">
        <v>4022</v>
      </c>
      <c r="F762" t="n">
        <v>59365.68</v>
      </c>
      <c r="G762" t="n">
        <v>3</v>
      </c>
      <c r="H762" t="inlineStr">
        <is>
          <t>Long Range</t>
        </is>
      </c>
      <c r="I762" t="inlineStr">
        <is>
          <t>RWD</t>
        </is>
      </c>
      <c r="J762" t="inlineStr">
        <is>
          <t>Silver</t>
        </is>
      </c>
      <c r="K762" t="n">
        <v>486</v>
      </c>
      <c r="L762" t="n">
        <v>45</v>
      </c>
      <c r="M762" t="n">
        <v>15.8</v>
      </c>
      <c r="N762" t="n">
        <v>3412.23</v>
      </c>
      <c r="O762" t="n">
        <v>3.98</v>
      </c>
      <c r="P762" t="n">
        <v>5</v>
      </c>
      <c r="Q762" t="n">
        <v>1</v>
      </c>
      <c r="R762" t="n">
        <v>2024.11</v>
      </c>
      <c r="S762" t="b">
        <v>0</v>
      </c>
      <c r="T762" t="n">
        <v>4989417</v>
      </c>
      <c r="U762" t="n">
        <v>11</v>
      </c>
      <c r="V762" t="n">
        <v>0.0921</v>
      </c>
      <c r="W762" t="n">
        <v>2.49</v>
      </c>
      <c r="X762" t="n">
        <v>73.38</v>
      </c>
      <c r="Y762">
        <f>VLOOKUP(D762,$AB$2:$AC$7,2,FALSE)</f>
        <v/>
      </c>
      <c r="Z762">
        <f>IF(A762&lt;Y762,"Yes","No")</f>
        <v/>
      </c>
    </row>
    <row r="763">
      <c r="A763" t="n">
        <v>2012</v>
      </c>
      <c r="B763" t="inlineStr">
        <is>
          <t>Q1</t>
        </is>
      </c>
      <c r="C763" t="inlineStr">
        <is>
          <t>Asia</t>
        </is>
      </c>
      <c r="D763" t="inlineStr">
        <is>
          <t>Model 3</t>
        </is>
      </c>
      <c r="E763" t="n">
        <v>3579</v>
      </c>
      <c r="F763" t="n">
        <v>107090.33</v>
      </c>
      <c r="G763" t="n">
        <v>42</v>
      </c>
      <c r="H763" t="inlineStr">
        <is>
          <t>Standard</t>
        </is>
      </c>
      <c r="I763" t="inlineStr">
        <is>
          <t>AWD</t>
        </is>
      </c>
      <c r="J763" t="inlineStr">
        <is>
          <t>Black</t>
        </is>
      </c>
      <c r="K763" t="n">
        <v>589</v>
      </c>
      <c r="L763" t="n">
        <v>33</v>
      </c>
      <c r="M763" t="n">
        <v>19.19</v>
      </c>
      <c r="N763" t="n">
        <v>7657.73</v>
      </c>
      <c r="O763" t="n">
        <v>4.31</v>
      </c>
      <c r="P763" t="n">
        <v>5</v>
      </c>
      <c r="Q763" t="n">
        <v>0</v>
      </c>
      <c r="R763" t="n">
        <v>2020.7</v>
      </c>
      <c r="S763" t="b">
        <v>1</v>
      </c>
      <c r="T763" t="n">
        <v>1428407</v>
      </c>
      <c r="U763" t="n">
        <v>12</v>
      </c>
      <c r="V763" t="n">
        <v>0.0699</v>
      </c>
      <c r="W763" t="n">
        <v>0.55</v>
      </c>
      <c r="X763" t="n">
        <v>84.09999999999999</v>
      </c>
      <c r="Y763">
        <f>VLOOKUP(D763,$AB$2:$AC$7,2,FALSE)</f>
        <v/>
      </c>
      <c r="Z763">
        <f>IF(A763&lt;Y763,"Yes","No")</f>
        <v/>
      </c>
    </row>
    <row r="764">
      <c r="A764" t="n">
        <v>2022</v>
      </c>
      <c r="B764" t="inlineStr">
        <is>
          <t>Q3</t>
        </is>
      </c>
      <c r="C764" t="inlineStr">
        <is>
          <t>North America</t>
        </is>
      </c>
      <c r="D764" t="inlineStr">
        <is>
          <t>Cybertruck</t>
        </is>
      </c>
      <c r="E764" t="n">
        <v>735</v>
      </c>
      <c r="F764" t="n">
        <v>54992.91</v>
      </c>
      <c r="G764" t="n">
        <v>43</v>
      </c>
      <c r="H764" t="inlineStr">
        <is>
          <t>Performance</t>
        </is>
      </c>
      <c r="I764" t="inlineStr">
        <is>
          <t>RWD</t>
        </is>
      </c>
      <c r="J764" t="inlineStr">
        <is>
          <t>Black</t>
        </is>
      </c>
      <c r="K764" t="n">
        <v>407</v>
      </c>
      <c r="L764" t="n">
        <v>35</v>
      </c>
      <c r="M764" t="n">
        <v>24.71</v>
      </c>
      <c r="N764" t="n">
        <v>1782.4</v>
      </c>
      <c r="O764" t="n">
        <v>4.6</v>
      </c>
      <c r="P764" t="n">
        <v>6</v>
      </c>
      <c r="Q764" t="n">
        <v>0</v>
      </c>
      <c r="R764" t="n">
        <v>2020.9</v>
      </c>
      <c r="S764" t="b">
        <v>0</v>
      </c>
      <c r="T764" t="n">
        <v>2281337</v>
      </c>
      <c r="U764" t="n">
        <v>6</v>
      </c>
      <c r="V764" t="n">
        <v>0.0582</v>
      </c>
      <c r="W764" t="n">
        <v>0.82</v>
      </c>
      <c r="X764" t="n">
        <v>63.61</v>
      </c>
      <c r="Y764">
        <f>VLOOKUP(D764,$AB$2:$AC$7,2,FALSE)</f>
        <v/>
      </c>
      <c r="Z764">
        <f>IF(A764&lt;Y764,"Yes","No")</f>
        <v/>
      </c>
    </row>
    <row r="765">
      <c r="A765" t="n">
        <v>2017</v>
      </c>
      <c r="B765" t="inlineStr">
        <is>
          <t>Q2</t>
        </is>
      </c>
      <c r="C765" t="inlineStr">
        <is>
          <t>South America</t>
        </is>
      </c>
      <c r="D765" t="inlineStr">
        <is>
          <t>Model Y</t>
        </is>
      </c>
      <c r="E765" t="n">
        <v>4202</v>
      </c>
      <c r="F765" t="n">
        <v>66772.94</v>
      </c>
      <c r="G765" t="n">
        <v>59</v>
      </c>
      <c r="H765" t="inlineStr">
        <is>
          <t>Standard</t>
        </is>
      </c>
      <c r="I765" t="inlineStr">
        <is>
          <t>AWD</t>
        </is>
      </c>
      <c r="J765" t="inlineStr">
        <is>
          <t>Red</t>
        </is>
      </c>
      <c r="K765" t="n">
        <v>363</v>
      </c>
      <c r="L765" t="n">
        <v>46</v>
      </c>
      <c r="M765" t="n">
        <v>19.48</v>
      </c>
      <c r="N765" t="n">
        <v>5620.49</v>
      </c>
      <c r="O765" t="n">
        <v>3.98</v>
      </c>
      <c r="P765" t="n">
        <v>4</v>
      </c>
      <c r="Q765" t="n">
        <v>1</v>
      </c>
      <c r="R765" t="n">
        <v>2021.7</v>
      </c>
      <c r="S765" t="b">
        <v>1</v>
      </c>
      <c r="T765" t="n">
        <v>2612855</v>
      </c>
      <c r="U765" t="n">
        <v>11</v>
      </c>
      <c r="V765" t="n">
        <v>0.0463</v>
      </c>
      <c r="W765" t="n">
        <v>2.03</v>
      </c>
      <c r="X765" t="n">
        <v>80.04000000000001</v>
      </c>
      <c r="Y765">
        <f>VLOOKUP(D765,$AB$2:$AC$7,2,FALSE)</f>
        <v/>
      </c>
      <c r="Z765">
        <f>IF(A765&lt;Y765,"Yes","No")</f>
        <v/>
      </c>
    </row>
    <row r="766">
      <c r="A766" t="n">
        <v>2014</v>
      </c>
      <c r="B766" t="inlineStr">
        <is>
          <t>Q4</t>
        </is>
      </c>
      <c r="C766" t="inlineStr">
        <is>
          <t>South America</t>
        </is>
      </c>
      <c r="D766" t="inlineStr">
        <is>
          <t>Model X</t>
        </is>
      </c>
      <c r="E766" t="n">
        <v>1404</v>
      </c>
      <c r="F766" t="n">
        <v>85991.64999999999</v>
      </c>
      <c r="G766" t="n">
        <v>27</v>
      </c>
      <c r="H766" t="inlineStr">
        <is>
          <t>Performance</t>
        </is>
      </c>
      <c r="I766" t="inlineStr">
        <is>
          <t>AWD</t>
        </is>
      </c>
      <c r="J766" t="inlineStr">
        <is>
          <t>Blue</t>
        </is>
      </c>
      <c r="K766" t="n">
        <v>550</v>
      </c>
      <c r="L766" t="n">
        <v>67</v>
      </c>
      <c r="M766" t="n">
        <v>24.32</v>
      </c>
      <c r="N766" t="n">
        <v>2584.14</v>
      </c>
      <c r="O766" t="n">
        <v>4.77</v>
      </c>
      <c r="P766" t="n">
        <v>4</v>
      </c>
      <c r="Q766" t="n">
        <v>2</v>
      </c>
      <c r="R766" t="n">
        <v>2020.1</v>
      </c>
      <c r="S766" t="b">
        <v>0</v>
      </c>
      <c r="T766" t="n">
        <v>2023820</v>
      </c>
      <c r="U766" t="n">
        <v>3</v>
      </c>
      <c r="V766" t="n">
        <v>0.0333</v>
      </c>
      <c r="W766" t="n">
        <v>2.08</v>
      </c>
      <c r="X766" t="n">
        <v>83.7</v>
      </c>
      <c r="Y766">
        <f>VLOOKUP(D766,$AB$2:$AC$7,2,FALSE)</f>
        <v/>
      </c>
      <c r="Z766">
        <f>IF(A766&lt;Y766,"Yes","No")</f>
        <v/>
      </c>
    </row>
    <row r="767">
      <c r="A767" t="n">
        <v>2018</v>
      </c>
      <c r="B767" t="inlineStr">
        <is>
          <t>Q1</t>
        </is>
      </c>
      <c r="C767" t="inlineStr">
        <is>
          <t>Asia</t>
        </is>
      </c>
      <c r="D767" t="inlineStr">
        <is>
          <t>Model Y</t>
        </is>
      </c>
      <c r="E767" t="n">
        <v>410</v>
      </c>
      <c r="F767" t="n">
        <v>77020.22</v>
      </c>
      <c r="G767" t="n">
        <v>35</v>
      </c>
      <c r="H767" t="inlineStr">
        <is>
          <t>Performance</t>
        </is>
      </c>
      <c r="I767" t="inlineStr">
        <is>
          <t>AWD</t>
        </is>
      </c>
      <c r="J767" t="inlineStr">
        <is>
          <t>Black</t>
        </is>
      </c>
      <c r="K767" t="n">
        <v>599</v>
      </c>
      <c r="L767" t="n">
        <v>48</v>
      </c>
      <c r="M767" t="n">
        <v>21.09</v>
      </c>
      <c r="N767" t="n">
        <v>867.95</v>
      </c>
      <c r="O767" t="n">
        <v>4.33</v>
      </c>
      <c r="P767" t="n">
        <v>5</v>
      </c>
      <c r="Q767" t="n">
        <v>2</v>
      </c>
      <c r="R767" t="n">
        <v>2023.6</v>
      </c>
      <c r="S767" t="b">
        <v>1</v>
      </c>
      <c r="T767" t="n">
        <v>3960768</v>
      </c>
      <c r="U767" t="n">
        <v>11</v>
      </c>
      <c r="V767" t="n">
        <v>0.0818</v>
      </c>
      <c r="W767" t="n">
        <v>2.11</v>
      </c>
      <c r="X767" t="n">
        <v>80.09999999999999</v>
      </c>
      <c r="Y767">
        <f>VLOOKUP(D767,$AB$2:$AC$7,2,FALSE)</f>
        <v/>
      </c>
      <c r="Z767">
        <f>IF(A767&lt;Y767,"Yes","No")</f>
        <v/>
      </c>
    </row>
    <row r="768">
      <c r="A768" t="n">
        <v>2018</v>
      </c>
      <c r="B768" t="inlineStr">
        <is>
          <t>Q2</t>
        </is>
      </c>
      <c r="C768" t="inlineStr">
        <is>
          <t>Asia</t>
        </is>
      </c>
      <c r="D768" t="inlineStr">
        <is>
          <t>Semi</t>
        </is>
      </c>
      <c r="E768" t="n">
        <v>420</v>
      </c>
      <c r="F768" t="n">
        <v>110205.23</v>
      </c>
      <c r="G768" t="n">
        <v>59</v>
      </c>
      <c r="H768" t="inlineStr">
        <is>
          <t>Long Range</t>
        </is>
      </c>
      <c r="I768" t="inlineStr">
        <is>
          <t>RWD</t>
        </is>
      </c>
      <c r="J768" t="inlineStr">
        <is>
          <t>Silver</t>
        </is>
      </c>
      <c r="K768" t="n">
        <v>542</v>
      </c>
      <c r="L768" t="n">
        <v>54</v>
      </c>
      <c r="M768" t="n">
        <v>19.56</v>
      </c>
      <c r="N768" t="n">
        <v>815.1</v>
      </c>
      <c r="O768" t="n">
        <v>4.9</v>
      </c>
      <c r="P768" t="n">
        <v>8</v>
      </c>
      <c r="Q768" t="n">
        <v>0</v>
      </c>
      <c r="R768" t="n">
        <v>2022.8</v>
      </c>
      <c r="S768" t="b">
        <v>0</v>
      </c>
      <c r="T768" t="n">
        <v>1372462</v>
      </c>
      <c r="U768" t="n">
        <v>3</v>
      </c>
      <c r="V768" t="n">
        <v>0.05</v>
      </c>
      <c r="W768" t="n">
        <v>0.8100000000000001</v>
      </c>
      <c r="X768" t="n">
        <v>70.14</v>
      </c>
      <c r="Y768">
        <f>VLOOKUP(D768,$AB$2:$AC$7,2,FALSE)</f>
        <v/>
      </c>
      <c r="Z768">
        <f>IF(A768&lt;Y768,"Yes","No")</f>
        <v/>
      </c>
    </row>
    <row r="769">
      <c r="A769" t="n">
        <v>2018</v>
      </c>
      <c r="B769" t="inlineStr">
        <is>
          <t>Q2</t>
        </is>
      </c>
      <c r="C769" t="inlineStr">
        <is>
          <t>Europe</t>
        </is>
      </c>
      <c r="D769" t="inlineStr">
        <is>
          <t>Model X</t>
        </is>
      </c>
      <c r="E769" t="n">
        <v>4801</v>
      </c>
      <c r="F769" t="n">
        <v>99604.17999999999</v>
      </c>
      <c r="G769" t="n">
        <v>52</v>
      </c>
      <c r="H769" t="inlineStr">
        <is>
          <t>Performance</t>
        </is>
      </c>
      <c r="I769" t="inlineStr">
        <is>
          <t>RWD</t>
        </is>
      </c>
      <c r="J769" t="inlineStr">
        <is>
          <t>White</t>
        </is>
      </c>
      <c r="K769" t="n">
        <v>627</v>
      </c>
      <c r="L769" t="n">
        <v>64</v>
      </c>
      <c r="M769" t="n">
        <v>14.5</v>
      </c>
      <c r="N769" t="n">
        <v>7225.82</v>
      </c>
      <c r="O769" t="n">
        <v>4.36</v>
      </c>
      <c r="P769" t="n">
        <v>5</v>
      </c>
      <c r="Q769" t="n">
        <v>2</v>
      </c>
      <c r="R769" t="n">
        <v>2024.7</v>
      </c>
      <c r="S769" t="b">
        <v>1</v>
      </c>
      <c r="T769" t="n">
        <v>444670</v>
      </c>
      <c r="U769" t="n">
        <v>8</v>
      </c>
      <c r="V769" t="n">
        <v>0.0224</v>
      </c>
      <c r="W769" t="n">
        <v>1.02</v>
      </c>
      <c r="X769" t="n">
        <v>74.39</v>
      </c>
      <c r="Y769">
        <f>VLOOKUP(D769,$AB$2:$AC$7,2,FALSE)</f>
        <v/>
      </c>
      <c r="Z769">
        <f>IF(A769&lt;Y769,"Yes","No")</f>
        <v/>
      </c>
    </row>
    <row r="770">
      <c r="A770" t="n">
        <v>2024</v>
      </c>
      <c r="B770" t="inlineStr">
        <is>
          <t>Q4</t>
        </is>
      </c>
      <c r="C770" t="inlineStr">
        <is>
          <t>South America</t>
        </is>
      </c>
      <c r="D770" t="inlineStr">
        <is>
          <t>Cybertruck</t>
        </is>
      </c>
      <c r="E770" t="n">
        <v>608</v>
      </c>
      <c r="F770" t="n">
        <v>71117.73</v>
      </c>
      <c r="G770" t="n">
        <v>39</v>
      </c>
      <c r="H770" t="inlineStr">
        <is>
          <t>Standard</t>
        </is>
      </c>
      <c r="I770" t="inlineStr">
        <is>
          <t>AWD</t>
        </is>
      </c>
      <c r="J770" t="inlineStr">
        <is>
          <t>White</t>
        </is>
      </c>
      <c r="K770" t="n">
        <v>387</v>
      </c>
      <c r="L770" t="n">
        <v>43</v>
      </c>
      <c r="M770" t="n">
        <v>24.98</v>
      </c>
      <c r="N770" t="n">
        <v>441.34</v>
      </c>
      <c r="O770" t="n">
        <v>4.84</v>
      </c>
      <c r="P770" t="n">
        <v>5</v>
      </c>
      <c r="Q770" t="n">
        <v>2</v>
      </c>
      <c r="R770" t="n">
        <v>2024.11</v>
      </c>
      <c r="S770" t="b">
        <v>1</v>
      </c>
      <c r="T770" t="n">
        <v>1816066</v>
      </c>
      <c r="U770" t="n">
        <v>8</v>
      </c>
      <c r="V770" t="n">
        <v>0.0197</v>
      </c>
      <c r="W770" t="n">
        <v>0.93</v>
      </c>
      <c r="X770" t="n">
        <v>81.59</v>
      </c>
      <c r="Y770">
        <f>VLOOKUP(D770,$AB$2:$AC$7,2,FALSE)</f>
        <v/>
      </c>
      <c r="Z770">
        <f>IF(A770&lt;Y770,"Yes","No")</f>
        <v/>
      </c>
    </row>
    <row r="771">
      <c r="A771" t="n">
        <v>2012</v>
      </c>
      <c r="B771" t="inlineStr">
        <is>
          <t>Q3</t>
        </is>
      </c>
      <c r="C771" t="inlineStr">
        <is>
          <t>Europe</t>
        </is>
      </c>
      <c r="D771" t="inlineStr">
        <is>
          <t>Model 3</t>
        </is>
      </c>
      <c r="E771" t="n">
        <v>408</v>
      </c>
      <c r="F771" t="n">
        <v>113059.8</v>
      </c>
      <c r="G771" t="n">
        <v>20</v>
      </c>
      <c r="H771" t="inlineStr">
        <is>
          <t>Performance</t>
        </is>
      </c>
      <c r="I771" t="inlineStr">
        <is>
          <t>AWD</t>
        </is>
      </c>
      <c r="J771" t="inlineStr">
        <is>
          <t>Blue</t>
        </is>
      </c>
      <c r="K771" t="n">
        <v>520</v>
      </c>
      <c r="L771" t="n">
        <v>79</v>
      </c>
      <c r="M771" t="n">
        <v>22.96</v>
      </c>
      <c r="N771" t="n">
        <v>221.9</v>
      </c>
      <c r="O771" t="n">
        <v>3.75</v>
      </c>
      <c r="P771" t="n">
        <v>6</v>
      </c>
      <c r="Q771" t="n">
        <v>2</v>
      </c>
      <c r="R771" t="n">
        <v>2023.3</v>
      </c>
      <c r="S771" t="b">
        <v>0</v>
      </c>
      <c r="T771" t="n">
        <v>1144963</v>
      </c>
      <c r="U771" t="n">
        <v>11</v>
      </c>
      <c r="V771" t="n">
        <v>0.0188</v>
      </c>
      <c r="W771" t="n">
        <v>1.14</v>
      </c>
      <c r="X771" t="n">
        <v>60.95</v>
      </c>
      <c r="Y771">
        <f>VLOOKUP(D771,$AB$2:$AC$7,2,FALSE)</f>
        <v/>
      </c>
      <c r="Z771">
        <f>IF(A771&lt;Y771,"Yes","No")</f>
        <v/>
      </c>
    </row>
    <row r="772">
      <c r="A772" t="n">
        <v>2015</v>
      </c>
      <c r="B772" t="inlineStr">
        <is>
          <t>Q3</t>
        </is>
      </c>
      <c r="C772" t="inlineStr">
        <is>
          <t>Asia</t>
        </is>
      </c>
      <c r="D772" t="inlineStr">
        <is>
          <t>Model S</t>
        </is>
      </c>
      <c r="E772" t="n">
        <v>4696</v>
      </c>
      <c r="F772" t="n">
        <v>70393.22</v>
      </c>
      <c r="G772" t="n">
        <v>54</v>
      </c>
      <c r="H772" t="inlineStr">
        <is>
          <t>Standard</t>
        </is>
      </c>
      <c r="I772" t="inlineStr">
        <is>
          <t>RWD</t>
        </is>
      </c>
      <c r="J772" t="inlineStr">
        <is>
          <t>Green</t>
        </is>
      </c>
      <c r="K772" t="n">
        <v>597</v>
      </c>
      <c r="L772" t="n">
        <v>87</v>
      </c>
      <c r="M772" t="n">
        <v>23.94</v>
      </c>
      <c r="N772" t="n">
        <v>9368.719999999999</v>
      </c>
      <c r="O772" t="n">
        <v>4.66</v>
      </c>
      <c r="P772" t="n">
        <v>5</v>
      </c>
      <c r="Q772" t="n">
        <v>2</v>
      </c>
      <c r="R772" t="n">
        <v>2024.9</v>
      </c>
      <c r="S772" t="b">
        <v>1</v>
      </c>
      <c r="T772" t="n">
        <v>4686088</v>
      </c>
      <c r="U772" t="n">
        <v>10</v>
      </c>
      <c r="V772" t="n">
        <v>0.0961</v>
      </c>
      <c r="W772" t="n">
        <v>1.96</v>
      </c>
      <c r="X772" t="n">
        <v>85.98999999999999</v>
      </c>
      <c r="Y772">
        <f>VLOOKUP(D772,$AB$2:$AC$7,2,FALSE)</f>
        <v/>
      </c>
      <c r="Z772">
        <f>IF(A772&lt;Y772,"Yes","No")</f>
        <v/>
      </c>
    </row>
    <row r="773">
      <c r="A773" t="n">
        <v>2019</v>
      </c>
      <c r="B773" t="inlineStr">
        <is>
          <t>Q2</t>
        </is>
      </c>
      <c r="C773" t="inlineStr">
        <is>
          <t>North America</t>
        </is>
      </c>
      <c r="D773" t="inlineStr">
        <is>
          <t>Model X</t>
        </is>
      </c>
      <c r="E773" t="n">
        <v>702</v>
      </c>
      <c r="F773" t="n">
        <v>72642.33</v>
      </c>
      <c r="G773" t="n">
        <v>26</v>
      </c>
      <c r="H773" t="inlineStr">
        <is>
          <t>Performance</t>
        </is>
      </c>
      <c r="I773" t="inlineStr">
        <is>
          <t>AWD</t>
        </is>
      </c>
      <c r="J773" t="inlineStr">
        <is>
          <t>Black</t>
        </is>
      </c>
      <c r="K773" t="n">
        <v>517</v>
      </c>
      <c r="L773" t="n">
        <v>69</v>
      </c>
      <c r="M773" t="n">
        <v>15.22</v>
      </c>
      <c r="N773" t="n">
        <v>904.91</v>
      </c>
      <c r="O773" t="n">
        <v>4.06</v>
      </c>
      <c r="P773" t="n">
        <v>6</v>
      </c>
      <c r="Q773" t="n">
        <v>3</v>
      </c>
      <c r="R773" t="n">
        <v>2024.11</v>
      </c>
      <c r="S773" t="b">
        <v>1</v>
      </c>
      <c r="T773" t="n">
        <v>4980237</v>
      </c>
      <c r="U773" t="n">
        <v>8</v>
      </c>
      <c r="V773" t="n">
        <v>0.0727</v>
      </c>
      <c r="W773" t="n">
        <v>1.6</v>
      </c>
      <c r="X773" t="n">
        <v>69.34999999999999</v>
      </c>
      <c r="Y773">
        <f>VLOOKUP(D773,$AB$2:$AC$7,2,FALSE)</f>
        <v/>
      </c>
      <c r="Z773">
        <f>IF(A773&lt;Y773,"Yes","No")</f>
        <v/>
      </c>
    </row>
    <row r="774">
      <c r="A774" t="n">
        <v>2020</v>
      </c>
      <c r="B774" t="inlineStr">
        <is>
          <t>Q4</t>
        </is>
      </c>
      <c r="C774" t="inlineStr">
        <is>
          <t>South America</t>
        </is>
      </c>
      <c r="D774" t="inlineStr">
        <is>
          <t>Model X</t>
        </is>
      </c>
      <c r="E774" t="n">
        <v>789</v>
      </c>
      <c r="F774" t="n">
        <v>62822.76</v>
      </c>
      <c r="G774" t="n">
        <v>37</v>
      </c>
      <c r="H774" t="inlineStr">
        <is>
          <t>Long Range</t>
        </is>
      </c>
      <c r="I774" t="inlineStr">
        <is>
          <t>RWD</t>
        </is>
      </c>
      <c r="J774" t="inlineStr">
        <is>
          <t>Green</t>
        </is>
      </c>
      <c r="K774" t="n">
        <v>375</v>
      </c>
      <c r="L774" t="n">
        <v>37</v>
      </c>
      <c r="M774" t="n">
        <v>14.49</v>
      </c>
      <c r="N774" t="n">
        <v>607.16</v>
      </c>
      <c r="O774" t="n">
        <v>4.4</v>
      </c>
      <c r="P774" t="n">
        <v>5</v>
      </c>
      <c r="Q774" t="n">
        <v>0</v>
      </c>
      <c r="R774" t="n">
        <v>2023.6</v>
      </c>
      <c r="S774" t="b">
        <v>1</v>
      </c>
      <c r="T774" t="n">
        <v>3300169</v>
      </c>
      <c r="U774" t="n">
        <v>2</v>
      </c>
      <c r="V774" t="n">
        <v>0.0416</v>
      </c>
      <c r="W774" t="n">
        <v>0.64</v>
      </c>
      <c r="X774" t="n">
        <v>62.36</v>
      </c>
      <c r="Y774">
        <f>VLOOKUP(D774,$AB$2:$AC$7,2,FALSE)</f>
        <v/>
      </c>
      <c r="Z774">
        <f>IF(A774&lt;Y774,"Yes","No")</f>
        <v/>
      </c>
    </row>
    <row r="775">
      <c r="A775" t="n">
        <v>2022</v>
      </c>
      <c r="B775" t="inlineStr">
        <is>
          <t>Q1</t>
        </is>
      </c>
      <c r="C775" t="inlineStr">
        <is>
          <t>Europe</t>
        </is>
      </c>
      <c r="D775" t="inlineStr">
        <is>
          <t>Cybertruck</t>
        </is>
      </c>
      <c r="E775" t="n">
        <v>4455</v>
      </c>
      <c r="F775" t="n">
        <v>98980.03999999999</v>
      </c>
      <c r="G775" t="n">
        <v>35</v>
      </c>
      <c r="H775" t="inlineStr">
        <is>
          <t>Long Range</t>
        </is>
      </c>
      <c r="I775" t="inlineStr">
        <is>
          <t>AWD</t>
        </is>
      </c>
      <c r="J775" t="inlineStr">
        <is>
          <t>Blue</t>
        </is>
      </c>
      <c r="K775" t="n">
        <v>510</v>
      </c>
      <c r="L775" t="n">
        <v>45</v>
      </c>
      <c r="M775" t="n">
        <v>17.93</v>
      </c>
      <c r="N775" t="n">
        <v>8547.870000000001</v>
      </c>
      <c r="O775" t="n">
        <v>3.69</v>
      </c>
      <c r="P775" t="n">
        <v>6</v>
      </c>
      <c r="Q775" t="n">
        <v>2</v>
      </c>
      <c r="R775" t="n">
        <v>2022.1</v>
      </c>
      <c r="S775" t="b">
        <v>1</v>
      </c>
      <c r="T775" t="n">
        <v>3279139</v>
      </c>
      <c r="U775" t="n">
        <v>9</v>
      </c>
      <c r="V775" t="n">
        <v>0.0107</v>
      </c>
      <c r="W775" t="n">
        <v>0.55</v>
      </c>
      <c r="X775" t="n">
        <v>79.68000000000001</v>
      </c>
      <c r="Y775">
        <f>VLOOKUP(D775,$AB$2:$AC$7,2,FALSE)</f>
        <v/>
      </c>
      <c r="Z775">
        <f>IF(A775&lt;Y775,"Yes","No")</f>
        <v/>
      </c>
    </row>
    <row r="776">
      <c r="A776" t="n">
        <v>2021</v>
      </c>
      <c r="B776" t="inlineStr">
        <is>
          <t>Q3</t>
        </is>
      </c>
      <c r="C776" t="inlineStr">
        <is>
          <t>Europe</t>
        </is>
      </c>
      <c r="D776" t="inlineStr">
        <is>
          <t>Model X</t>
        </is>
      </c>
      <c r="E776" t="n">
        <v>4394</v>
      </c>
      <c r="F776" t="n">
        <v>117558.35</v>
      </c>
      <c r="G776" t="n">
        <v>16</v>
      </c>
      <c r="H776" t="inlineStr">
        <is>
          <t>Standard</t>
        </is>
      </c>
      <c r="I776" t="inlineStr">
        <is>
          <t>AWD</t>
        </is>
      </c>
      <c r="J776" t="inlineStr">
        <is>
          <t>White</t>
        </is>
      </c>
      <c r="K776" t="n">
        <v>542</v>
      </c>
      <c r="L776" t="n">
        <v>54</v>
      </c>
      <c r="M776" t="n">
        <v>21.19</v>
      </c>
      <c r="N776" t="n">
        <v>4604.66</v>
      </c>
      <c r="O776" t="n">
        <v>4.85</v>
      </c>
      <c r="P776" t="n">
        <v>8</v>
      </c>
      <c r="Q776" t="n">
        <v>3</v>
      </c>
      <c r="R776" t="n">
        <v>2023.7</v>
      </c>
      <c r="S776" t="b">
        <v>1</v>
      </c>
      <c r="T776" t="n">
        <v>2842021</v>
      </c>
      <c r="U776" t="n">
        <v>8</v>
      </c>
      <c r="V776" t="n">
        <v>0.0336</v>
      </c>
      <c r="W776" t="n">
        <v>0.53</v>
      </c>
      <c r="X776" t="n">
        <v>83.72</v>
      </c>
      <c r="Y776">
        <f>VLOOKUP(D776,$AB$2:$AC$7,2,FALSE)</f>
        <v/>
      </c>
      <c r="Z776">
        <f>IF(A776&lt;Y776,"Yes","No")</f>
        <v/>
      </c>
    </row>
    <row r="777">
      <c r="A777" t="n">
        <v>2016</v>
      </c>
      <c r="B777" t="inlineStr">
        <is>
          <t>Q3</t>
        </is>
      </c>
      <c r="C777" t="inlineStr">
        <is>
          <t>Australia</t>
        </is>
      </c>
      <c r="D777" t="inlineStr">
        <is>
          <t>Model X</t>
        </is>
      </c>
      <c r="E777" t="n">
        <v>4064</v>
      </c>
      <c r="F777" t="n">
        <v>99282.64</v>
      </c>
      <c r="G777" t="n">
        <v>21</v>
      </c>
      <c r="H777" t="inlineStr">
        <is>
          <t>Performance</t>
        </is>
      </c>
      <c r="I777" t="inlineStr">
        <is>
          <t>AWD</t>
        </is>
      </c>
      <c r="J777" t="inlineStr">
        <is>
          <t>Silver</t>
        </is>
      </c>
      <c r="K777" t="n">
        <v>580</v>
      </c>
      <c r="L777" t="n">
        <v>80</v>
      </c>
      <c r="M777" t="n">
        <v>24.44</v>
      </c>
      <c r="N777" t="n">
        <v>8274.35</v>
      </c>
      <c r="O777" t="n">
        <v>4.95</v>
      </c>
      <c r="P777" t="n">
        <v>5</v>
      </c>
      <c r="Q777" t="n">
        <v>0</v>
      </c>
      <c r="R777" t="n">
        <v>2023.3</v>
      </c>
      <c r="S777" t="b">
        <v>1</v>
      </c>
      <c r="T777" t="n">
        <v>3199839</v>
      </c>
      <c r="U777" t="n">
        <v>6</v>
      </c>
      <c r="V777" t="n">
        <v>0.0819</v>
      </c>
      <c r="W777" t="n">
        <v>2.25</v>
      </c>
      <c r="X777" t="n">
        <v>83.5</v>
      </c>
      <c r="Y777">
        <f>VLOOKUP(D777,$AB$2:$AC$7,2,FALSE)</f>
        <v/>
      </c>
      <c r="Z777">
        <f>IF(A777&lt;Y777,"Yes","No")</f>
        <v/>
      </c>
    </row>
    <row r="778">
      <c r="A778" t="n">
        <v>2022</v>
      </c>
      <c r="B778" t="inlineStr">
        <is>
          <t>Q2</t>
        </is>
      </c>
      <c r="C778" t="inlineStr">
        <is>
          <t>Australia</t>
        </is>
      </c>
      <c r="D778" t="inlineStr">
        <is>
          <t>Model X</t>
        </is>
      </c>
      <c r="E778" t="n">
        <v>2419</v>
      </c>
      <c r="F778" t="n">
        <v>39606.35</v>
      </c>
      <c r="G778" t="n">
        <v>25</v>
      </c>
      <c r="H778" t="inlineStr">
        <is>
          <t>Performance</t>
        </is>
      </c>
      <c r="I778" t="inlineStr">
        <is>
          <t>RWD</t>
        </is>
      </c>
      <c r="J778" t="inlineStr">
        <is>
          <t>Silver</t>
        </is>
      </c>
      <c r="K778" t="n">
        <v>661</v>
      </c>
      <c r="L778" t="n">
        <v>52</v>
      </c>
      <c r="M778" t="n">
        <v>15.75</v>
      </c>
      <c r="N778" t="n">
        <v>1469.3</v>
      </c>
      <c r="O778" t="n">
        <v>4.54</v>
      </c>
      <c r="P778" t="n">
        <v>8</v>
      </c>
      <c r="Q778" t="n">
        <v>1</v>
      </c>
      <c r="R778" t="n">
        <v>2021.2</v>
      </c>
      <c r="S778" t="b">
        <v>1</v>
      </c>
      <c r="T778" t="n">
        <v>1376375</v>
      </c>
      <c r="U778" t="n">
        <v>6</v>
      </c>
      <c r="V778" t="n">
        <v>0.0263</v>
      </c>
      <c r="W778" t="n">
        <v>2.02</v>
      </c>
      <c r="X778" t="n">
        <v>73.56</v>
      </c>
      <c r="Y778">
        <f>VLOOKUP(D778,$AB$2:$AC$7,2,FALSE)</f>
        <v/>
      </c>
      <c r="Z778">
        <f>IF(A778&lt;Y778,"Yes","No")</f>
        <v/>
      </c>
    </row>
    <row r="779">
      <c r="A779" t="n">
        <v>2019</v>
      </c>
      <c r="B779" t="inlineStr">
        <is>
          <t>Q4</t>
        </is>
      </c>
      <c r="C779" t="inlineStr">
        <is>
          <t>Asia</t>
        </is>
      </c>
      <c r="D779" t="inlineStr">
        <is>
          <t>Model Y</t>
        </is>
      </c>
      <c r="E779" t="n">
        <v>1150</v>
      </c>
      <c r="F779" t="n">
        <v>99923.75999999999</v>
      </c>
      <c r="G779" t="n">
        <v>39</v>
      </c>
      <c r="H779" t="inlineStr">
        <is>
          <t>Standard</t>
        </is>
      </c>
      <c r="I779" t="inlineStr">
        <is>
          <t>RWD</t>
        </is>
      </c>
      <c r="J779" t="inlineStr">
        <is>
          <t>Red</t>
        </is>
      </c>
      <c r="K779" t="n">
        <v>403</v>
      </c>
      <c r="L779" t="n">
        <v>35</v>
      </c>
      <c r="M779" t="n">
        <v>15.12</v>
      </c>
      <c r="N779" t="n">
        <v>2206.02</v>
      </c>
      <c r="O779" t="n">
        <v>3.65</v>
      </c>
      <c r="P779" t="n">
        <v>6</v>
      </c>
      <c r="Q779" t="n">
        <v>2</v>
      </c>
      <c r="R779" t="n">
        <v>2024.9</v>
      </c>
      <c r="S779" t="b">
        <v>0</v>
      </c>
      <c r="T779" t="n">
        <v>603053</v>
      </c>
      <c r="U779" t="n">
        <v>2</v>
      </c>
      <c r="V779" t="n">
        <v>0.0784</v>
      </c>
      <c r="W779" t="n">
        <v>2.46</v>
      </c>
      <c r="X779" t="n">
        <v>60.45</v>
      </c>
      <c r="Y779">
        <f>VLOOKUP(D779,$AB$2:$AC$7,2,FALSE)</f>
        <v/>
      </c>
      <c r="Z779">
        <f>IF(A779&lt;Y779,"Yes","No")</f>
        <v/>
      </c>
    </row>
    <row r="780">
      <c r="A780" t="n">
        <v>2019</v>
      </c>
      <c r="B780" t="inlineStr">
        <is>
          <t>Q4</t>
        </is>
      </c>
      <c r="C780" t="inlineStr">
        <is>
          <t>Australia</t>
        </is>
      </c>
      <c r="D780" t="inlineStr">
        <is>
          <t>Semi</t>
        </is>
      </c>
      <c r="E780" t="n">
        <v>4101</v>
      </c>
      <c r="F780" t="n">
        <v>119289.14</v>
      </c>
      <c r="G780" t="n">
        <v>8</v>
      </c>
      <c r="H780" t="inlineStr">
        <is>
          <t>Standard</t>
        </is>
      </c>
      <c r="I780" t="inlineStr">
        <is>
          <t>AWD</t>
        </is>
      </c>
      <c r="J780" t="inlineStr">
        <is>
          <t>Black</t>
        </is>
      </c>
      <c r="K780" t="n">
        <v>645</v>
      </c>
      <c r="L780" t="n">
        <v>68</v>
      </c>
      <c r="M780" t="n">
        <v>23.59</v>
      </c>
      <c r="N780" t="n">
        <v>4989.81</v>
      </c>
      <c r="O780" t="n">
        <v>4.9</v>
      </c>
      <c r="P780" t="n">
        <v>4</v>
      </c>
      <c r="Q780" t="n">
        <v>2</v>
      </c>
      <c r="R780" t="n">
        <v>2023.3</v>
      </c>
      <c r="S780" t="b">
        <v>0</v>
      </c>
      <c r="T780" t="n">
        <v>2307229</v>
      </c>
      <c r="U780" t="n">
        <v>4</v>
      </c>
      <c r="V780" t="n">
        <v>0.0675</v>
      </c>
      <c r="W780" t="n">
        <v>1.35</v>
      </c>
      <c r="X780" t="n">
        <v>64.42</v>
      </c>
      <c r="Y780">
        <f>VLOOKUP(D780,$AB$2:$AC$7,2,FALSE)</f>
        <v/>
      </c>
      <c r="Z780">
        <f>IF(A780&lt;Y780,"Yes","No")</f>
        <v/>
      </c>
    </row>
    <row r="781">
      <c r="A781" t="n">
        <v>2013</v>
      </c>
      <c r="B781" t="inlineStr">
        <is>
          <t>Q2</t>
        </is>
      </c>
      <c r="C781" t="inlineStr">
        <is>
          <t>North America</t>
        </is>
      </c>
      <c r="D781" t="inlineStr">
        <is>
          <t>Model 3</t>
        </is>
      </c>
      <c r="E781" t="n">
        <v>4381</v>
      </c>
      <c r="F781" t="n">
        <v>56354.42</v>
      </c>
      <c r="G781" t="n">
        <v>47</v>
      </c>
      <c r="H781" t="inlineStr">
        <is>
          <t>Long Range</t>
        </is>
      </c>
      <c r="I781" t="inlineStr">
        <is>
          <t>RWD</t>
        </is>
      </c>
      <c r="J781" t="inlineStr">
        <is>
          <t>Black</t>
        </is>
      </c>
      <c r="K781" t="n">
        <v>570</v>
      </c>
      <c r="L781" t="n">
        <v>52</v>
      </c>
      <c r="M781" t="n">
        <v>21.36</v>
      </c>
      <c r="N781" t="n">
        <v>8582.35</v>
      </c>
      <c r="O781" t="n">
        <v>4.8</v>
      </c>
      <c r="P781" t="n">
        <v>4</v>
      </c>
      <c r="Q781" t="n">
        <v>3</v>
      </c>
      <c r="R781" t="n">
        <v>2024.6</v>
      </c>
      <c r="S781" t="b">
        <v>1</v>
      </c>
      <c r="T781" t="n">
        <v>3191166</v>
      </c>
      <c r="U781" t="n">
        <v>6</v>
      </c>
      <c r="V781" t="n">
        <v>0.0953</v>
      </c>
      <c r="W781" t="n">
        <v>0.85</v>
      </c>
      <c r="X781" t="n">
        <v>63.84</v>
      </c>
      <c r="Y781">
        <f>VLOOKUP(D781,$AB$2:$AC$7,2,FALSE)</f>
        <v/>
      </c>
      <c r="Z781">
        <f>IF(A781&lt;Y781,"Yes","No")</f>
        <v/>
      </c>
    </row>
    <row r="782">
      <c r="A782" t="n">
        <v>2022</v>
      </c>
      <c r="B782" t="inlineStr">
        <is>
          <t>Q2</t>
        </is>
      </c>
      <c r="C782" t="inlineStr">
        <is>
          <t>South America</t>
        </is>
      </c>
      <c r="D782" t="inlineStr">
        <is>
          <t>Model X</t>
        </is>
      </c>
      <c r="E782" t="n">
        <v>2124</v>
      </c>
      <c r="F782" t="n">
        <v>65772.48</v>
      </c>
      <c r="G782" t="n">
        <v>48</v>
      </c>
      <c r="H782" t="inlineStr">
        <is>
          <t>Long Range</t>
        </is>
      </c>
      <c r="I782" t="inlineStr">
        <is>
          <t>AWD</t>
        </is>
      </c>
      <c r="J782" t="inlineStr">
        <is>
          <t>Red</t>
        </is>
      </c>
      <c r="K782" t="n">
        <v>696</v>
      </c>
      <c r="L782" t="n">
        <v>90</v>
      </c>
      <c r="M782" t="n">
        <v>18.15</v>
      </c>
      <c r="N782" t="n">
        <v>2359.78</v>
      </c>
      <c r="O782" t="n">
        <v>4.05</v>
      </c>
      <c r="P782" t="n">
        <v>8</v>
      </c>
      <c r="Q782" t="n">
        <v>2</v>
      </c>
      <c r="R782" t="n">
        <v>2021.4</v>
      </c>
      <c r="S782" t="b">
        <v>1</v>
      </c>
      <c r="T782" t="n">
        <v>1034521</v>
      </c>
      <c r="U782" t="n">
        <v>4</v>
      </c>
      <c r="V782" t="n">
        <v>0.095</v>
      </c>
      <c r="W782" t="n">
        <v>0.8100000000000001</v>
      </c>
      <c r="X782" t="n">
        <v>81.39</v>
      </c>
      <c r="Y782">
        <f>VLOOKUP(D782,$AB$2:$AC$7,2,FALSE)</f>
        <v/>
      </c>
      <c r="Z782">
        <f>IF(A782&lt;Y782,"Yes","No")</f>
        <v/>
      </c>
    </row>
    <row r="783">
      <c r="A783" t="n">
        <v>2019</v>
      </c>
      <c r="B783" t="inlineStr">
        <is>
          <t>Q3</t>
        </is>
      </c>
      <c r="C783" t="inlineStr">
        <is>
          <t>South America</t>
        </is>
      </c>
      <c r="D783" t="inlineStr">
        <is>
          <t>Cybertruck</t>
        </is>
      </c>
      <c r="E783" t="n">
        <v>4074</v>
      </c>
      <c r="F783" t="n">
        <v>92984.63</v>
      </c>
      <c r="G783" t="n">
        <v>39</v>
      </c>
      <c r="H783" t="inlineStr">
        <is>
          <t>Performance</t>
        </is>
      </c>
      <c r="I783" t="inlineStr">
        <is>
          <t>AWD</t>
        </is>
      </c>
      <c r="J783" t="inlineStr">
        <is>
          <t>Blue</t>
        </is>
      </c>
      <c r="K783" t="n">
        <v>574</v>
      </c>
      <c r="L783" t="n">
        <v>87</v>
      </c>
      <c r="M783" t="n">
        <v>22.28</v>
      </c>
      <c r="N783" t="n">
        <v>8263.35</v>
      </c>
      <c r="O783" t="n">
        <v>3.86</v>
      </c>
      <c r="P783" t="n">
        <v>6</v>
      </c>
      <c r="Q783" t="n">
        <v>1</v>
      </c>
      <c r="R783" t="n">
        <v>2023.3</v>
      </c>
      <c r="S783" t="b">
        <v>1</v>
      </c>
      <c r="T783" t="n">
        <v>1707493</v>
      </c>
      <c r="U783" t="n">
        <v>10</v>
      </c>
      <c r="V783" t="n">
        <v>0.0585</v>
      </c>
      <c r="W783" t="n">
        <v>1.87</v>
      </c>
      <c r="X783" t="n">
        <v>84.59</v>
      </c>
      <c r="Y783">
        <f>VLOOKUP(D783,$AB$2:$AC$7,2,FALSE)</f>
        <v/>
      </c>
      <c r="Z783">
        <f>IF(A783&lt;Y783,"Yes","No")</f>
        <v/>
      </c>
    </row>
    <row r="784">
      <c r="A784" t="n">
        <v>2019</v>
      </c>
      <c r="B784" t="inlineStr">
        <is>
          <t>Q3</t>
        </is>
      </c>
      <c r="C784" t="inlineStr">
        <is>
          <t>North America</t>
        </is>
      </c>
      <c r="D784" t="inlineStr">
        <is>
          <t>Semi</t>
        </is>
      </c>
      <c r="E784" t="n">
        <v>4497</v>
      </c>
      <c r="F784" t="n">
        <v>40166.15</v>
      </c>
      <c r="G784" t="n">
        <v>54</v>
      </c>
      <c r="H784" t="inlineStr">
        <is>
          <t>Standard</t>
        </is>
      </c>
      <c r="I784" t="inlineStr">
        <is>
          <t>RWD</t>
        </is>
      </c>
      <c r="J784" t="inlineStr">
        <is>
          <t>Black</t>
        </is>
      </c>
      <c r="K784" t="n">
        <v>371</v>
      </c>
      <c r="L784" t="n">
        <v>46</v>
      </c>
      <c r="M784" t="n">
        <v>16.95</v>
      </c>
      <c r="N784" t="n">
        <v>7962.76</v>
      </c>
      <c r="O784" t="n">
        <v>3.55</v>
      </c>
      <c r="P784" t="n">
        <v>5</v>
      </c>
      <c r="Q784" t="n">
        <v>2</v>
      </c>
      <c r="R784" t="n">
        <v>2024.9</v>
      </c>
      <c r="S784" t="b">
        <v>1</v>
      </c>
      <c r="T784" t="n">
        <v>2337789</v>
      </c>
      <c r="U784" t="n">
        <v>11</v>
      </c>
      <c r="V784" t="n">
        <v>0.09039999999999999</v>
      </c>
      <c r="W784" t="n">
        <v>1.16</v>
      </c>
      <c r="X784" t="n">
        <v>66.89</v>
      </c>
      <c r="Y784">
        <f>VLOOKUP(D784,$AB$2:$AC$7,2,FALSE)</f>
        <v/>
      </c>
      <c r="Z784">
        <f>IF(A784&lt;Y784,"Yes","No")</f>
        <v/>
      </c>
    </row>
    <row r="785">
      <c r="A785" t="n">
        <v>2016</v>
      </c>
      <c r="B785" t="inlineStr">
        <is>
          <t>Q1</t>
        </is>
      </c>
      <c r="C785" t="inlineStr">
        <is>
          <t>North America</t>
        </is>
      </c>
      <c r="D785" t="inlineStr">
        <is>
          <t>Semi</t>
        </is>
      </c>
      <c r="E785" t="n">
        <v>900</v>
      </c>
      <c r="F785" t="n">
        <v>78749.69</v>
      </c>
      <c r="G785" t="n">
        <v>45</v>
      </c>
      <c r="H785" t="inlineStr">
        <is>
          <t>Long Range</t>
        </is>
      </c>
      <c r="I785" t="inlineStr">
        <is>
          <t>RWD</t>
        </is>
      </c>
      <c r="J785" t="inlineStr">
        <is>
          <t>Blue</t>
        </is>
      </c>
      <c r="K785" t="n">
        <v>608</v>
      </c>
      <c r="L785" t="n">
        <v>48</v>
      </c>
      <c r="M785" t="n">
        <v>19.17</v>
      </c>
      <c r="N785" t="n">
        <v>570.53</v>
      </c>
      <c r="O785" t="n">
        <v>4.14</v>
      </c>
      <c r="P785" t="n">
        <v>5</v>
      </c>
      <c r="Q785" t="n">
        <v>2</v>
      </c>
      <c r="R785" t="n">
        <v>2022.5</v>
      </c>
      <c r="S785" t="b">
        <v>0</v>
      </c>
      <c r="T785" t="n">
        <v>2294902</v>
      </c>
      <c r="U785" t="n">
        <v>6</v>
      </c>
      <c r="V785" t="n">
        <v>0.0485</v>
      </c>
      <c r="W785" t="n">
        <v>2.15</v>
      </c>
      <c r="X785" t="n">
        <v>66.31</v>
      </c>
      <c r="Y785">
        <f>VLOOKUP(D785,$AB$2:$AC$7,2,FALSE)</f>
        <v/>
      </c>
      <c r="Z785">
        <f>IF(A785&lt;Y785,"Yes","No")</f>
        <v/>
      </c>
    </row>
    <row r="786">
      <c r="A786" t="n">
        <v>2020</v>
      </c>
      <c r="B786" t="inlineStr">
        <is>
          <t>Q3</t>
        </is>
      </c>
      <c r="C786" t="inlineStr">
        <is>
          <t>North America</t>
        </is>
      </c>
      <c r="D786" t="inlineStr">
        <is>
          <t>Model Y</t>
        </is>
      </c>
      <c r="E786" t="n">
        <v>4987</v>
      </c>
      <c r="F786" t="n">
        <v>87660.99000000001</v>
      </c>
      <c r="G786" t="n">
        <v>28</v>
      </c>
      <c r="H786" t="inlineStr">
        <is>
          <t>Performance</t>
        </is>
      </c>
      <c r="I786" t="inlineStr">
        <is>
          <t>AWD</t>
        </is>
      </c>
      <c r="J786" t="inlineStr">
        <is>
          <t>Red</t>
        </is>
      </c>
      <c r="K786" t="n">
        <v>678</v>
      </c>
      <c r="L786" t="n">
        <v>73</v>
      </c>
      <c r="M786" t="n">
        <v>20.81</v>
      </c>
      <c r="N786" t="n">
        <v>11573.31</v>
      </c>
      <c r="O786" t="n">
        <v>4.59</v>
      </c>
      <c r="P786" t="n">
        <v>6</v>
      </c>
      <c r="Q786" t="n">
        <v>1</v>
      </c>
      <c r="R786" t="n">
        <v>2024.2</v>
      </c>
      <c r="S786" t="b">
        <v>1</v>
      </c>
      <c r="T786" t="n">
        <v>4601586</v>
      </c>
      <c r="U786" t="n">
        <v>9</v>
      </c>
      <c r="V786" t="n">
        <v>0.0964</v>
      </c>
      <c r="W786" t="n">
        <v>1.52</v>
      </c>
      <c r="X786" t="n">
        <v>67.66</v>
      </c>
      <c r="Y786">
        <f>VLOOKUP(D786,$AB$2:$AC$7,2,FALSE)</f>
        <v/>
      </c>
      <c r="Z786">
        <f>IF(A786&lt;Y786,"Yes","No")</f>
        <v/>
      </c>
    </row>
    <row r="787">
      <c r="A787" t="n">
        <v>2020</v>
      </c>
      <c r="B787" t="inlineStr">
        <is>
          <t>Q4</t>
        </is>
      </c>
      <c r="C787" t="inlineStr">
        <is>
          <t>South America</t>
        </is>
      </c>
      <c r="D787" t="inlineStr">
        <is>
          <t>Cybertruck</t>
        </is>
      </c>
      <c r="E787" t="n">
        <v>4795</v>
      </c>
      <c r="F787" t="n">
        <v>71174.72</v>
      </c>
      <c r="G787" t="n">
        <v>37</v>
      </c>
      <c r="H787" t="inlineStr">
        <is>
          <t>Performance</t>
        </is>
      </c>
      <c r="I787" t="inlineStr">
        <is>
          <t>AWD</t>
        </is>
      </c>
      <c r="J787" t="inlineStr">
        <is>
          <t>Green</t>
        </is>
      </c>
      <c r="K787" t="n">
        <v>656</v>
      </c>
      <c r="L787" t="n">
        <v>33</v>
      </c>
      <c r="M787" t="n">
        <v>16.67</v>
      </c>
      <c r="N787" t="n">
        <v>11846.37</v>
      </c>
      <c r="O787" t="n">
        <v>4.22</v>
      </c>
      <c r="P787" t="n">
        <v>5</v>
      </c>
      <c r="Q787" t="n">
        <v>3</v>
      </c>
      <c r="R787" t="n">
        <v>2020.5</v>
      </c>
      <c r="S787" t="b">
        <v>0</v>
      </c>
      <c r="T787" t="n">
        <v>1253687</v>
      </c>
      <c r="U787" t="n">
        <v>6</v>
      </c>
      <c r="V787" t="n">
        <v>0.0439</v>
      </c>
      <c r="W787" t="n">
        <v>0.57</v>
      </c>
      <c r="X787" t="n">
        <v>62.69</v>
      </c>
      <c r="Y787">
        <f>VLOOKUP(D787,$AB$2:$AC$7,2,FALSE)</f>
        <v/>
      </c>
      <c r="Z787">
        <f>IF(A787&lt;Y787,"Yes","No")</f>
        <v/>
      </c>
    </row>
    <row r="788">
      <c r="A788" t="n">
        <v>2023</v>
      </c>
      <c r="B788" t="inlineStr">
        <is>
          <t>Q4</t>
        </is>
      </c>
      <c r="C788" t="inlineStr">
        <is>
          <t>Asia</t>
        </is>
      </c>
      <c r="D788" t="inlineStr">
        <is>
          <t>Model 3</t>
        </is>
      </c>
      <c r="E788" t="n">
        <v>2243</v>
      </c>
      <c r="F788" t="n">
        <v>46237.1</v>
      </c>
      <c r="G788" t="n">
        <v>13</v>
      </c>
      <c r="H788" t="inlineStr">
        <is>
          <t>Performance</t>
        </is>
      </c>
      <c r="I788" t="inlineStr">
        <is>
          <t>AWD</t>
        </is>
      </c>
      <c r="J788" t="inlineStr">
        <is>
          <t>Silver</t>
        </is>
      </c>
      <c r="K788" t="n">
        <v>580</v>
      </c>
      <c r="L788" t="n">
        <v>40</v>
      </c>
      <c r="M788" t="n">
        <v>19.26</v>
      </c>
      <c r="N788" t="n">
        <v>2190.37</v>
      </c>
      <c r="O788" t="n">
        <v>4.69</v>
      </c>
      <c r="P788" t="n">
        <v>5</v>
      </c>
      <c r="Q788" t="n">
        <v>0</v>
      </c>
      <c r="R788" t="n">
        <v>2024.8</v>
      </c>
      <c r="S788" t="b">
        <v>1</v>
      </c>
      <c r="T788" t="n">
        <v>3387471</v>
      </c>
      <c r="U788" t="n">
        <v>4</v>
      </c>
      <c r="V788" t="n">
        <v>0.0949</v>
      </c>
      <c r="W788" t="n">
        <v>1.63</v>
      </c>
      <c r="X788" t="n">
        <v>89.5</v>
      </c>
      <c r="Y788">
        <f>VLOOKUP(D788,$AB$2:$AC$7,2,FALSE)</f>
        <v/>
      </c>
      <c r="Z788">
        <f>IF(A788&lt;Y788,"Yes","No")</f>
        <v/>
      </c>
    </row>
    <row r="789">
      <c r="A789" t="n">
        <v>2020</v>
      </c>
      <c r="B789" t="inlineStr">
        <is>
          <t>Q1</t>
        </is>
      </c>
      <c r="C789" t="inlineStr">
        <is>
          <t>South America</t>
        </is>
      </c>
      <c r="D789" t="inlineStr">
        <is>
          <t>Cybertruck</t>
        </is>
      </c>
      <c r="E789" t="n">
        <v>1787</v>
      </c>
      <c r="F789" t="n">
        <v>49261.58</v>
      </c>
      <c r="G789" t="n">
        <v>7</v>
      </c>
      <c r="H789" t="inlineStr">
        <is>
          <t>Standard</t>
        </is>
      </c>
      <c r="I789" t="inlineStr">
        <is>
          <t>AWD</t>
        </is>
      </c>
      <c r="J789" t="inlineStr">
        <is>
          <t>Red</t>
        </is>
      </c>
      <c r="K789" t="n">
        <v>444</v>
      </c>
      <c r="L789" t="n">
        <v>44</v>
      </c>
      <c r="M789" t="n">
        <v>15.11</v>
      </c>
      <c r="N789" t="n">
        <v>901.05</v>
      </c>
      <c r="O789" t="n">
        <v>3.59</v>
      </c>
      <c r="P789" t="n">
        <v>8</v>
      </c>
      <c r="Q789" t="n">
        <v>3</v>
      </c>
      <c r="R789" t="n">
        <v>2023.7</v>
      </c>
      <c r="S789" t="b">
        <v>1</v>
      </c>
      <c r="T789" t="n">
        <v>480084</v>
      </c>
      <c r="U789" t="n">
        <v>2</v>
      </c>
      <c r="V789" t="n">
        <v>0.0557</v>
      </c>
      <c r="W789" t="n">
        <v>1.76</v>
      </c>
      <c r="X789" t="n">
        <v>80.14</v>
      </c>
      <c r="Y789">
        <f>VLOOKUP(D789,$AB$2:$AC$7,2,FALSE)</f>
        <v/>
      </c>
      <c r="Z789">
        <f>IF(A789&lt;Y789,"Yes","No")</f>
        <v/>
      </c>
    </row>
    <row r="790">
      <c r="A790" t="n">
        <v>2020</v>
      </c>
      <c r="B790" t="inlineStr">
        <is>
          <t>Q4</t>
        </is>
      </c>
      <c r="C790" t="inlineStr">
        <is>
          <t>Australia</t>
        </is>
      </c>
      <c r="D790" t="inlineStr">
        <is>
          <t>Model S</t>
        </is>
      </c>
      <c r="E790" t="n">
        <v>141</v>
      </c>
      <c r="F790" t="n">
        <v>81557.99000000001</v>
      </c>
      <c r="G790" t="n">
        <v>52</v>
      </c>
      <c r="H790" t="inlineStr">
        <is>
          <t>Long Range</t>
        </is>
      </c>
      <c r="I790" t="inlineStr">
        <is>
          <t>AWD</t>
        </is>
      </c>
      <c r="J790" t="inlineStr">
        <is>
          <t>White</t>
        </is>
      </c>
      <c r="K790" t="n">
        <v>546</v>
      </c>
      <c r="L790" t="n">
        <v>80</v>
      </c>
      <c r="M790" t="n">
        <v>14.12</v>
      </c>
      <c r="N790" t="n">
        <v>87.90000000000001</v>
      </c>
      <c r="O790" t="n">
        <v>4.59</v>
      </c>
      <c r="P790" t="n">
        <v>6</v>
      </c>
      <c r="Q790" t="n">
        <v>2</v>
      </c>
      <c r="R790" t="n">
        <v>2021.11</v>
      </c>
      <c r="S790" t="b">
        <v>1</v>
      </c>
      <c r="T790" t="n">
        <v>4380998</v>
      </c>
      <c r="U790" t="n">
        <v>2</v>
      </c>
      <c r="V790" t="n">
        <v>0.0808</v>
      </c>
      <c r="W790" t="n">
        <v>1.05</v>
      </c>
      <c r="X790" t="n">
        <v>83.48999999999999</v>
      </c>
      <c r="Y790">
        <f>VLOOKUP(D790,$AB$2:$AC$7,2,FALSE)</f>
        <v/>
      </c>
      <c r="Z790">
        <f>IF(A790&lt;Y790,"Yes","No")</f>
        <v/>
      </c>
    </row>
    <row r="791">
      <c r="A791" t="n">
        <v>2024</v>
      </c>
      <c r="B791" t="inlineStr">
        <is>
          <t>Q2</t>
        </is>
      </c>
      <c r="C791" t="inlineStr">
        <is>
          <t>Europe</t>
        </is>
      </c>
      <c r="D791" t="inlineStr">
        <is>
          <t>Model X</t>
        </is>
      </c>
      <c r="E791" t="n">
        <v>2584</v>
      </c>
      <c r="F791" t="n">
        <v>69736.78</v>
      </c>
      <c r="G791" t="n">
        <v>37</v>
      </c>
      <c r="H791" t="inlineStr">
        <is>
          <t>Long Range</t>
        </is>
      </c>
      <c r="I791" t="inlineStr">
        <is>
          <t>AWD</t>
        </is>
      </c>
      <c r="J791" t="inlineStr">
        <is>
          <t>Red</t>
        </is>
      </c>
      <c r="K791" t="n">
        <v>351</v>
      </c>
      <c r="L791" t="n">
        <v>42</v>
      </c>
      <c r="M791" t="n">
        <v>21.8</v>
      </c>
      <c r="N791" t="n">
        <v>6432.02</v>
      </c>
      <c r="O791" t="n">
        <v>4.19</v>
      </c>
      <c r="P791" t="n">
        <v>8</v>
      </c>
      <c r="Q791" t="n">
        <v>1</v>
      </c>
      <c r="R791" t="n">
        <v>2020.6</v>
      </c>
      <c r="S791" t="b">
        <v>0</v>
      </c>
      <c r="T791" t="n">
        <v>2863408</v>
      </c>
      <c r="U791" t="n">
        <v>11</v>
      </c>
      <c r="V791" t="n">
        <v>0.0441</v>
      </c>
      <c r="W791" t="n">
        <v>2.17</v>
      </c>
      <c r="X791" t="n">
        <v>69.94</v>
      </c>
      <c r="Y791">
        <f>VLOOKUP(D791,$AB$2:$AC$7,2,FALSE)</f>
        <v/>
      </c>
      <c r="Z791">
        <f>IF(A791&lt;Y791,"Yes","No")</f>
        <v/>
      </c>
    </row>
    <row r="792">
      <c r="A792" t="n">
        <v>2023</v>
      </c>
      <c r="B792" t="inlineStr">
        <is>
          <t>Q1</t>
        </is>
      </c>
      <c r="C792" t="inlineStr">
        <is>
          <t>Australia</t>
        </is>
      </c>
      <c r="D792" t="inlineStr">
        <is>
          <t>Model Y</t>
        </is>
      </c>
      <c r="E792" t="n">
        <v>3244</v>
      </c>
      <c r="F792" t="n">
        <v>70876.95</v>
      </c>
      <c r="G792" t="n">
        <v>5</v>
      </c>
      <c r="H792" t="inlineStr">
        <is>
          <t>Standard</t>
        </is>
      </c>
      <c r="I792" t="inlineStr">
        <is>
          <t>AWD</t>
        </is>
      </c>
      <c r="J792" t="inlineStr">
        <is>
          <t>Green</t>
        </is>
      </c>
      <c r="K792" t="n">
        <v>551</v>
      </c>
      <c r="L792" t="n">
        <v>88</v>
      </c>
      <c r="M792" t="n">
        <v>17.45</v>
      </c>
      <c r="N792" t="n">
        <v>7250.36</v>
      </c>
      <c r="O792" t="n">
        <v>4.56</v>
      </c>
      <c r="P792" t="n">
        <v>5</v>
      </c>
      <c r="Q792" t="n">
        <v>2</v>
      </c>
      <c r="R792" t="n">
        <v>2020.8</v>
      </c>
      <c r="S792" t="b">
        <v>0</v>
      </c>
      <c r="T792" t="n">
        <v>943655</v>
      </c>
      <c r="U792" t="n">
        <v>8</v>
      </c>
      <c r="V792" t="n">
        <v>0.0653</v>
      </c>
      <c r="W792" t="n">
        <v>2.34</v>
      </c>
      <c r="X792" t="n">
        <v>77.73999999999999</v>
      </c>
      <c r="Y792">
        <f>VLOOKUP(D792,$AB$2:$AC$7,2,FALSE)</f>
        <v/>
      </c>
      <c r="Z792">
        <f>IF(A792&lt;Y792,"Yes","No")</f>
        <v/>
      </c>
    </row>
    <row r="793">
      <c r="A793" t="n">
        <v>2024</v>
      </c>
      <c r="B793" t="inlineStr">
        <is>
          <t>Q4</t>
        </is>
      </c>
      <c r="C793" t="inlineStr">
        <is>
          <t>North America</t>
        </is>
      </c>
      <c r="D793" t="inlineStr">
        <is>
          <t>Cybertruck</t>
        </is>
      </c>
      <c r="E793" t="n">
        <v>173</v>
      </c>
      <c r="F793" t="n">
        <v>66219.16</v>
      </c>
      <c r="G793" t="n">
        <v>35</v>
      </c>
      <c r="H793" t="inlineStr">
        <is>
          <t>Standard</t>
        </is>
      </c>
      <c r="I793" t="inlineStr">
        <is>
          <t>RWD</t>
        </is>
      </c>
      <c r="J793" t="inlineStr">
        <is>
          <t>Blue</t>
        </is>
      </c>
      <c r="K793" t="n">
        <v>630</v>
      </c>
      <c r="L793" t="n">
        <v>42</v>
      </c>
      <c r="M793" t="n">
        <v>16.53</v>
      </c>
      <c r="N793" t="n">
        <v>135.23</v>
      </c>
      <c r="O793" t="n">
        <v>4.3</v>
      </c>
      <c r="P793" t="n">
        <v>8</v>
      </c>
      <c r="Q793" t="n">
        <v>1</v>
      </c>
      <c r="R793" t="n">
        <v>2023.1</v>
      </c>
      <c r="S793" t="b">
        <v>0</v>
      </c>
      <c r="T793" t="n">
        <v>229407</v>
      </c>
      <c r="U793" t="n">
        <v>10</v>
      </c>
      <c r="V793" t="n">
        <v>0.0311</v>
      </c>
      <c r="W793" t="n">
        <v>1.37</v>
      </c>
      <c r="X793" t="n">
        <v>76.66</v>
      </c>
      <c r="Y793">
        <f>VLOOKUP(D793,$AB$2:$AC$7,2,FALSE)</f>
        <v/>
      </c>
      <c r="Z793">
        <f>IF(A793&lt;Y793,"Yes","No")</f>
        <v/>
      </c>
    </row>
    <row r="794">
      <c r="A794" t="n">
        <v>2022</v>
      </c>
      <c r="B794" t="inlineStr">
        <is>
          <t>Q1</t>
        </is>
      </c>
      <c r="C794" t="inlineStr">
        <is>
          <t>Australia</t>
        </is>
      </c>
      <c r="D794" t="inlineStr">
        <is>
          <t>Cybertruck</t>
        </is>
      </c>
      <c r="E794" t="n">
        <v>4025</v>
      </c>
      <c r="F794" t="n">
        <v>101435.09</v>
      </c>
      <c r="G794" t="n">
        <v>4</v>
      </c>
      <c r="H794" t="inlineStr">
        <is>
          <t>Long Range</t>
        </is>
      </c>
      <c r="I794" t="inlineStr">
        <is>
          <t>AWD</t>
        </is>
      </c>
      <c r="J794" t="inlineStr">
        <is>
          <t>White</t>
        </is>
      </c>
      <c r="K794" t="n">
        <v>652</v>
      </c>
      <c r="L794" t="n">
        <v>57</v>
      </c>
      <c r="M794" t="n">
        <v>15.17</v>
      </c>
      <c r="N794" t="n">
        <v>5663.45</v>
      </c>
      <c r="O794" t="n">
        <v>3.62</v>
      </c>
      <c r="P794" t="n">
        <v>8</v>
      </c>
      <c r="Q794" t="n">
        <v>3</v>
      </c>
      <c r="R794" t="n">
        <v>2020.12</v>
      </c>
      <c r="S794" t="b">
        <v>1</v>
      </c>
      <c r="T794" t="n">
        <v>1161194</v>
      </c>
      <c r="U794" t="n">
        <v>2</v>
      </c>
      <c r="V794" t="n">
        <v>0.0949</v>
      </c>
      <c r="W794" t="n">
        <v>0.77</v>
      </c>
      <c r="X794" t="n">
        <v>86.44</v>
      </c>
      <c r="Y794">
        <f>VLOOKUP(D794,$AB$2:$AC$7,2,FALSE)</f>
        <v/>
      </c>
      <c r="Z794">
        <f>IF(A794&lt;Y794,"Yes","No")</f>
        <v/>
      </c>
    </row>
    <row r="795">
      <c r="A795" t="n">
        <v>2024</v>
      </c>
      <c r="B795" t="inlineStr">
        <is>
          <t>Q3</t>
        </is>
      </c>
      <c r="C795" t="inlineStr">
        <is>
          <t>Australia</t>
        </is>
      </c>
      <c r="D795" t="inlineStr">
        <is>
          <t>Semi</t>
        </is>
      </c>
      <c r="E795" t="n">
        <v>4326</v>
      </c>
      <c r="F795" t="n">
        <v>84071.53999999999</v>
      </c>
      <c r="G795" t="n">
        <v>53</v>
      </c>
      <c r="H795" t="inlineStr">
        <is>
          <t>Standard</t>
        </is>
      </c>
      <c r="I795" t="inlineStr">
        <is>
          <t>RWD</t>
        </is>
      </c>
      <c r="J795" t="inlineStr">
        <is>
          <t>Red</t>
        </is>
      </c>
      <c r="K795" t="n">
        <v>504</v>
      </c>
      <c r="L795" t="n">
        <v>35</v>
      </c>
      <c r="M795" t="n">
        <v>19.64</v>
      </c>
      <c r="N795" t="n">
        <v>2213.57</v>
      </c>
      <c r="O795" t="n">
        <v>4.92</v>
      </c>
      <c r="P795" t="n">
        <v>6</v>
      </c>
      <c r="Q795" t="n">
        <v>1</v>
      </c>
      <c r="R795" t="n">
        <v>2020.8</v>
      </c>
      <c r="S795" t="b">
        <v>0</v>
      </c>
      <c r="T795" t="n">
        <v>2915337</v>
      </c>
      <c r="U795" t="n">
        <v>10</v>
      </c>
      <c r="V795" t="n">
        <v>0.0383</v>
      </c>
      <c r="W795" t="n">
        <v>2.41</v>
      </c>
      <c r="X795" t="n">
        <v>73.81999999999999</v>
      </c>
      <c r="Y795">
        <f>VLOOKUP(D795,$AB$2:$AC$7,2,FALSE)</f>
        <v/>
      </c>
      <c r="Z795">
        <f>IF(A795&lt;Y795,"Yes","No")</f>
        <v/>
      </c>
    </row>
    <row r="796">
      <c r="A796" t="n">
        <v>2019</v>
      </c>
      <c r="B796" t="inlineStr">
        <is>
          <t>Q3</t>
        </is>
      </c>
      <c r="C796" t="inlineStr">
        <is>
          <t>North America</t>
        </is>
      </c>
      <c r="D796" t="inlineStr">
        <is>
          <t>Semi</t>
        </is>
      </c>
      <c r="E796" t="n">
        <v>1180</v>
      </c>
      <c r="F796" t="n">
        <v>76503.61</v>
      </c>
      <c r="G796" t="n">
        <v>24</v>
      </c>
      <c r="H796" t="inlineStr">
        <is>
          <t>Performance</t>
        </is>
      </c>
      <c r="I796" t="inlineStr">
        <is>
          <t>AWD</t>
        </is>
      </c>
      <c r="J796" t="inlineStr">
        <is>
          <t>Red</t>
        </is>
      </c>
      <c r="K796" t="n">
        <v>399</v>
      </c>
      <c r="L796" t="n">
        <v>64</v>
      </c>
      <c r="M796" t="n">
        <v>21.08</v>
      </c>
      <c r="N796" t="n">
        <v>2560.09</v>
      </c>
      <c r="O796" t="n">
        <v>4.33</v>
      </c>
      <c r="P796" t="n">
        <v>6</v>
      </c>
      <c r="Q796" t="n">
        <v>0</v>
      </c>
      <c r="R796" t="n">
        <v>2024.12</v>
      </c>
      <c r="S796" t="b">
        <v>0</v>
      </c>
      <c r="T796" t="n">
        <v>1255705</v>
      </c>
      <c r="U796" t="n">
        <v>8</v>
      </c>
      <c r="V796" t="n">
        <v>0.034</v>
      </c>
      <c r="W796" t="n">
        <v>0.83</v>
      </c>
      <c r="X796" t="n">
        <v>78.09</v>
      </c>
      <c r="Y796">
        <f>VLOOKUP(D796,$AB$2:$AC$7,2,FALSE)</f>
        <v/>
      </c>
      <c r="Z796">
        <f>IF(A796&lt;Y796,"Yes","No")</f>
        <v/>
      </c>
    </row>
    <row r="797">
      <c r="A797" t="n">
        <v>2019</v>
      </c>
      <c r="B797" t="inlineStr">
        <is>
          <t>Q3</t>
        </is>
      </c>
      <c r="C797" t="inlineStr">
        <is>
          <t>South America</t>
        </is>
      </c>
      <c r="D797" t="inlineStr">
        <is>
          <t>Cybertruck</t>
        </is>
      </c>
      <c r="E797" t="n">
        <v>659</v>
      </c>
      <c r="F797" t="n">
        <v>73188.72</v>
      </c>
      <c r="G797" t="n">
        <v>51</v>
      </c>
      <c r="H797" t="inlineStr">
        <is>
          <t>Performance</t>
        </is>
      </c>
      <c r="I797" t="inlineStr">
        <is>
          <t>RWD</t>
        </is>
      </c>
      <c r="J797" t="inlineStr">
        <is>
          <t>Green</t>
        </is>
      </c>
      <c r="K797" t="n">
        <v>537</v>
      </c>
      <c r="L797" t="n">
        <v>47</v>
      </c>
      <c r="M797" t="n">
        <v>23.99</v>
      </c>
      <c r="N797" t="n">
        <v>468.2</v>
      </c>
      <c r="O797" t="n">
        <v>4.33</v>
      </c>
      <c r="P797" t="n">
        <v>6</v>
      </c>
      <c r="Q797" t="n">
        <v>2</v>
      </c>
      <c r="R797" t="n">
        <v>2023.1</v>
      </c>
      <c r="S797" t="b">
        <v>0</v>
      </c>
      <c r="T797" t="n">
        <v>3750031</v>
      </c>
      <c r="U797" t="n">
        <v>10</v>
      </c>
      <c r="V797" t="n">
        <v>0.0214</v>
      </c>
      <c r="W797" t="n">
        <v>2.19</v>
      </c>
      <c r="X797" t="n">
        <v>64.25</v>
      </c>
      <c r="Y797">
        <f>VLOOKUP(D797,$AB$2:$AC$7,2,FALSE)</f>
        <v/>
      </c>
      <c r="Z797">
        <f>IF(A797&lt;Y797,"Yes","No")</f>
        <v/>
      </c>
    </row>
    <row r="798">
      <c r="A798" t="n">
        <v>2017</v>
      </c>
      <c r="B798" t="inlineStr">
        <is>
          <t>Q4</t>
        </is>
      </c>
      <c r="C798" t="inlineStr">
        <is>
          <t>North America</t>
        </is>
      </c>
      <c r="D798" t="inlineStr">
        <is>
          <t>Semi</t>
        </is>
      </c>
      <c r="E798" t="n">
        <v>4756</v>
      </c>
      <c r="F798" t="n">
        <v>36535.25</v>
      </c>
      <c r="G798" t="n">
        <v>46</v>
      </c>
      <c r="H798" t="inlineStr">
        <is>
          <t>Standard</t>
        </is>
      </c>
      <c r="I798" t="inlineStr">
        <is>
          <t>AWD</t>
        </is>
      </c>
      <c r="J798" t="inlineStr">
        <is>
          <t>Green</t>
        </is>
      </c>
      <c r="K798" t="n">
        <v>554</v>
      </c>
      <c r="L798" t="n">
        <v>44</v>
      </c>
      <c r="M798" t="n">
        <v>24.1</v>
      </c>
      <c r="N798" t="n">
        <v>10924.31</v>
      </c>
      <c r="O798" t="n">
        <v>4.12</v>
      </c>
      <c r="P798" t="n">
        <v>4</v>
      </c>
      <c r="Q798" t="n">
        <v>3</v>
      </c>
      <c r="R798" t="n">
        <v>2021.4</v>
      </c>
      <c r="S798" t="b">
        <v>1</v>
      </c>
      <c r="T798" t="n">
        <v>2435775</v>
      </c>
      <c r="U798" t="n">
        <v>9</v>
      </c>
      <c r="V798" t="n">
        <v>0.0993</v>
      </c>
      <c r="W798" t="n">
        <v>1.51</v>
      </c>
      <c r="X798" t="n">
        <v>87.59</v>
      </c>
      <c r="Y798">
        <f>VLOOKUP(D798,$AB$2:$AC$7,2,FALSE)</f>
        <v/>
      </c>
      <c r="Z798">
        <f>IF(A798&lt;Y798,"Yes","No")</f>
        <v/>
      </c>
    </row>
    <row r="799">
      <c r="A799" t="n">
        <v>2021</v>
      </c>
      <c r="B799" t="inlineStr">
        <is>
          <t>Q3</t>
        </is>
      </c>
      <c r="C799" t="inlineStr">
        <is>
          <t>Asia</t>
        </is>
      </c>
      <c r="D799" t="inlineStr">
        <is>
          <t>Model S</t>
        </is>
      </c>
      <c r="E799" t="n">
        <v>528</v>
      </c>
      <c r="F799" t="n">
        <v>42561.55</v>
      </c>
      <c r="G799" t="n">
        <v>33</v>
      </c>
      <c r="H799" t="inlineStr">
        <is>
          <t>Performance</t>
        </is>
      </c>
      <c r="I799" t="inlineStr">
        <is>
          <t>AWD</t>
        </is>
      </c>
      <c r="J799" t="inlineStr">
        <is>
          <t>Black</t>
        </is>
      </c>
      <c r="K799" t="n">
        <v>484</v>
      </c>
      <c r="L799" t="n">
        <v>75</v>
      </c>
      <c r="M799" t="n">
        <v>18.43</v>
      </c>
      <c r="N799" t="n">
        <v>359.13</v>
      </c>
      <c r="O799" t="n">
        <v>4.99</v>
      </c>
      <c r="P799" t="n">
        <v>4</v>
      </c>
      <c r="Q799" t="n">
        <v>3</v>
      </c>
      <c r="R799" t="n">
        <v>2024.6</v>
      </c>
      <c r="S799" t="b">
        <v>1</v>
      </c>
      <c r="T799" t="n">
        <v>4138865</v>
      </c>
      <c r="U799" t="n">
        <v>3</v>
      </c>
      <c r="V799" t="n">
        <v>0.0153</v>
      </c>
      <c r="W799" t="n">
        <v>1.2</v>
      </c>
      <c r="X799" t="n">
        <v>76.87</v>
      </c>
      <c r="Y799">
        <f>VLOOKUP(D799,$AB$2:$AC$7,2,FALSE)</f>
        <v/>
      </c>
      <c r="Z799">
        <f>IF(A799&lt;Y799,"Yes","No")</f>
        <v/>
      </c>
    </row>
    <row r="800">
      <c r="A800" t="n">
        <v>2023</v>
      </c>
      <c r="B800" t="inlineStr">
        <is>
          <t>Q1</t>
        </is>
      </c>
      <c r="C800" t="inlineStr">
        <is>
          <t>North America</t>
        </is>
      </c>
      <c r="D800" t="inlineStr">
        <is>
          <t>Model S</t>
        </is>
      </c>
      <c r="E800" t="n">
        <v>4755</v>
      </c>
      <c r="F800" t="n">
        <v>66603.13</v>
      </c>
      <c r="G800" t="n">
        <v>0</v>
      </c>
      <c r="H800" t="inlineStr">
        <is>
          <t>Performance</t>
        </is>
      </c>
      <c r="I800" t="inlineStr">
        <is>
          <t>AWD</t>
        </is>
      </c>
      <c r="J800" t="inlineStr">
        <is>
          <t>Blue</t>
        </is>
      </c>
      <c r="K800" t="n">
        <v>405</v>
      </c>
      <c r="L800" t="n">
        <v>82</v>
      </c>
      <c r="M800" t="n">
        <v>20.88</v>
      </c>
      <c r="N800" t="n">
        <v>5372.99</v>
      </c>
      <c r="O800" t="n">
        <v>4.14</v>
      </c>
      <c r="P800" t="n">
        <v>4</v>
      </c>
      <c r="Q800" t="n">
        <v>2</v>
      </c>
      <c r="R800" t="n">
        <v>2021.8</v>
      </c>
      <c r="S800" t="b">
        <v>1</v>
      </c>
      <c r="T800" t="n">
        <v>4877411</v>
      </c>
      <c r="U800" t="n">
        <v>4</v>
      </c>
      <c r="V800" t="n">
        <v>0.028</v>
      </c>
      <c r="W800" t="n">
        <v>0.57</v>
      </c>
      <c r="X800" t="n">
        <v>62.13</v>
      </c>
      <c r="Y800">
        <f>VLOOKUP(D800,$AB$2:$AC$7,2,FALSE)</f>
        <v/>
      </c>
      <c r="Z800">
        <f>IF(A800&lt;Y800,"Yes","No")</f>
        <v/>
      </c>
    </row>
    <row r="801">
      <c r="A801" t="n">
        <v>2018</v>
      </c>
      <c r="B801" t="inlineStr">
        <is>
          <t>Q3</t>
        </is>
      </c>
      <c r="C801" t="inlineStr">
        <is>
          <t>North America</t>
        </is>
      </c>
      <c r="D801" t="inlineStr">
        <is>
          <t>Model S</t>
        </is>
      </c>
      <c r="E801" t="n">
        <v>4013</v>
      </c>
      <c r="F801" t="n">
        <v>56796.18</v>
      </c>
      <c r="G801" t="n">
        <v>44</v>
      </c>
      <c r="H801" t="inlineStr">
        <is>
          <t>Performance</t>
        </is>
      </c>
      <c r="I801" t="inlineStr">
        <is>
          <t>AWD</t>
        </is>
      </c>
      <c r="J801" t="inlineStr">
        <is>
          <t>Silver</t>
        </is>
      </c>
      <c r="K801" t="n">
        <v>643</v>
      </c>
      <c r="L801" t="n">
        <v>80</v>
      </c>
      <c r="M801" t="n">
        <v>16.75</v>
      </c>
      <c r="N801" t="n">
        <v>7716.01</v>
      </c>
      <c r="O801" t="n">
        <v>4.55</v>
      </c>
      <c r="P801" t="n">
        <v>5</v>
      </c>
      <c r="Q801" t="n">
        <v>1</v>
      </c>
      <c r="R801" t="n">
        <v>2024.9</v>
      </c>
      <c r="S801" t="b">
        <v>0</v>
      </c>
      <c r="T801" t="n">
        <v>3566209</v>
      </c>
      <c r="U801" t="n">
        <v>11</v>
      </c>
      <c r="V801" t="n">
        <v>0.06</v>
      </c>
      <c r="W801" t="n">
        <v>0.93</v>
      </c>
      <c r="X801" t="n">
        <v>85.72</v>
      </c>
      <c r="Y801">
        <f>VLOOKUP(D801,$AB$2:$AC$7,2,FALSE)</f>
        <v/>
      </c>
      <c r="Z801">
        <f>IF(A801&lt;Y801,"Yes","No")</f>
        <v/>
      </c>
    </row>
    <row r="802">
      <c r="A802" t="n">
        <v>2017</v>
      </c>
      <c r="B802" t="inlineStr">
        <is>
          <t>Q2</t>
        </is>
      </c>
      <c r="C802" t="inlineStr">
        <is>
          <t>South America</t>
        </is>
      </c>
      <c r="D802" t="inlineStr">
        <is>
          <t>Model X</t>
        </is>
      </c>
      <c r="E802" t="n">
        <v>2335</v>
      </c>
      <c r="F802" t="n">
        <v>116306.74</v>
      </c>
      <c r="G802" t="n">
        <v>49</v>
      </c>
      <c r="H802" t="inlineStr">
        <is>
          <t>Standard</t>
        </is>
      </c>
      <c r="I802" t="inlineStr">
        <is>
          <t>RWD</t>
        </is>
      </c>
      <c r="J802" t="inlineStr">
        <is>
          <t>Green</t>
        </is>
      </c>
      <c r="K802" t="n">
        <v>395</v>
      </c>
      <c r="L802" t="n">
        <v>69</v>
      </c>
      <c r="M802" t="n">
        <v>22.52</v>
      </c>
      <c r="N802" t="n">
        <v>3571.01</v>
      </c>
      <c r="O802" t="n">
        <v>3.71</v>
      </c>
      <c r="P802" t="n">
        <v>8</v>
      </c>
      <c r="Q802" t="n">
        <v>1</v>
      </c>
      <c r="R802" t="n">
        <v>2022.9</v>
      </c>
      <c r="S802" t="b">
        <v>1</v>
      </c>
      <c r="T802" t="n">
        <v>1888597</v>
      </c>
      <c r="U802" t="n">
        <v>3</v>
      </c>
      <c r="V802" t="n">
        <v>0.0132</v>
      </c>
      <c r="W802" t="n">
        <v>1.16</v>
      </c>
      <c r="X802" t="n">
        <v>64.61</v>
      </c>
      <c r="Y802">
        <f>VLOOKUP(D802,$AB$2:$AC$7,2,FALSE)</f>
        <v/>
      </c>
      <c r="Z802">
        <f>IF(A802&lt;Y802,"Yes","No")</f>
        <v/>
      </c>
    </row>
    <row r="803">
      <c r="A803" t="n">
        <v>2024</v>
      </c>
      <c r="B803" t="inlineStr">
        <is>
          <t>Q4</t>
        </is>
      </c>
      <c r="C803" t="inlineStr">
        <is>
          <t>Europe</t>
        </is>
      </c>
      <c r="D803" t="inlineStr">
        <is>
          <t>Semi</t>
        </is>
      </c>
      <c r="E803" t="n">
        <v>1550</v>
      </c>
      <c r="F803" t="n">
        <v>40841.26</v>
      </c>
      <c r="G803" t="n">
        <v>57</v>
      </c>
      <c r="H803" t="inlineStr">
        <is>
          <t>Long Range</t>
        </is>
      </c>
      <c r="I803" t="inlineStr">
        <is>
          <t>AWD</t>
        </is>
      </c>
      <c r="J803" t="inlineStr">
        <is>
          <t>Green</t>
        </is>
      </c>
      <c r="K803" t="n">
        <v>534</v>
      </c>
      <c r="L803" t="n">
        <v>58</v>
      </c>
      <c r="M803" t="n">
        <v>16.07</v>
      </c>
      <c r="N803" t="n">
        <v>3143.22</v>
      </c>
      <c r="O803" t="n">
        <v>4.74</v>
      </c>
      <c r="P803" t="n">
        <v>6</v>
      </c>
      <c r="Q803" t="n">
        <v>1</v>
      </c>
      <c r="R803" t="n">
        <v>2023.9</v>
      </c>
      <c r="S803" t="b">
        <v>1</v>
      </c>
      <c r="T803" t="n">
        <v>3502684</v>
      </c>
      <c r="U803" t="n">
        <v>6</v>
      </c>
      <c r="V803" t="n">
        <v>0.09810000000000001</v>
      </c>
      <c r="W803" t="n">
        <v>1.37</v>
      </c>
      <c r="X803" t="n">
        <v>82.36</v>
      </c>
      <c r="Y803">
        <f>VLOOKUP(D803,$AB$2:$AC$7,2,FALSE)</f>
        <v/>
      </c>
      <c r="Z803">
        <f>IF(A803&lt;Y803,"Yes","No")</f>
        <v/>
      </c>
    </row>
    <row r="804">
      <c r="A804" t="n">
        <v>2019</v>
      </c>
      <c r="B804" t="inlineStr">
        <is>
          <t>Q2</t>
        </is>
      </c>
      <c r="C804" t="inlineStr">
        <is>
          <t>South America</t>
        </is>
      </c>
      <c r="D804" t="inlineStr">
        <is>
          <t>Cybertruck</t>
        </is>
      </c>
      <c r="E804" t="n">
        <v>1844</v>
      </c>
      <c r="F804" t="n">
        <v>119126.75</v>
      </c>
      <c r="G804" t="n">
        <v>16</v>
      </c>
      <c r="H804" t="inlineStr">
        <is>
          <t>Long Range</t>
        </is>
      </c>
      <c r="I804" t="inlineStr">
        <is>
          <t>AWD</t>
        </is>
      </c>
      <c r="J804" t="inlineStr">
        <is>
          <t>Silver</t>
        </is>
      </c>
      <c r="K804" t="n">
        <v>505</v>
      </c>
      <c r="L804" t="n">
        <v>41</v>
      </c>
      <c r="M804" t="n">
        <v>16.82</v>
      </c>
      <c r="N804" t="n">
        <v>1762.32</v>
      </c>
      <c r="O804" t="n">
        <v>4.88</v>
      </c>
      <c r="P804" t="n">
        <v>6</v>
      </c>
      <c r="Q804" t="n">
        <v>3</v>
      </c>
      <c r="R804" t="n">
        <v>2021.9</v>
      </c>
      <c r="S804" t="b">
        <v>1</v>
      </c>
      <c r="T804" t="n">
        <v>2875356</v>
      </c>
      <c r="U804" t="n">
        <v>7</v>
      </c>
      <c r="V804" t="n">
        <v>0.0148</v>
      </c>
      <c r="W804" t="n">
        <v>2.13</v>
      </c>
      <c r="X804" t="n">
        <v>87.81</v>
      </c>
      <c r="Y804">
        <f>VLOOKUP(D804,$AB$2:$AC$7,2,FALSE)</f>
        <v/>
      </c>
      <c r="Z804">
        <f>IF(A804&lt;Y804,"Yes","No")</f>
        <v/>
      </c>
    </row>
    <row r="805">
      <c r="A805" t="n">
        <v>2023</v>
      </c>
      <c r="B805" t="inlineStr">
        <is>
          <t>Q1</t>
        </is>
      </c>
      <c r="C805" t="inlineStr">
        <is>
          <t>Australia</t>
        </is>
      </c>
      <c r="D805" t="inlineStr">
        <is>
          <t>Model X</t>
        </is>
      </c>
      <c r="E805" t="n">
        <v>3728</v>
      </c>
      <c r="F805" t="n">
        <v>87689.34</v>
      </c>
      <c r="G805" t="n">
        <v>22</v>
      </c>
      <c r="H805" t="inlineStr">
        <is>
          <t>Standard</t>
        </is>
      </c>
      <c r="I805" t="inlineStr">
        <is>
          <t>RWD</t>
        </is>
      </c>
      <c r="J805" t="inlineStr">
        <is>
          <t>Blue</t>
        </is>
      </c>
      <c r="K805" t="n">
        <v>431</v>
      </c>
      <c r="L805" t="n">
        <v>43</v>
      </c>
      <c r="M805" t="n">
        <v>19.77</v>
      </c>
      <c r="N805" t="n">
        <v>7300.81</v>
      </c>
      <c r="O805" t="n">
        <v>3.51</v>
      </c>
      <c r="P805" t="n">
        <v>4</v>
      </c>
      <c r="Q805" t="n">
        <v>2</v>
      </c>
      <c r="R805" t="n">
        <v>2022.2</v>
      </c>
      <c r="S805" t="b">
        <v>1</v>
      </c>
      <c r="T805" t="n">
        <v>4238809</v>
      </c>
      <c r="U805" t="n">
        <v>12</v>
      </c>
      <c r="V805" t="n">
        <v>0.073</v>
      </c>
      <c r="W805" t="n">
        <v>1.96</v>
      </c>
      <c r="X805" t="n">
        <v>79.98</v>
      </c>
      <c r="Y805">
        <f>VLOOKUP(D805,$AB$2:$AC$7,2,FALSE)</f>
        <v/>
      </c>
      <c r="Z805">
        <f>IF(A805&lt;Y805,"Yes","No")</f>
        <v/>
      </c>
    </row>
    <row r="806">
      <c r="A806" t="n">
        <v>2021</v>
      </c>
      <c r="B806" t="inlineStr">
        <is>
          <t>Q1</t>
        </is>
      </c>
      <c r="C806" t="inlineStr">
        <is>
          <t>Europe</t>
        </is>
      </c>
      <c r="D806" t="inlineStr">
        <is>
          <t>Model S</t>
        </is>
      </c>
      <c r="E806" t="n">
        <v>732</v>
      </c>
      <c r="F806" t="n">
        <v>119726.42</v>
      </c>
      <c r="G806" t="n">
        <v>29</v>
      </c>
      <c r="H806" t="inlineStr">
        <is>
          <t>Performance</t>
        </is>
      </c>
      <c r="I806" t="inlineStr">
        <is>
          <t>RWD</t>
        </is>
      </c>
      <c r="J806" t="inlineStr">
        <is>
          <t>Red</t>
        </is>
      </c>
      <c r="K806" t="n">
        <v>657</v>
      </c>
      <c r="L806" t="n">
        <v>73</v>
      </c>
      <c r="M806" t="n">
        <v>13.23</v>
      </c>
      <c r="N806" t="n">
        <v>846.97</v>
      </c>
      <c r="O806" t="n">
        <v>3.94</v>
      </c>
      <c r="P806" t="n">
        <v>8</v>
      </c>
      <c r="Q806" t="n">
        <v>3</v>
      </c>
      <c r="R806" t="n">
        <v>2020.11</v>
      </c>
      <c r="S806" t="b">
        <v>1</v>
      </c>
      <c r="T806" t="n">
        <v>1510880</v>
      </c>
      <c r="U806" t="n">
        <v>12</v>
      </c>
      <c r="V806" t="n">
        <v>0.0121</v>
      </c>
      <c r="W806" t="n">
        <v>1.93</v>
      </c>
      <c r="X806" t="n">
        <v>71.13</v>
      </c>
      <c r="Y806">
        <f>VLOOKUP(D806,$AB$2:$AC$7,2,FALSE)</f>
        <v/>
      </c>
      <c r="Z806">
        <f>IF(A806&lt;Y806,"Yes","No")</f>
        <v/>
      </c>
    </row>
    <row r="807">
      <c r="A807" t="n">
        <v>2015</v>
      </c>
      <c r="B807" t="inlineStr">
        <is>
          <t>Q3</t>
        </is>
      </c>
      <c r="C807" t="inlineStr">
        <is>
          <t>Asia</t>
        </is>
      </c>
      <c r="D807" t="inlineStr">
        <is>
          <t>Semi</t>
        </is>
      </c>
      <c r="E807" t="n">
        <v>731</v>
      </c>
      <c r="F807" t="n">
        <v>93019.97</v>
      </c>
      <c r="G807" t="n">
        <v>0</v>
      </c>
      <c r="H807" t="inlineStr">
        <is>
          <t>Standard</t>
        </is>
      </c>
      <c r="I807" t="inlineStr">
        <is>
          <t>AWD</t>
        </is>
      </c>
      <c r="J807" t="inlineStr">
        <is>
          <t>Black</t>
        </is>
      </c>
      <c r="K807" t="n">
        <v>574</v>
      </c>
      <c r="L807" t="n">
        <v>87</v>
      </c>
      <c r="M807" t="n">
        <v>16.76</v>
      </c>
      <c r="N807" t="n">
        <v>1526.16</v>
      </c>
      <c r="O807" t="n">
        <v>4.35</v>
      </c>
      <c r="P807" t="n">
        <v>4</v>
      </c>
      <c r="Q807" t="n">
        <v>0</v>
      </c>
      <c r="R807" t="n">
        <v>2021.7</v>
      </c>
      <c r="S807" t="b">
        <v>1</v>
      </c>
      <c r="T807" t="n">
        <v>762195</v>
      </c>
      <c r="U807" t="n">
        <v>7</v>
      </c>
      <c r="V807" t="n">
        <v>0.02</v>
      </c>
      <c r="W807" t="n">
        <v>0.93</v>
      </c>
      <c r="X807" t="n">
        <v>81.58</v>
      </c>
      <c r="Y807">
        <f>VLOOKUP(D807,$AB$2:$AC$7,2,FALSE)</f>
        <v/>
      </c>
      <c r="Z807">
        <f>IF(A807&lt;Y807,"Yes","No")</f>
        <v/>
      </c>
    </row>
    <row r="808">
      <c r="A808" t="n">
        <v>2014</v>
      </c>
      <c r="B808" t="inlineStr">
        <is>
          <t>Q3</t>
        </is>
      </c>
      <c r="C808" t="inlineStr">
        <is>
          <t>South America</t>
        </is>
      </c>
      <c r="D808" t="inlineStr">
        <is>
          <t>Model X</t>
        </is>
      </c>
      <c r="E808" t="n">
        <v>3655</v>
      </c>
      <c r="F808" t="n">
        <v>88865.89999999999</v>
      </c>
      <c r="G808" t="n">
        <v>39</v>
      </c>
      <c r="H808" t="inlineStr">
        <is>
          <t>Long Range</t>
        </is>
      </c>
      <c r="I808" t="inlineStr">
        <is>
          <t>AWD</t>
        </is>
      </c>
      <c r="J808" t="inlineStr">
        <is>
          <t>Blue</t>
        </is>
      </c>
      <c r="K808" t="n">
        <v>494</v>
      </c>
      <c r="L808" t="n">
        <v>32</v>
      </c>
      <c r="M808" t="n">
        <v>24.47</v>
      </c>
      <c r="N808" t="n">
        <v>5426.31</v>
      </c>
      <c r="O808" t="n">
        <v>4.65</v>
      </c>
      <c r="P808" t="n">
        <v>5</v>
      </c>
      <c r="Q808" t="n">
        <v>1</v>
      </c>
      <c r="R808" t="n">
        <v>2023.1</v>
      </c>
      <c r="S808" t="b">
        <v>1</v>
      </c>
      <c r="T808" t="n">
        <v>3068439</v>
      </c>
      <c r="U808" t="n">
        <v>11</v>
      </c>
      <c r="V808" t="n">
        <v>0.0707</v>
      </c>
      <c r="W808" t="n">
        <v>1.79</v>
      </c>
      <c r="X808" t="n">
        <v>87.40000000000001</v>
      </c>
      <c r="Y808">
        <f>VLOOKUP(D808,$AB$2:$AC$7,2,FALSE)</f>
        <v/>
      </c>
      <c r="Z808">
        <f>IF(A808&lt;Y808,"Yes","No")</f>
        <v/>
      </c>
    </row>
    <row r="809">
      <c r="A809" t="n">
        <v>2022</v>
      </c>
      <c r="B809" t="inlineStr">
        <is>
          <t>Q1</t>
        </is>
      </c>
      <c r="C809" t="inlineStr">
        <is>
          <t>North America</t>
        </is>
      </c>
      <c r="D809" t="inlineStr">
        <is>
          <t>Model S</t>
        </is>
      </c>
      <c r="E809" t="n">
        <v>3266</v>
      </c>
      <c r="F809" t="n">
        <v>59466.88</v>
      </c>
      <c r="G809" t="n">
        <v>43</v>
      </c>
      <c r="H809" t="inlineStr">
        <is>
          <t>Performance</t>
        </is>
      </c>
      <c r="I809" t="inlineStr">
        <is>
          <t>AWD</t>
        </is>
      </c>
      <c r="J809" t="inlineStr">
        <is>
          <t>White</t>
        </is>
      </c>
      <c r="K809" t="n">
        <v>356</v>
      </c>
      <c r="L809" t="n">
        <v>43</v>
      </c>
      <c r="M809" t="n">
        <v>21.28</v>
      </c>
      <c r="N809" t="n">
        <v>5414.89</v>
      </c>
      <c r="O809" t="n">
        <v>3.5</v>
      </c>
      <c r="P809" t="n">
        <v>6</v>
      </c>
      <c r="Q809" t="n">
        <v>1</v>
      </c>
      <c r="R809" t="n">
        <v>2020.4</v>
      </c>
      <c r="S809" t="b">
        <v>0</v>
      </c>
      <c r="T809" t="n">
        <v>482580</v>
      </c>
      <c r="U809" t="n">
        <v>10</v>
      </c>
      <c r="V809" t="n">
        <v>0.065</v>
      </c>
      <c r="W809" t="n">
        <v>2.44</v>
      </c>
      <c r="X809" t="n">
        <v>68.53</v>
      </c>
      <c r="Y809">
        <f>VLOOKUP(D809,$AB$2:$AC$7,2,FALSE)</f>
        <v/>
      </c>
      <c r="Z809">
        <f>IF(A809&lt;Y809,"Yes","No")</f>
        <v/>
      </c>
    </row>
    <row r="810">
      <c r="A810" t="n">
        <v>2013</v>
      </c>
      <c r="B810" t="inlineStr">
        <is>
          <t>Q3</t>
        </is>
      </c>
      <c r="C810" t="inlineStr">
        <is>
          <t>South America</t>
        </is>
      </c>
      <c r="D810" t="inlineStr">
        <is>
          <t>Model S</t>
        </is>
      </c>
      <c r="E810" t="n">
        <v>1863</v>
      </c>
      <c r="F810" t="n">
        <v>119191.28</v>
      </c>
      <c r="G810" t="n">
        <v>21</v>
      </c>
      <c r="H810" t="inlineStr">
        <is>
          <t>Performance</t>
        </is>
      </c>
      <c r="I810" t="inlineStr">
        <is>
          <t>AWD</t>
        </is>
      </c>
      <c r="J810" t="inlineStr">
        <is>
          <t>Silver</t>
        </is>
      </c>
      <c r="K810" t="n">
        <v>533</v>
      </c>
      <c r="L810" t="n">
        <v>52</v>
      </c>
      <c r="M810" t="n">
        <v>22.12</v>
      </c>
      <c r="N810" t="n">
        <v>1839.27</v>
      </c>
      <c r="O810" t="n">
        <v>4.06</v>
      </c>
      <c r="P810" t="n">
        <v>6</v>
      </c>
      <c r="Q810" t="n">
        <v>1</v>
      </c>
      <c r="R810" t="n">
        <v>2020.6</v>
      </c>
      <c r="S810" t="b">
        <v>0</v>
      </c>
      <c r="T810" t="n">
        <v>692753</v>
      </c>
      <c r="U810" t="n">
        <v>2</v>
      </c>
      <c r="V810" t="n">
        <v>0.0153</v>
      </c>
      <c r="W810" t="n">
        <v>2.43</v>
      </c>
      <c r="X810" t="n">
        <v>77.08</v>
      </c>
      <c r="Y810">
        <f>VLOOKUP(D810,$AB$2:$AC$7,2,FALSE)</f>
        <v/>
      </c>
      <c r="Z810">
        <f>IF(A810&lt;Y810,"Yes","No")</f>
        <v/>
      </c>
    </row>
    <row r="811">
      <c r="A811" t="n">
        <v>2021</v>
      </c>
      <c r="B811" t="inlineStr">
        <is>
          <t>Q1</t>
        </is>
      </c>
      <c r="C811" t="inlineStr">
        <is>
          <t>North America</t>
        </is>
      </c>
      <c r="D811" t="inlineStr">
        <is>
          <t>Model Y</t>
        </is>
      </c>
      <c r="E811" t="n">
        <v>4729</v>
      </c>
      <c r="F811" t="n">
        <v>71420.22</v>
      </c>
      <c r="G811" t="n">
        <v>58</v>
      </c>
      <c r="H811" t="inlineStr">
        <is>
          <t>Performance</t>
        </is>
      </c>
      <c r="I811" t="inlineStr">
        <is>
          <t>AWD</t>
        </is>
      </c>
      <c r="J811" t="inlineStr">
        <is>
          <t>Red</t>
        </is>
      </c>
      <c r="K811" t="n">
        <v>629</v>
      </c>
      <c r="L811" t="n">
        <v>54</v>
      </c>
      <c r="M811" t="n">
        <v>21.61</v>
      </c>
      <c r="N811" t="n">
        <v>6880.7</v>
      </c>
      <c r="O811" t="n">
        <v>3.57</v>
      </c>
      <c r="P811" t="n">
        <v>5</v>
      </c>
      <c r="Q811" t="n">
        <v>3</v>
      </c>
      <c r="R811" t="n">
        <v>2024.5</v>
      </c>
      <c r="S811" t="b">
        <v>1</v>
      </c>
      <c r="T811" t="n">
        <v>1927072</v>
      </c>
      <c r="U811" t="n">
        <v>12</v>
      </c>
      <c r="V811" t="n">
        <v>0.0274</v>
      </c>
      <c r="W811" t="n">
        <v>2.2</v>
      </c>
      <c r="X811" t="n">
        <v>69.2</v>
      </c>
      <c r="Y811">
        <f>VLOOKUP(D811,$AB$2:$AC$7,2,FALSE)</f>
        <v/>
      </c>
      <c r="Z811">
        <f>IF(A811&lt;Y811,"Yes","No")</f>
        <v/>
      </c>
    </row>
    <row r="812">
      <c r="A812" t="n">
        <v>2023</v>
      </c>
      <c r="B812" t="inlineStr">
        <is>
          <t>Q3</t>
        </is>
      </c>
      <c r="C812" t="inlineStr">
        <is>
          <t>Europe</t>
        </is>
      </c>
      <c r="D812" t="inlineStr">
        <is>
          <t>Model S</t>
        </is>
      </c>
      <c r="E812" t="n">
        <v>72</v>
      </c>
      <c r="F812" t="n">
        <v>68373.59</v>
      </c>
      <c r="G812" t="n">
        <v>29</v>
      </c>
      <c r="H812" t="inlineStr">
        <is>
          <t>Long Range</t>
        </is>
      </c>
      <c r="I812" t="inlineStr">
        <is>
          <t>AWD</t>
        </is>
      </c>
      <c r="J812" t="inlineStr">
        <is>
          <t>White</t>
        </is>
      </c>
      <c r="K812" t="n">
        <v>517</v>
      </c>
      <c r="L812" t="n">
        <v>30</v>
      </c>
      <c r="M812" t="n">
        <v>15.62</v>
      </c>
      <c r="N812" t="n">
        <v>127.14</v>
      </c>
      <c r="O812" t="n">
        <v>4.74</v>
      </c>
      <c r="P812" t="n">
        <v>4</v>
      </c>
      <c r="Q812" t="n">
        <v>3</v>
      </c>
      <c r="R812" t="n">
        <v>2021.7</v>
      </c>
      <c r="S812" t="b">
        <v>0</v>
      </c>
      <c r="T812" t="n">
        <v>2239966</v>
      </c>
      <c r="U812" t="n">
        <v>4</v>
      </c>
      <c r="V812" t="n">
        <v>0.09089999999999999</v>
      </c>
      <c r="W812" t="n">
        <v>0.87</v>
      </c>
      <c r="X812" t="n">
        <v>63.17</v>
      </c>
      <c r="Y812">
        <f>VLOOKUP(D812,$AB$2:$AC$7,2,FALSE)</f>
        <v/>
      </c>
      <c r="Z812">
        <f>IF(A812&lt;Y812,"Yes","No")</f>
        <v/>
      </c>
    </row>
    <row r="813">
      <c r="A813" t="n">
        <v>2020</v>
      </c>
      <c r="B813" t="inlineStr">
        <is>
          <t>Q3</t>
        </is>
      </c>
      <c r="C813" t="inlineStr">
        <is>
          <t>Europe</t>
        </is>
      </c>
      <c r="D813" t="inlineStr">
        <is>
          <t>Cybertruck</t>
        </is>
      </c>
      <c r="E813" t="n">
        <v>550</v>
      </c>
      <c r="F813" t="n">
        <v>88357.59</v>
      </c>
      <c r="G813" t="n">
        <v>42</v>
      </c>
      <c r="H813" t="inlineStr">
        <is>
          <t>Performance</t>
        </is>
      </c>
      <c r="I813" t="inlineStr">
        <is>
          <t>AWD</t>
        </is>
      </c>
      <c r="J813" t="inlineStr">
        <is>
          <t>Black</t>
        </is>
      </c>
      <c r="K813" t="n">
        <v>463</v>
      </c>
      <c r="L813" t="n">
        <v>49</v>
      </c>
      <c r="M813" t="n">
        <v>16.97</v>
      </c>
      <c r="N813" t="n">
        <v>379.77</v>
      </c>
      <c r="O813" t="n">
        <v>3.52</v>
      </c>
      <c r="P813" t="n">
        <v>4</v>
      </c>
      <c r="Q813" t="n">
        <v>0</v>
      </c>
      <c r="R813" t="n">
        <v>2023.11</v>
      </c>
      <c r="S813" t="b">
        <v>1</v>
      </c>
      <c r="T813" t="n">
        <v>3087766</v>
      </c>
      <c r="U813" t="n">
        <v>5</v>
      </c>
      <c r="V813" t="n">
        <v>0.0105</v>
      </c>
      <c r="W813" t="n">
        <v>2.03</v>
      </c>
      <c r="X813" t="n">
        <v>76.23</v>
      </c>
      <c r="Y813">
        <f>VLOOKUP(D813,$AB$2:$AC$7,2,FALSE)</f>
        <v/>
      </c>
      <c r="Z813">
        <f>IF(A813&lt;Y813,"Yes","No")</f>
        <v/>
      </c>
    </row>
    <row r="814">
      <c r="A814" t="n">
        <v>2018</v>
      </c>
      <c r="B814" t="inlineStr">
        <is>
          <t>Q3</t>
        </is>
      </c>
      <c r="C814" t="inlineStr">
        <is>
          <t>Europe</t>
        </is>
      </c>
      <c r="D814" t="inlineStr">
        <is>
          <t>Model S</t>
        </is>
      </c>
      <c r="E814" t="n">
        <v>1290</v>
      </c>
      <c r="F814" t="n">
        <v>110343.87</v>
      </c>
      <c r="G814" t="n">
        <v>7</v>
      </c>
      <c r="H814" t="inlineStr">
        <is>
          <t>Standard</t>
        </is>
      </c>
      <c r="I814" t="inlineStr">
        <is>
          <t>RWD</t>
        </is>
      </c>
      <c r="J814" t="inlineStr">
        <is>
          <t>Blue</t>
        </is>
      </c>
      <c r="K814" t="n">
        <v>577</v>
      </c>
      <c r="L814" t="n">
        <v>44</v>
      </c>
      <c r="M814" t="n">
        <v>22.53</v>
      </c>
      <c r="N814" t="n">
        <v>2234.97</v>
      </c>
      <c r="O814" t="n">
        <v>3.51</v>
      </c>
      <c r="P814" t="n">
        <v>6</v>
      </c>
      <c r="Q814" t="n">
        <v>3</v>
      </c>
      <c r="R814" t="n">
        <v>2022.1</v>
      </c>
      <c r="S814" t="b">
        <v>0</v>
      </c>
      <c r="T814" t="n">
        <v>2811849</v>
      </c>
      <c r="U814" t="n">
        <v>11</v>
      </c>
      <c r="V814" t="n">
        <v>0.08749999999999999</v>
      </c>
      <c r="W814" t="n">
        <v>0.68</v>
      </c>
      <c r="X814" t="n">
        <v>77.8</v>
      </c>
      <c r="Y814">
        <f>VLOOKUP(D814,$AB$2:$AC$7,2,FALSE)</f>
        <v/>
      </c>
      <c r="Z814">
        <f>IF(A814&lt;Y814,"Yes","No")</f>
        <v/>
      </c>
    </row>
    <row r="815">
      <c r="A815" t="n">
        <v>2021</v>
      </c>
      <c r="B815" t="inlineStr">
        <is>
          <t>Q4</t>
        </is>
      </c>
      <c r="C815" t="inlineStr">
        <is>
          <t>Asia</t>
        </is>
      </c>
      <c r="D815" t="inlineStr">
        <is>
          <t>Model 3</t>
        </is>
      </c>
      <c r="E815" t="n">
        <v>3287</v>
      </c>
      <c r="F815" t="n">
        <v>38946.23</v>
      </c>
      <c r="G815" t="n">
        <v>53</v>
      </c>
      <c r="H815" t="inlineStr">
        <is>
          <t>Standard</t>
        </is>
      </c>
      <c r="I815" t="inlineStr">
        <is>
          <t>RWD</t>
        </is>
      </c>
      <c r="J815" t="inlineStr">
        <is>
          <t>Green</t>
        </is>
      </c>
      <c r="K815" t="n">
        <v>441</v>
      </c>
      <c r="L815" t="n">
        <v>81</v>
      </c>
      <c r="M815" t="n">
        <v>13.1</v>
      </c>
      <c r="N815" t="n">
        <v>6207.27</v>
      </c>
      <c r="O815" t="n">
        <v>4.19</v>
      </c>
      <c r="P815" t="n">
        <v>6</v>
      </c>
      <c r="Q815" t="n">
        <v>1</v>
      </c>
      <c r="R815" t="n">
        <v>2020.5</v>
      </c>
      <c r="S815" t="b">
        <v>0</v>
      </c>
      <c r="T815" t="n">
        <v>3987006</v>
      </c>
      <c r="U815" t="n">
        <v>2</v>
      </c>
      <c r="V815" t="n">
        <v>0.0725</v>
      </c>
      <c r="W815" t="n">
        <v>0.75</v>
      </c>
      <c r="X815" t="n">
        <v>87.22</v>
      </c>
      <c r="Y815">
        <f>VLOOKUP(D815,$AB$2:$AC$7,2,FALSE)</f>
        <v/>
      </c>
      <c r="Z815">
        <f>IF(A815&lt;Y815,"Yes","No")</f>
        <v/>
      </c>
    </row>
    <row r="816">
      <c r="A816" t="n">
        <v>2013</v>
      </c>
      <c r="B816" t="inlineStr">
        <is>
          <t>Q1</t>
        </is>
      </c>
      <c r="C816" t="inlineStr">
        <is>
          <t>Asia</t>
        </is>
      </c>
      <c r="D816" t="inlineStr">
        <is>
          <t>Model 3</t>
        </is>
      </c>
      <c r="E816" t="n">
        <v>1898</v>
      </c>
      <c r="F816" t="n">
        <v>95664.00999999999</v>
      </c>
      <c r="G816" t="n">
        <v>35</v>
      </c>
      <c r="H816" t="inlineStr">
        <is>
          <t>Standard</t>
        </is>
      </c>
      <c r="I816" t="inlineStr">
        <is>
          <t>AWD</t>
        </is>
      </c>
      <c r="J816" t="inlineStr">
        <is>
          <t>Black</t>
        </is>
      </c>
      <c r="K816" t="n">
        <v>570</v>
      </c>
      <c r="L816" t="n">
        <v>74</v>
      </c>
      <c r="M816" t="n">
        <v>24.49</v>
      </c>
      <c r="N816" t="n">
        <v>1324.71</v>
      </c>
      <c r="O816" t="n">
        <v>4.69</v>
      </c>
      <c r="P816" t="n">
        <v>5</v>
      </c>
      <c r="Q816" t="n">
        <v>0</v>
      </c>
      <c r="R816" t="n">
        <v>2022.9</v>
      </c>
      <c r="S816" t="b">
        <v>1</v>
      </c>
      <c r="T816" t="n">
        <v>4480983</v>
      </c>
      <c r="U816" t="n">
        <v>11</v>
      </c>
      <c r="V816" t="n">
        <v>0.0919</v>
      </c>
      <c r="W816" t="n">
        <v>1.95</v>
      </c>
      <c r="X816" t="n">
        <v>80.59</v>
      </c>
      <c r="Y816">
        <f>VLOOKUP(D816,$AB$2:$AC$7,2,FALSE)</f>
        <v/>
      </c>
      <c r="Z816">
        <f>IF(A816&lt;Y816,"Yes","No")</f>
        <v/>
      </c>
    </row>
    <row r="817">
      <c r="A817" t="n">
        <v>2021</v>
      </c>
      <c r="B817" t="inlineStr">
        <is>
          <t>Q1</t>
        </is>
      </c>
      <c r="C817" t="inlineStr">
        <is>
          <t>Australia</t>
        </is>
      </c>
      <c r="D817" t="inlineStr">
        <is>
          <t>Model S</t>
        </is>
      </c>
      <c r="E817" t="n">
        <v>968</v>
      </c>
      <c r="F817" t="n">
        <v>77766.3</v>
      </c>
      <c r="G817" t="n">
        <v>13</v>
      </c>
      <c r="H817" t="inlineStr">
        <is>
          <t>Performance</t>
        </is>
      </c>
      <c r="I817" t="inlineStr">
        <is>
          <t>RWD</t>
        </is>
      </c>
      <c r="J817" t="inlineStr">
        <is>
          <t>White</t>
        </is>
      </c>
      <c r="K817" t="n">
        <v>631</v>
      </c>
      <c r="L817" t="n">
        <v>65</v>
      </c>
      <c r="M817" t="n">
        <v>13.98</v>
      </c>
      <c r="N817" t="n">
        <v>1623.42</v>
      </c>
      <c r="O817" t="n">
        <v>3.97</v>
      </c>
      <c r="P817" t="n">
        <v>8</v>
      </c>
      <c r="Q817" t="n">
        <v>3</v>
      </c>
      <c r="R817" t="n">
        <v>2021.12</v>
      </c>
      <c r="S817" t="b">
        <v>1</v>
      </c>
      <c r="T817" t="n">
        <v>3302097</v>
      </c>
      <c r="U817" t="n">
        <v>10</v>
      </c>
      <c r="V817" t="n">
        <v>0.0565</v>
      </c>
      <c r="W817" t="n">
        <v>1.92</v>
      </c>
      <c r="X817" t="n">
        <v>82.51000000000001</v>
      </c>
      <c r="Y817">
        <f>VLOOKUP(D817,$AB$2:$AC$7,2,FALSE)</f>
        <v/>
      </c>
      <c r="Z817">
        <f>IF(A817&lt;Y817,"Yes","No")</f>
        <v/>
      </c>
    </row>
    <row r="818">
      <c r="A818" t="n">
        <v>2024</v>
      </c>
      <c r="B818" t="inlineStr">
        <is>
          <t>Q3</t>
        </is>
      </c>
      <c r="C818" t="inlineStr">
        <is>
          <t>Europe</t>
        </is>
      </c>
      <c r="D818" t="inlineStr">
        <is>
          <t>Model Y</t>
        </is>
      </c>
      <c r="E818" t="n">
        <v>4432</v>
      </c>
      <c r="F818" t="n">
        <v>100074.97</v>
      </c>
      <c r="G818" t="n">
        <v>44</v>
      </c>
      <c r="H818" t="inlineStr">
        <is>
          <t>Performance</t>
        </is>
      </c>
      <c r="I818" t="inlineStr">
        <is>
          <t>AWD</t>
        </is>
      </c>
      <c r="J818" t="inlineStr">
        <is>
          <t>Red</t>
        </is>
      </c>
      <c r="K818" t="n">
        <v>630</v>
      </c>
      <c r="L818" t="n">
        <v>54</v>
      </c>
      <c r="M818" t="n">
        <v>20.3</v>
      </c>
      <c r="N818" t="n">
        <v>3586.14</v>
      </c>
      <c r="O818" t="n">
        <v>4.86</v>
      </c>
      <c r="P818" t="n">
        <v>8</v>
      </c>
      <c r="Q818" t="n">
        <v>1</v>
      </c>
      <c r="R818" t="n">
        <v>2024.5</v>
      </c>
      <c r="S818" t="b">
        <v>0</v>
      </c>
      <c r="T818" t="n">
        <v>2708787</v>
      </c>
      <c r="U818" t="n">
        <v>2</v>
      </c>
      <c r="V818" t="n">
        <v>0.0692</v>
      </c>
      <c r="W818" t="n">
        <v>2.49</v>
      </c>
      <c r="X818" t="n">
        <v>64.14</v>
      </c>
      <c r="Y818">
        <f>VLOOKUP(D818,$AB$2:$AC$7,2,FALSE)</f>
        <v/>
      </c>
      <c r="Z818">
        <f>IF(A818&lt;Y818,"Yes","No")</f>
        <v/>
      </c>
    </row>
    <row r="819">
      <c r="A819" t="n">
        <v>2023</v>
      </c>
      <c r="B819" t="inlineStr">
        <is>
          <t>Q4</t>
        </is>
      </c>
      <c r="C819" t="inlineStr">
        <is>
          <t>Europe</t>
        </is>
      </c>
      <c r="D819" t="inlineStr">
        <is>
          <t>Model S</t>
        </is>
      </c>
      <c r="E819" t="n">
        <v>492</v>
      </c>
      <c r="F819" t="n">
        <v>50098.74</v>
      </c>
      <c r="G819" t="n">
        <v>13</v>
      </c>
      <c r="H819" t="inlineStr">
        <is>
          <t>Performance</t>
        </is>
      </c>
      <c r="I819" t="inlineStr">
        <is>
          <t>RWD</t>
        </is>
      </c>
      <c r="J819" t="inlineStr">
        <is>
          <t>Silver</t>
        </is>
      </c>
      <c r="K819" t="n">
        <v>415</v>
      </c>
      <c r="L819" t="n">
        <v>70</v>
      </c>
      <c r="M819" t="n">
        <v>24.12</v>
      </c>
      <c r="N819" t="n">
        <v>1209.71</v>
      </c>
      <c r="O819" t="n">
        <v>3.7</v>
      </c>
      <c r="P819" t="n">
        <v>5</v>
      </c>
      <c r="Q819" t="n">
        <v>0</v>
      </c>
      <c r="R819" t="n">
        <v>2022.2</v>
      </c>
      <c r="S819" t="b">
        <v>0</v>
      </c>
      <c r="T819" t="n">
        <v>2438279</v>
      </c>
      <c r="U819" t="n">
        <v>9</v>
      </c>
      <c r="V819" t="n">
        <v>0.0989</v>
      </c>
      <c r="W819" t="n">
        <v>1.81</v>
      </c>
      <c r="X819" t="n">
        <v>81.93000000000001</v>
      </c>
      <c r="Y819">
        <f>VLOOKUP(D819,$AB$2:$AC$7,2,FALSE)</f>
        <v/>
      </c>
      <c r="Z819">
        <f>IF(A819&lt;Y819,"Yes","No")</f>
        <v/>
      </c>
    </row>
    <row r="820">
      <c r="A820" t="n">
        <v>2023</v>
      </c>
      <c r="B820" t="inlineStr">
        <is>
          <t>Q1</t>
        </is>
      </c>
      <c r="C820" t="inlineStr">
        <is>
          <t>North America</t>
        </is>
      </c>
      <c r="D820" t="inlineStr">
        <is>
          <t>Model Y</t>
        </is>
      </c>
      <c r="E820" t="n">
        <v>2998</v>
      </c>
      <c r="F820" t="n">
        <v>84068.32000000001</v>
      </c>
      <c r="G820" t="n">
        <v>45</v>
      </c>
      <c r="H820" t="inlineStr">
        <is>
          <t>Standard</t>
        </is>
      </c>
      <c r="I820" t="inlineStr">
        <is>
          <t>AWD</t>
        </is>
      </c>
      <c r="J820" t="inlineStr">
        <is>
          <t>Green</t>
        </is>
      </c>
      <c r="K820" t="n">
        <v>414</v>
      </c>
      <c r="L820" t="n">
        <v>77</v>
      </c>
      <c r="M820" t="n">
        <v>20.53</v>
      </c>
      <c r="N820" t="n">
        <v>1577.22</v>
      </c>
      <c r="O820" t="n">
        <v>3.55</v>
      </c>
      <c r="P820" t="n">
        <v>5</v>
      </c>
      <c r="Q820" t="n">
        <v>0</v>
      </c>
      <c r="R820" t="n">
        <v>2022.12</v>
      </c>
      <c r="S820" t="b">
        <v>1</v>
      </c>
      <c r="T820" t="n">
        <v>1937252</v>
      </c>
      <c r="U820" t="n">
        <v>4</v>
      </c>
      <c r="V820" t="n">
        <v>0.0218</v>
      </c>
      <c r="W820" t="n">
        <v>1.38</v>
      </c>
      <c r="X820" t="n">
        <v>70.78</v>
      </c>
      <c r="Y820">
        <f>VLOOKUP(D820,$AB$2:$AC$7,2,FALSE)</f>
        <v/>
      </c>
      <c r="Z820">
        <f>IF(A820&lt;Y820,"Yes","No")</f>
        <v/>
      </c>
    </row>
    <row r="821">
      <c r="A821" t="n">
        <v>2014</v>
      </c>
      <c r="B821" t="inlineStr">
        <is>
          <t>Q1</t>
        </is>
      </c>
      <c r="C821" t="inlineStr">
        <is>
          <t>Europe</t>
        </is>
      </c>
      <c r="D821" t="inlineStr">
        <is>
          <t>Model X</t>
        </is>
      </c>
      <c r="E821" t="n">
        <v>1638</v>
      </c>
      <c r="F821" t="n">
        <v>38521.45</v>
      </c>
      <c r="G821" t="n">
        <v>49</v>
      </c>
      <c r="H821" t="inlineStr">
        <is>
          <t>Standard</t>
        </is>
      </c>
      <c r="I821" t="inlineStr">
        <is>
          <t>AWD</t>
        </is>
      </c>
      <c r="J821" t="inlineStr">
        <is>
          <t>Blue</t>
        </is>
      </c>
      <c r="K821" t="n">
        <v>521</v>
      </c>
      <c r="L821" t="n">
        <v>86</v>
      </c>
      <c r="M821" t="n">
        <v>13.56</v>
      </c>
      <c r="N821" t="n">
        <v>1649.35</v>
      </c>
      <c r="O821" t="n">
        <v>3.8</v>
      </c>
      <c r="P821" t="n">
        <v>4</v>
      </c>
      <c r="Q821" t="n">
        <v>2</v>
      </c>
      <c r="R821" t="n">
        <v>2024.4</v>
      </c>
      <c r="S821" t="b">
        <v>0</v>
      </c>
      <c r="T821" t="n">
        <v>3932906</v>
      </c>
      <c r="U821" t="n">
        <v>9</v>
      </c>
      <c r="V821" t="n">
        <v>0.042</v>
      </c>
      <c r="W821" t="n">
        <v>2.31</v>
      </c>
      <c r="X821" t="n">
        <v>62.88</v>
      </c>
      <c r="Y821">
        <f>VLOOKUP(D821,$AB$2:$AC$7,2,FALSE)</f>
        <v/>
      </c>
      <c r="Z821">
        <f>IF(A821&lt;Y821,"Yes","No")</f>
        <v/>
      </c>
    </row>
    <row r="822">
      <c r="A822" t="n">
        <v>2020</v>
      </c>
      <c r="B822" t="inlineStr">
        <is>
          <t>Q2</t>
        </is>
      </c>
      <c r="C822" t="inlineStr">
        <is>
          <t>Europe</t>
        </is>
      </c>
      <c r="D822" t="inlineStr">
        <is>
          <t>Model S</t>
        </is>
      </c>
      <c r="E822" t="n">
        <v>237</v>
      </c>
      <c r="F822" t="n">
        <v>90399.71000000001</v>
      </c>
      <c r="G822" t="n">
        <v>38</v>
      </c>
      <c r="H822" t="inlineStr">
        <is>
          <t>Standard</t>
        </is>
      </c>
      <c r="I822" t="inlineStr">
        <is>
          <t>RWD</t>
        </is>
      </c>
      <c r="J822" t="inlineStr">
        <is>
          <t>Green</t>
        </is>
      </c>
      <c r="K822" t="n">
        <v>387</v>
      </c>
      <c r="L822" t="n">
        <v>60</v>
      </c>
      <c r="M822" t="n">
        <v>16.58</v>
      </c>
      <c r="N822" t="n">
        <v>528.6</v>
      </c>
      <c r="O822" t="n">
        <v>3.56</v>
      </c>
      <c r="P822" t="n">
        <v>5</v>
      </c>
      <c r="Q822" t="n">
        <v>1</v>
      </c>
      <c r="R822" t="n">
        <v>2020.1</v>
      </c>
      <c r="S822" t="b">
        <v>0</v>
      </c>
      <c r="T822" t="n">
        <v>2179883</v>
      </c>
      <c r="U822" t="n">
        <v>10</v>
      </c>
      <c r="V822" t="n">
        <v>0.0839</v>
      </c>
      <c r="W822" t="n">
        <v>0.63</v>
      </c>
      <c r="X822" t="n">
        <v>71.61</v>
      </c>
      <c r="Y822">
        <f>VLOOKUP(D822,$AB$2:$AC$7,2,FALSE)</f>
        <v/>
      </c>
      <c r="Z822">
        <f>IF(A822&lt;Y822,"Yes","No")</f>
        <v/>
      </c>
    </row>
    <row r="823">
      <c r="A823" t="n">
        <v>2014</v>
      </c>
      <c r="B823" t="inlineStr">
        <is>
          <t>Q2</t>
        </is>
      </c>
      <c r="C823" t="inlineStr">
        <is>
          <t>South America</t>
        </is>
      </c>
      <c r="D823" t="inlineStr">
        <is>
          <t>Model S</t>
        </is>
      </c>
      <c r="E823" t="n">
        <v>1713</v>
      </c>
      <c r="F823" t="n">
        <v>114805.31</v>
      </c>
      <c r="G823" t="n">
        <v>26</v>
      </c>
      <c r="H823" t="inlineStr">
        <is>
          <t>Long Range</t>
        </is>
      </c>
      <c r="I823" t="inlineStr">
        <is>
          <t>AWD</t>
        </is>
      </c>
      <c r="J823" t="inlineStr">
        <is>
          <t>Silver</t>
        </is>
      </c>
      <c r="K823" t="n">
        <v>378</v>
      </c>
      <c r="L823" t="n">
        <v>53</v>
      </c>
      <c r="M823" t="n">
        <v>17.87</v>
      </c>
      <c r="N823" t="n">
        <v>3887.82</v>
      </c>
      <c r="O823" t="n">
        <v>4.95</v>
      </c>
      <c r="P823" t="n">
        <v>8</v>
      </c>
      <c r="Q823" t="n">
        <v>3</v>
      </c>
      <c r="R823" t="n">
        <v>2023.1</v>
      </c>
      <c r="S823" t="b">
        <v>0</v>
      </c>
      <c r="T823" t="n">
        <v>2061825</v>
      </c>
      <c r="U823" t="n">
        <v>8</v>
      </c>
      <c r="V823" t="n">
        <v>0.09370000000000001</v>
      </c>
      <c r="W823" t="n">
        <v>0.67</v>
      </c>
      <c r="X823" t="n">
        <v>75.36</v>
      </c>
      <c r="Y823">
        <f>VLOOKUP(D823,$AB$2:$AC$7,2,FALSE)</f>
        <v/>
      </c>
      <c r="Z823">
        <f>IF(A823&lt;Y823,"Yes","No")</f>
        <v/>
      </c>
    </row>
    <row r="824">
      <c r="A824" t="n">
        <v>2018</v>
      </c>
      <c r="B824" t="inlineStr">
        <is>
          <t>Q3</t>
        </is>
      </c>
      <c r="C824" t="inlineStr">
        <is>
          <t>Asia</t>
        </is>
      </c>
      <c r="D824" t="inlineStr">
        <is>
          <t>Model S</t>
        </is>
      </c>
      <c r="E824" t="n">
        <v>2533</v>
      </c>
      <c r="F824" t="n">
        <v>84403.14999999999</v>
      </c>
      <c r="G824" t="n">
        <v>49</v>
      </c>
      <c r="H824" t="inlineStr">
        <is>
          <t>Long Range</t>
        </is>
      </c>
      <c r="I824" t="inlineStr">
        <is>
          <t>RWD</t>
        </is>
      </c>
      <c r="J824" t="inlineStr">
        <is>
          <t>Green</t>
        </is>
      </c>
      <c r="K824" t="n">
        <v>368</v>
      </c>
      <c r="L824" t="n">
        <v>58</v>
      </c>
      <c r="M824" t="n">
        <v>24.58</v>
      </c>
      <c r="N824" t="n">
        <v>3249.92</v>
      </c>
      <c r="O824" t="n">
        <v>3.79</v>
      </c>
      <c r="P824" t="n">
        <v>6</v>
      </c>
      <c r="Q824" t="n">
        <v>1</v>
      </c>
      <c r="R824" t="n">
        <v>2021.1</v>
      </c>
      <c r="S824" t="b">
        <v>0</v>
      </c>
      <c r="T824" t="n">
        <v>2983918</v>
      </c>
      <c r="U824" t="n">
        <v>2</v>
      </c>
      <c r="V824" t="n">
        <v>0.0372</v>
      </c>
      <c r="W824" t="n">
        <v>1.71</v>
      </c>
      <c r="X824" t="n">
        <v>65.02</v>
      </c>
      <c r="Y824">
        <f>VLOOKUP(D824,$AB$2:$AC$7,2,FALSE)</f>
        <v/>
      </c>
      <c r="Z824">
        <f>IF(A824&lt;Y824,"Yes","No")</f>
        <v/>
      </c>
    </row>
    <row r="825">
      <c r="A825" t="n">
        <v>2015</v>
      </c>
      <c r="B825" t="inlineStr">
        <is>
          <t>Q2</t>
        </is>
      </c>
      <c r="C825" t="inlineStr">
        <is>
          <t>Europe</t>
        </is>
      </c>
      <c r="D825" t="inlineStr">
        <is>
          <t>Model Y</t>
        </is>
      </c>
      <c r="E825" t="n">
        <v>1153</v>
      </c>
      <c r="F825" t="n">
        <v>71876.39</v>
      </c>
      <c r="G825" t="n">
        <v>53</v>
      </c>
      <c r="H825" t="inlineStr">
        <is>
          <t>Standard</t>
        </is>
      </c>
      <c r="I825" t="inlineStr">
        <is>
          <t>AWD</t>
        </is>
      </c>
      <c r="J825" t="inlineStr">
        <is>
          <t>White</t>
        </is>
      </c>
      <c r="K825" t="n">
        <v>425</v>
      </c>
      <c r="L825" t="n">
        <v>46</v>
      </c>
      <c r="M825" t="n">
        <v>15.6</v>
      </c>
      <c r="N825" t="n">
        <v>1524.12</v>
      </c>
      <c r="O825" t="n">
        <v>3.71</v>
      </c>
      <c r="P825" t="n">
        <v>6</v>
      </c>
      <c r="Q825" t="n">
        <v>2</v>
      </c>
      <c r="R825" t="n">
        <v>2022.11</v>
      </c>
      <c r="S825" t="b">
        <v>1</v>
      </c>
      <c r="T825" t="n">
        <v>950704</v>
      </c>
      <c r="U825" t="n">
        <v>12</v>
      </c>
      <c r="V825" t="n">
        <v>0.0563</v>
      </c>
      <c r="W825" t="n">
        <v>1.53</v>
      </c>
      <c r="X825" t="n">
        <v>86.59</v>
      </c>
      <c r="Y825">
        <f>VLOOKUP(D825,$AB$2:$AC$7,2,FALSE)</f>
        <v/>
      </c>
      <c r="Z825">
        <f>IF(A825&lt;Y825,"Yes","No")</f>
        <v/>
      </c>
    </row>
    <row r="826">
      <c r="A826" t="n">
        <v>2012</v>
      </c>
      <c r="B826" t="inlineStr">
        <is>
          <t>Q4</t>
        </is>
      </c>
      <c r="C826" t="inlineStr">
        <is>
          <t>South America</t>
        </is>
      </c>
      <c r="D826" t="inlineStr">
        <is>
          <t>Semi</t>
        </is>
      </c>
      <c r="E826" t="n">
        <v>853</v>
      </c>
      <c r="F826" t="n">
        <v>97891.95</v>
      </c>
      <c r="G826" t="n">
        <v>59</v>
      </c>
      <c r="H826" t="inlineStr">
        <is>
          <t>Long Range</t>
        </is>
      </c>
      <c r="I826" t="inlineStr">
        <is>
          <t>AWD</t>
        </is>
      </c>
      <c r="J826" t="inlineStr">
        <is>
          <t>Green</t>
        </is>
      </c>
      <c r="K826" t="n">
        <v>472</v>
      </c>
      <c r="L826" t="n">
        <v>76</v>
      </c>
      <c r="M826" t="n">
        <v>16.73</v>
      </c>
      <c r="N826" t="n">
        <v>1826.55</v>
      </c>
      <c r="O826" t="n">
        <v>3.63</v>
      </c>
      <c r="P826" t="n">
        <v>8</v>
      </c>
      <c r="Q826" t="n">
        <v>2</v>
      </c>
      <c r="R826" t="n">
        <v>2021.4</v>
      </c>
      <c r="S826" t="b">
        <v>0</v>
      </c>
      <c r="T826" t="n">
        <v>2108416</v>
      </c>
      <c r="U826" t="n">
        <v>4</v>
      </c>
      <c r="V826" t="n">
        <v>0.07480000000000001</v>
      </c>
      <c r="W826" t="n">
        <v>2.42</v>
      </c>
      <c r="X826" t="n">
        <v>68.45</v>
      </c>
      <c r="Y826">
        <f>VLOOKUP(D826,$AB$2:$AC$7,2,FALSE)</f>
        <v/>
      </c>
      <c r="Z826">
        <f>IF(A826&lt;Y826,"Yes","No")</f>
        <v/>
      </c>
    </row>
    <row r="827">
      <c r="A827" t="n">
        <v>2019</v>
      </c>
      <c r="B827" t="inlineStr">
        <is>
          <t>Q2</t>
        </is>
      </c>
      <c r="C827" t="inlineStr">
        <is>
          <t>Asia</t>
        </is>
      </c>
      <c r="D827" t="inlineStr">
        <is>
          <t>Semi</t>
        </is>
      </c>
      <c r="E827" t="n">
        <v>521</v>
      </c>
      <c r="F827" t="n">
        <v>65996.99000000001</v>
      </c>
      <c r="G827" t="n">
        <v>15</v>
      </c>
      <c r="H827" t="inlineStr">
        <is>
          <t>Standard</t>
        </is>
      </c>
      <c r="I827" t="inlineStr">
        <is>
          <t>AWD</t>
        </is>
      </c>
      <c r="J827" t="inlineStr">
        <is>
          <t>White</t>
        </is>
      </c>
      <c r="K827" t="n">
        <v>453</v>
      </c>
      <c r="L827" t="n">
        <v>90</v>
      </c>
      <c r="M827" t="n">
        <v>22.78</v>
      </c>
      <c r="N827" t="n">
        <v>1103.39</v>
      </c>
      <c r="O827" t="n">
        <v>3.86</v>
      </c>
      <c r="P827" t="n">
        <v>4</v>
      </c>
      <c r="Q827" t="n">
        <v>2</v>
      </c>
      <c r="R827" t="n">
        <v>2024.8</v>
      </c>
      <c r="S827" t="b">
        <v>0</v>
      </c>
      <c r="T827" t="n">
        <v>334792</v>
      </c>
      <c r="U827" t="n">
        <v>7</v>
      </c>
      <c r="V827" t="n">
        <v>0.0982</v>
      </c>
      <c r="W827" t="n">
        <v>1.03</v>
      </c>
      <c r="X827" t="n">
        <v>85.91</v>
      </c>
      <c r="Y827">
        <f>VLOOKUP(D827,$AB$2:$AC$7,2,FALSE)</f>
        <v/>
      </c>
      <c r="Z827">
        <f>IF(A827&lt;Y827,"Yes","No")</f>
        <v/>
      </c>
    </row>
    <row r="828">
      <c r="A828" t="n">
        <v>2024</v>
      </c>
      <c r="B828" t="inlineStr">
        <is>
          <t>Q4</t>
        </is>
      </c>
      <c r="C828" t="inlineStr">
        <is>
          <t>South America</t>
        </is>
      </c>
      <c r="D828" t="inlineStr">
        <is>
          <t>Semi</t>
        </is>
      </c>
      <c r="E828" t="n">
        <v>2250</v>
      </c>
      <c r="F828" t="n">
        <v>77447.25999999999</v>
      </c>
      <c r="G828" t="n">
        <v>50</v>
      </c>
      <c r="H828" t="inlineStr">
        <is>
          <t>Long Range</t>
        </is>
      </c>
      <c r="I828" t="inlineStr">
        <is>
          <t>RWD</t>
        </is>
      </c>
      <c r="J828" t="inlineStr">
        <is>
          <t>Silver</t>
        </is>
      </c>
      <c r="K828" t="n">
        <v>487</v>
      </c>
      <c r="L828" t="n">
        <v>76</v>
      </c>
      <c r="M828" t="n">
        <v>22.27</v>
      </c>
      <c r="N828" t="n">
        <v>5181.7</v>
      </c>
      <c r="O828" t="n">
        <v>4.45</v>
      </c>
      <c r="P828" t="n">
        <v>5</v>
      </c>
      <c r="Q828" t="n">
        <v>2</v>
      </c>
      <c r="R828" t="n">
        <v>2021.7</v>
      </c>
      <c r="S828" t="b">
        <v>0</v>
      </c>
      <c r="T828" t="n">
        <v>4833839</v>
      </c>
      <c r="U828" t="n">
        <v>9</v>
      </c>
      <c r="V828" t="n">
        <v>0.0992</v>
      </c>
      <c r="W828" t="n">
        <v>1.04</v>
      </c>
      <c r="X828" t="n">
        <v>71.59999999999999</v>
      </c>
      <c r="Y828">
        <f>VLOOKUP(D828,$AB$2:$AC$7,2,FALSE)</f>
        <v/>
      </c>
      <c r="Z828">
        <f>IF(A828&lt;Y828,"Yes","No")</f>
        <v/>
      </c>
    </row>
    <row r="829">
      <c r="A829" t="n">
        <v>2023</v>
      </c>
      <c r="B829" t="inlineStr">
        <is>
          <t>Q4</t>
        </is>
      </c>
      <c r="C829" t="inlineStr">
        <is>
          <t>North America</t>
        </is>
      </c>
      <c r="D829" t="inlineStr">
        <is>
          <t>Model Y</t>
        </is>
      </c>
      <c r="E829" t="n">
        <v>1759</v>
      </c>
      <c r="F829" t="n">
        <v>112005.31</v>
      </c>
      <c r="G829" t="n">
        <v>8</v>
      </c>
      <c r="H829" t="inlineStr">
        <is>
          <t>Standard</t>
        </is>
      </c>
      <c r="I829" t="inlineStr">
        <is>
          <t>AWD</t>
        </is>
      </c>
      <c r="J829" t="inlineStr">
        <is>
          <t>White</t>
        </is>
      </c>
      <c r="K829" t="n">
        <v>496</v>
      </c>
      <c r="L829" t="n">
        <v>53</v>
      </c>
      <c r="M829" t="n">
        <v>13.27</v>
      </c>
      <c r="N829" t="n">
        <v>3334.15</v>
      </c>
      <c r="O829" t="n">
        <v>3.51</v>
      </c>
      <c r="P829" t="n">
        <v>6</v>
      </c>
      <c r="Q829" t="n">
        <v>2</v>
      </c>
      <c r="R829" t="n">
        <v>2024.2</v>
      </c>
      <c r="S829" t="b">
        <v>0</v>
      </c>
      <c r="T829" t="n">
        <v>1654952</v>
      </c>
      <c r="U829" t="n">
        <v>8</v>
      </c>
      <c r="V829" t="n">
        <v>0.0636</v>
      </c>
      <c r="W829" t="n">
        <v>1.15</v>
      </c>
      <c r="X829" t="n">
        <v>88.2</v>
      </c>
      <c r="Y829">
        <f>VLOOKUP(D829,$AB$2:$AC$7,2,FALSE)</f>
        <v/>
      </c>
      <c r="Z829">
        <f>IF(A829&lt;Y829,"Yes","No")</f>
        <v/>
      </c>
    </row>
    <row r="830">
      <c r="A830" t="n">
        <v>2021</v>
      </c>
      <c r="B830" t="inlineStr">
        <is>
          <t>Q4</t>
        </is>
      </c>
      <c r="C830" t="inlineStr">
        <is>
          <t>Australia</t>
        </is>
      </c>
      <c r="D830" t="inlineStr">
        <is>
          <t>Model X</t>
        </is>
      </c>
      <c r="E830" t="n">
        <v>3709</v>
      </c>
      <c r="F830" t="n">
        <v>50446.53</v>
      </c>
      <c r="G830" t="n">
        <v>54</v>
      </c>
      <c r="H830" t="inlineStr">
        <is>
          <t>Standard</t>
        </is>
      </c>
      <c r="I830" t="inlineStr">
        <is>
          <t>AWD</t>
        </is>
      </c>
      <c r="J830" t="inlineStr">
        <is>
          <t>Blue</t>
        </is>
      </c>
      <c r="K830" t="n">
        <v>491</v>
      </c>
      <c r="L830" t="n">
        <v>38</v>
      </c>
      <c r="M830" t="n">
        <v>15.88</v>
      </c>
      <c r="N830" t="n">
        <v>7617.69</v>
      </c>
      <c r="O830" t="n">
        <v>4.38</v>
      </c>
      <c r="P830" t="n">
        <v>4</v>
      </c>
      <c r="Q830" t="n">
        <v>2</v>
      </c>
      <c r="R830" t="n">
        <v>2021.7</v>
      </c>
      <c r="S830" t="b">
        <v>1</v>
      </c>
      <c r="T830" t="n">
        <v>2498430</v>
      </c>
      <c r="U830" t="n">
        <v>2</v>
      </c>
      <c r="V830" t="n">
        <v>0.0998</v>
      </c>
      <c r="W830" t="n">
        <v>2.41</v>
      </c>
      <c r="X830" t="n">
        <v>79.52</v>
      </c>
      <c r="Y830">
        <f>VLOOKUP(D830,$AB$2:$AC$7,2,FALSE)</f>
        <v/>
      </c>
      <c r="Z830">
        <f>IF(A830&lt;Y830,"Yes","No")</f>
        <v/>
      </c>
    </row>
    <row r="831">
      <c r="A831" t="n">
        <v>2021</v>
      </c>
      <c r="B831" t="inlineStr">
        <is>
          <t>Q2</t>
        </is>
      </c>
      <c r="C831" t="inlineStr">
        <is>
          <t>Europe</t>
        </is>
      </c>
      <c r="D831" t="inlineStr">
        <is>
          <t>Model 3</t>
        </is>
      </c>
      <c r="E831" t="n">
        <v>3453</v>
      </c>
      <c r="F831" t="n">
        <v>104409.13</v>
      </c>
      <c r="G831" t="n">
        <v>19</v>
      </c>
      <c r="H831" t="inlineStr">
        <is>
          <t>Long Range</t>
        </is>
      </c>
      <c r="I831" t="inlineStr">
        <is>
          <t>RWD</t>
        </is>
      </c>
      <c r="J831" t="inlineStr">
        <is>
          <t>Black</t>
        </is>
      </c>
      <c r="K831" t="n">
        <v>378</v>
      </c>
      <c r="L831" t="n">
        <v>58</v>
      </c>
      <c r="M831" t="n">
        <v>19.8</v>
      </c>
      <c r="N831" t="n">
        <v>3245.89</v>
      </c>
      <c r="O831" t="n">
        <v>4.66</v>
      </c>
      <c r="P831" t="n">
        <v>5</v>
      </c>
      <c r="Q831" t="n">
        <v>0</v>
      </c>
      <c r="R831" t="n">
        <v>2020.1</v>
      </c>
      <c r="S831" t="b">
        <v>1</v>
      </c>
      <c r="T831" t="n">
        <v>4258085</v>
      </c>
      <c r="U831" t="n">
        <v>10</v>
      </c>
      <c r="V831" t="n">
        <v>0.08400000000000001</v>
      </c>
      <c r="W831" t="n">
        <v>2.34</v>
      </c>
      <c r="X831" t="n">
        <v>64.26000000000001</v>
      </c>
      <c r="Y831">
        <f>VLOOKUP(D831,$AB$2:$AC$7,2,FALSE)</f>
        <v/>
      </c>
      <c r="Z831">
        <f>IF(A831&lt;Y831,"Yes","No")</f>
        <v/>
      </c>
    </row>
    <row r="832">
      <c r="A832" t="n">
        <v>2013</v>
      </c>
      <c r="B832" t="inlineStr">
        <is>
          <t>Q1</t>
        </is>
      </c>
      <c r="C832" t="inlineStr">
        <is>
          <t>Asia</t>
        </is>
      </c>
      <c r="D832" t="inlineStr">
        <is>
          <t>Semi</t>
        </is>
      </c>
      <c r="E832" t="n">
        <v>4547</v>
      </c>
      <c r="F832" t="n">
        <v>72963.89999999999</v>
      </c>
      <c r="G832" t="n">
        <v>58</v>
      </c>
      <c r="H832" t="inlineStr">
        <is>
          <t>Performance</t>
        </is>
      </c>
      <c r="I832" t="inlineStr">
        <is>
          <t>RWD</t>
        </is>
      </c>
      <c r="J832" t="inlineStr">
        <is>
          <t>White</t>
        </is>
      </c>
      <c r="K832" t="n">
        <v>430</v>
      </c>
      <c r="L832" t="n">
        <v>43</v>
      </c>
      <c r="M832" t="n">
        <v>17.35</v>
      </c>
      <c r="N832" t="n">
        <v>11089.78</v>
      </c>
      <c r="O832" t="n">
        <v>3.92</v>
      </c>
      <c r="P832" t="n">
        <v>5</v>
      </c>
      <c r="Q832" t="n">
        <v>3</v>
      </c>
      <c r="R832" t="n">
        <v>2024.8</v>
      </c>
      <c r="S832" t="b">
        <v>0</v>
      </c>
      <c r="T832" t="n">
        <v>2340255</v>
      </c>
      <c r="U832" t="n">
        <v>12</v>
      </c>
      <c r="V832" t="n">
        <v>0.06850000000000001</v>
      </c>
      <c r="W832" t="n">
        <v>1.86</v>
      </c>
      <c r="X832" t="n">
        <v>61.46</v>
      </c>
      <c r="Y832">
        <f>VLOOKUP(D832,$AB$2:$AC$7,2,FALSE)</f>
        <v/>
      </c>
      <c r="Z832">
        <f>IF(A832&lt;Y832,"Yes","No")</f>
        <v/>
      </c>
    </row>
    <row r="833">
      <c r="A833" t="n">
        <v>2019</v>
      </c>
      <c r="B833" t="inlineStr">
        <is>
          <t>Q2</t>
        </is>
      </c>
      <c r="C833" t="inlineStr">
        <is>
          <t>Europe</t>
        </is>
      </c>
      <c r="D833" t="inlineStr">
        <is>
          <t>Semi</t>
        </is>
      </c>
      <c r="E833" t="n">
        <v>257</v>
      </c>
      <c r="F833" t="n">
        <v>93777.58</v>
      </c>
      <c r="G833" t="n">
        <v>26</v>
      </c>
      <c r="H833" t="inlineStr">
        <is>
          <t>Long Range</t>
        </is>
      </c>
      <c r="I833" t="inlineStr">
        <is>
          <t>AWD</t>
        </is>
      </c>
      <c r="J833" t="inlineStr">
        <is>
          <t>Black</t>
        </is>
      </c>
      <c r="K833" t="n">
        <v>577</v>
      </c>
      <c r="L833" t="n">
        <v>59</v>
      </c>
      <c r="M833" t="n">
        <v>18.44</v>
      </c>
      <c r="N833" t="n">
        <v>425.23</v>
      </c>
      <c r="O833" t="n">
        <v>4.1</v>
      </c>
      <c r="P833" t="n">
        <v>6</v>
      </c>
      <c r="Q833" t="n">
        <v>3</v>
      </c>
      <c r="R833" t="n">
        <v>2021.4</v>
      </c>
      <c r="S833" t="b">
        <v>0</v>
      </c>
      <c r="T833" t="n">
        <v>128565</v>
      </c>
      <c r="U833" t="n">
        <v>3</v>
      </c>
      <c r="V833" t="n">
        <v>0.0351</v>
      </c>
      <c r="W833" t="n">
        <v>0.62</v>
      </c>
      <c r="X833" t="n">
        <v>84.81999999999999</v>
      </c>
      <c r="Y833">
        <f>VLOOKUP(D833,$AB$2:$AC$7,2,FALSE)</f>
        <v/>
      </c>
      <c r="Z833">
        <f>IF(A833&lt;Y833,"Yes","No")</f>
        <v/>
      </c>
    </row>
    <row r="834">
      <c r="A834" t="n">
        <v>2024</v>
      </c>
      <c r="B834" t="inlineStr">
        <is>
          <t>Q3</t>
        </is>
      </c>
      <c r="C834" t="inlineStr">
        <is>
          <t>Europe</t>
        </is>
      </c>
      <c r="D834" t="inlineStr">
        <is>
          <t>Model Y</t>
        </is>
      </c>
      <c r="E834" t="n">
        <v>4449</v>
      </c>
      <c r="F834" t="n">
        <v>40344.95</v>
      </c>
      <c r="G834" t="n">
        <v>59</v>
      </c>
      <c r="H834" t="inlineStr">
        <is>
          <t>Long Range</t>
        </is>
      </c>
      <c r="I834" t="inlineStr">
        <is>
          <t>RWD</t>
        </is>
      </c>
      <c r="J834" t="inlineStr">
        <is>
          <t>Green</t>
        </is>
      </c>
      <c r="K834" t="n">
        <v>615</v>
      </c>
      <c r="L834" t="n">
        <v>72</v>
      </c>
      <c r="M834" t="n">
        <v>24.81</v>
      </c>
      <c r="N834" t="n">
        <v>2548.09</v>
      </c>
      <c r="O834" t="n">
        <v>4.88</v>
      </c>
      <c r="P834" t="n">
        <v>8</v>
      </c>
      <c r="Q834" t="n">
        <v>1</v>
      </c>
      <c r="R834" t="n">
        <v>2021.2</v>
      </c>
      <c r="S834" t="b">
        <v>0</v>
      </c>
      <c r="T834" t="n">
        <v>1662869</v>
      </c>
      <c r="U834" t="n">
        <v>7</v>
      </c>
      <c r="V834" t="n">
        <v>0.0517</v>
      </c>
      <c r="W834" t="n">
        <v>2.19</v>
      </c>
      <c r="X834" t="n">
        <v>65.84999999999999</v>
      </c>
      <c r="Y834">
        <f>VLOOKUP(D834,$AB$2:$AC$7,2,FALSE)</f>
        <v/>
      </c>
      <c r="Z834">
        <f>IF(A834&lt;Y834,"Yes","No")</f>
        <v/>
      </c>
    </row>
    <row r="835">
      <c r="A835" t="n">
        <v>2018</v>
      </c>
      <c r="B835" t="inlineStr">
        <is>
          <t>Q1</t>
        </is>
      </c>
      <c r="C835" t="inlineStr">
        <is>
          <t>South America</t>
        </is>
      </c>
      <c r="D835" t="inlineStr">
        <is>
          <t>Model X</t>
        </is>
      </c>
      <c r="E835" t="n">
        <v>1907</v>
      </c>
      <c r="F835" t="n">
        <v>117251.06</v>
      </c>
      <c r="G835" t="n">
        <v>44</v>
      </c>
      <c r="H835" t="inlineStr">
        <is>
          <t>Standard</t>
        </is>
      </c>
      <c r="I835" t="inlineStr">
        <is>
          <t>AWD</t>
        </is>
      </c>
      <c r="J835" t="inlineStr">
        <is>
          <t>Blue</t>
        </is>
      </c>
      <c r="K835" t="n">
        <v>620</v>
      </c>
      <c r="L835" t="n">
        <v>81</v>
      </c>
      <c r="M835" t="n">
        <v>20.53</v>
      </c>
      <c r="N835" t="n">
        <v>1284.73</v>
      </c>
      <c r="O835" t="n">
        <v>4.99</v>
      </c>
      <c r="P835" t="n">
        <v>4</v>
      </c>
      <c r="Q835" t="n">
        <v>1</v>
      </c>
      <c r="R835" t="n">
        <v>2020.4</v>
      </c>
      <c r="S835" t="b">
        <v>0</v>
      </c>
      <c r="T835" t="n">
        <v>3001310</v>
      </c>
      <c r="U835" t="n">
        <v>7</v>
      </c>
      <c r="V835" t="n">
        <v>0.0738</v>
      </c>
      <c r="W835" t="n">
        <v>1.54</v>
      </c>
      <c r="X835" t="n">
        <v>71.72</v>
      </c>
      <c r="Y835">
        <f>VLOOKUP(D835,$AB$2:$AC$7,2,FALSE)</f>
        <v/>
      </c>
      <c r="Z835">
        <f>IF(A835&lt;Y835,"Yes","No")</f>
        <v/>
      </c>
    </row>
    <row r="836">
      <c r="A836" t="n">
        <v>2023</v>
      </c>
      <c r="B836" t="inlineStr">
        <is>
          <t>Q1</t>
        </is>
      </c>
      <c r="C836" t="inlineStr">
        <is>
          <t>South America</t>
        </is>
      </c>
      <c r="D836" t="inlineStr">
        <is>
          <t>Semi</t>
        </is>
      </c>
      <c r="E836" t="n">
        <v>1577</v>
      </c>
      <c r="F836" t="n">
        <v>83927.14999999999</v>
      </c>
      <c r="G836" t="n">
        <v>40</v>
      </c>
      <c r="H836" t="inlineStr">
        <is>
          <t>Long Range</t>
        </is>
      </c>
      <c r="I836" t="inlineStr">
        <is>
          <t>AWD</t>
        </is>
      </c>
      <c r="J836" t="inlineStr">
        <is>
          <t>White</t>
        </is>
      </c>
      <c r="K836" t="n">
        <v>415</v>
      </c>
      <c r="L836" t="n">
        <v>76</v>
      </c>
      <c r="M836" t="n">
        <v>17.48</v>
      </c>
      <c r="N836" t="n">
        <v>2729.38</v>
      </c>
      <c r="O836" t="n">
        <v>4.74</v>
      </c>
      <c r="P836" t="n">
        <v>5</v>
      </c>
      <c r="Q836" t="n">
        <v>1</v>
      </c>
      <c r="R836" t="n">
        <v>2021.3</v>
      </c>
      <c r="S836" t="b">
        <v>1</v>
      </c>
      <c r="T836" t="n">
        <v>3813585</v>
      </c>
      <c r="U836" t="n">
        <v>5</v>
      </c>
      <c r="V836" t="n">
        <v>0.07290000000000001</v>
      </c>
      <c r="W836" t="n">
        <v>0.88</v>
      </c>
      <c r="X836" t="n">
        <v>75.67</v>
      </c>
      <c r="Y836">
        <f>VLOOKUP(D836,$AB$2:$AC$7,2,FALSE)</f>
        <v/>
      </c>
      <c r="Z836">
        <f>IF(A836&lt;Y836,"Yes","No")</f>
        <v/>
      </c>
    </row>
    <row r="837">
      <c r="A837" t="n">
        <v>2021</v>
      </c>
      <c r="B837" t="inlineStr">
        <is>
          <t>Q2</t>
        </is>
      </c>
      <c r="C837" t="inlineStr">
        <is>
          <t>North America</t>
        </is>
      </c>
      <c r="D837" t="inlineStr">
        <is>
          <t>Model X</t>
        </is>
      </c>
      <c r="E837" t="n">
        <v>3028</v>
      </c>
      <c r="F837" t="n">
        <v>107493.45</v>
      </c>
      <c r="G837" t="n">
        <v>44</v>
      </c>
      <c r="H837" t="inlineStr">
        <is>
          <t>Performance</t>
        </is>
      </c>
      <c r="I837" t="inlineStr">
        <is>
          <t>AWD</t>
        </is>
      </c>
      <c r="J837" t="inlineStr">
        <is>
          <t>White</t>
        </is>
      </c>
      <c r="K837" t="n">
        <v>465</v>
      </c>
      <c r="L837" t="n">
        <v>38</v>
      </c>
      <c r="M837" t="n">
        <v>15.72</v>
      </c>
      <c r="N837" t="n">
        <v>4098.83</v>
      </c>
      <c r="O837" t="n">
        <v>4.26</v>
      </c>
      <c r="P837" t="n">
        <v>4</v>
      </c>
      <c r="Q837" t="n">
        <v>3</v>
      </c>
      <c r="R837" t="n">
        <v>2023.2</v>
      </c>
      <c r="S837" t="b">
        <v>1</v>
      </c>
      <c r="T837" t="n">
        <v>4724027</v>
      </c>
      <c r="U837" t="n">
        <v>9</v>
      </c>
      <c r="V837" t="n">
        <v>0.0141</v>
      </c>
      <c r="W837" t="n">
        <v>0.87</v>
      </c>
      <c r="X837" t="n">
        <v>78.20999999999999</v>
      </c>
      <c r="Y837">
        <f>VLOOKUP(D837,$AB$2:$AC$7,2,FALSE)</f>
        <v/>
      </c>
      <c r="Z837">
        <f>IF(A837&lt;Y837,"Yes","No")</f>
        <v/>
      </c>
    </row>
    <row r="838">
      <c r="A838" t="n">
        <v>2024</v>
      </c>
      <c r="B838" t="inlineStr">
        <is>
          <t>Q1</t>
        </is>
      </c>
      <c r="C838" t="inlineStr">
        <is>
          <t>South America</t>
        </is>
      </c>
      <c r="D838" t="inlineStr">
        <is>
          <t>Model 3</t>
        </is>
      </c>
      <c r="E838" t="n">
        <v>1687</v>
      </c>
      <c r="F838" t="n">
        <v>67396.3</v>
      </c>
      <c r="G838" t="n">
        <v>6</v>
      </c>
      <c r="H838" t="inlineStr">
        <is>
          <t>Standard</t>
        </is>
      </c>
      <c r="I838" t="inlineStr">
        <is>
          <t>RWD</t>
        </is>
      </c>
      <c r="J838" t="inlineStr">
        <is>
          <t>Red</t>
        </is>
      </c>
      <c r="K838" t="n">
        <v>429</v>
      </c>
      <c r="L838" t="n">
        <v>55</v>
      </c>
      <c r="M838" t="n">
        <v>14.2</v>
      </c>
      <c r="N838" t="n">
        <v>3019.08</v>
      </c>
      <c r="O838" t="n">
        <v>4.93</v>
      </c>
      <c r="P838" t="n">
        <v>5</v>
      </c>
      <c r="Q838" t="n">
        <v>1</v>
      </c>
      <c r="R838" t="n">
        <v>2020.8</v>
      </c>
      <c r="S838" t="b">
        <v>0</v>
      </c>
      <c r="T838" t="n">
        <v>2298976</v>
      </c>
      <c r="U838" t="n">
        <v>10</v>
      </c>
      <c r="V838" t="n">
        <v>0.08740000000000001</v>
      </c>
      <c r="W838" t="n">
        <v>2.06</v>
      </c>
      <c r="X838" t="n">
        <v>74.34999999999999</v>
      </c>
      <c r="Y838">
        <f>VLOOKUP(D838,$AB$2:$AC$7,2,FALSE)</f>
        <v/>
      </c>
      <c r="Z838">
        <f>IF(A838&lt;Y838,"Yes","No")</f>
        <v/>
      </c>
    </row>
    <row r="839">
      <c r="A839" t="n">
        <v>2017</v>
      </c>
      <c r="B839" t="inlineStr">
        <is>
          <t>Q4</t>
        </is>
      </c>
      <c r="C839" t="inlineStr">
        <is>
          <t>Asia</t>
        </is>
      </c>
      <c r="D839" t="inlineStr">
        <is>
          <t>Model 3</t>
        </is>
      </c>
      <c r="E839" t="n">
        <v>1239</v>
      </c>
      <c r="F839" t="n">
        <v>52834.72</v>
      </c>
      <c r="G839" t="n">
        <v>13</v>
      </c>
      <c r="H839" t="inlineStr">
        <is>
          <t>Performance</t>
        </is>
      </c>
      <c r="I839" t="inlineStr">
        <is>
          <t>AWD</t>
        </is>
      </c>
      <c r="J839" t="inlineStr">
        <is>
          <t>Black</t>
        </is>
      </c>
      <c r="K839" t="n">
        <v>432</v>
      </c>
      <c r="L839" t="n">
        <v>88</v>
      </c>
      <c r="M839" t="n">
        <v>21.54</v>
      </c>
      <c r="N839" t="n">
        <v>661.35</v>
      </c>
      <c r="O839" t="n">
        <v>3.66</v>
      </c>
      <c r="P839" t="n">
        <v>6</v>
      </c>
      <c r="Q839" t="n">
        <v>2</v>
      </c>
      <c r="R839" t="n">
        <v>2021.6</v>
      </c>
      <c r="S839" t="b">
        <v>1</v>
      </c>
      <c r="T839" t="n">
        <v>1644614</v>
      </c>
      <c r="U839" t="n">
        <v>4</v>
      </c>
      <c r="V839" t="n">
        <v>0.0761</v>
      </c>
      <c r="W839" t="n">
        <v>1.21</v>
      </c>
      <c r="X839" t="n">
        <v>61.71</v>
      </c>
      <c r="Y839">
        <f>VLOOKUP(D839,$AB$2:$AC$7,2,FALSE)</f>
        <v/>
      </c>
      <c r="Z839">
        <f>IF(A839&lt;Y839,"Yes","No")</f>
        <v/>
      </c>
    </row>
    <row r="840">
      <c r="A840" t="n">
        <v>2014</v>
      </c>
      <c r="B840" t="inlineStr">
        <is>
          <t>Q3</t>
        </is>
      </c>
      <c r="C840" t="inlineStr">
        <is>
          <t>Europe</t>
        </is>
      </c>
      <c r="D840" t="inlineStr">
        <is>
          <t>Model X</t>
        </is>
      </c>
      <c r="E840" t="n">
        <v>453</v>
      </c>
      <c r="F840" t="n">
        <v>111518.55</v>
      </c>
      <c r="G840" t="n">
        <v>15</v>
      </c>
      <c r="H840" t="inlineStr">
        <is>
          <t>Performance</t>
        </is>
      </c>
      <c r="I840" t="inlineStr">
        <is>
          <t>RWD</t>
        </is>
      </c>
      <c r="J840" t="inlineStr">
        <is>
          <t>Black</t>
        </is>
      </c>
      <c r="K840" t="n">
        <v>384</v>
      </c>
      <c r="L840" t="n">
        <v>84</v>
      </c>
      <c r="M840" t="n">
        <v>20.77</v>
      </c>
      <c r="N840" t="n">
        <v>708.1</v>
      </c>
      <c r="O840" t="n">
        <v>3.91</v>
      </c>
      <c r="P840" t="n">
        <v>8</v>
      </c>
      <c r="Q840" t="n">
        <v>2</v>
      </c>
      <c r="R840" t="n">
        <v>2020.4</v>
      </c>
      <c r="S840" t="b">
        <v>1</v>
      </c>
      <c r="T840" t="n">
        <v>4173229</v>
      </c>
      <c r="U840" t="n">
        <v>12</v>
      </c>
      <c r="V840" t="n">
        <v>0.0384</v>
      </c>
      <c r="W840" t="n">
        <v>2.21</v>
      </c>
      <c r="X840" t="n">
        <v>88.48999999999999</v>
      </c>
      <c r="Y840">
        <f>VLOOKUP(D840,$AB$2:$AC$7,2,FALSE)</f>
        <v/>
      </c>
      <c r="Z840">
        <f>IF(A840&lt;Y840,"Yes","No")</f>
        <v/>
      </c>
    </row>
    <row r="841">
      <c r="A841" t="n">
        <v>2024</v>
      </c>
      <c r="B841" t="inlineStr">
        <is>
          <t>Q1</t>
        </is>
      </c>
      <c r="C841" t="inlineStr">
        <is>
          <t>South America</t>
        </is>
      </c>
      <c r="D841" t="inlineStr">
        <is>
          <t>Model X</t>
        </is>
      </c>
      <c r="E841" t="n">
        <v>1266</v>
      </c>
      <c r="F841" t="n">
        <v>36151.92</v>
      </c>
      <c r="G841" t="n">
        <v>42</v>
      </c>
      <c r="H841" t="inlineStr">
        <is>
          <t>Standard</t>
        </is>
      </c>
      <c r="I841" t="inlineStr">
        <is>
          <t>AWD</t>
        </is>
      </c>
      <c r="J841" t="inlineStr">
        <is>
          <t>Blue</t>
        </is>
      </c>
      <c r="K841" t="n">
        <v>439</v>
      </c>
      <c r="L841" t="n">
        <v>55</v>
      </c>
      <c r="M841" t="n">
        <v>20.93</v>
      </c>
      <c r="N841" t="n">
        <v>1921.07</v>
      </c>
      <c r="O841" t="n">
        <v>3.93</v>
      </c>
      <c r="P841" t="n">
        <v>8</v>
      </c>
      <c r="Q841" t="n">
        <v>1</v>
      </c>
      <c r="R841" t="n">
        <v>2024.12</v>
      </c>
      <c r="S841" t="b">
        <v>0</v>
      </c>
      <c r="T841" t="n">
        <v>3164987</v>
      </c>
      <c r="U841" t="n">
        <v>8</v>
      </c>
      <c r="V841" t="n">
        <v>0.0157</v>
      </c>
      <c r="W841" t="n">
        <v>1.96</v>
      </c>
      <c r="X841" t="n">
        <v>83.72</v>
      </c>
      <c r="Y841">
        <f>VLOOKUP(D841,$AB$2:$AC$7,2,FALSE)</f>
        <v/>
      </c>
      <c r="Z841">
        <f>IF(A841&lt;Y841,"Yes","No")</f>
        <v/>
      </c>
    </row>
    <row r="842">
      <c r="A842" t="n">
        <v>2012</v>
      </c>
      <c r="B842" t="inlineStr">
        <is>
          <t>Q3</t>
        </is>
      </c>
      <c r="C842" t="inlineStr">
        <is>
          <t>Asia</t>
        </is>
      </c>
      <c r="D842" t="inlineStr">
        <is>
          <t>Model X</t>
        </is>
      </c>
      <c r="E842" t="n">
        <v>4708</v>
      </c>
      <c r="F842" t="n">
        <v>41181.33</v>
      </c>
      <c r="G842" t="n">
        <v>11</v>
      </c>
      <c r="H842" t="inlineStr">
        <is>
          <t>Performance</t>
        </is>
      </c>
      <c r="I842" t="inlineStr">
        <is>
          <t>AWD</t>
        </is>
      </c>
      <c r="J842" t="inlineStr">
        <is>
          <t>White</t>
        </is>
      </c>
      <c r="K842" t="n">
        <v>394</v>
      </c>
      <c r="L842" t="n">
        <v>57</v>
      </c>
      <c r="M842" t="n">
        <v>24.73</v>
      </c>
      <c r="N842" t="n">
        <v>4874.36</v>
      </c>
      <c r="O842" t="n">
        <v>3.62</v>
      </c>
      <c r="P842" t="n">
        <v>6</v>
      </c>
      <c r="Q842" t="n">
        <v>2</v>
      </c>
      <c r="R842" t="n">
        <v>2023.5</v>
      </c>
      <c r="S842" t="b">
        <v>1</v>
      </c>
      <c r="T842" t="n">
        <v>4877945</v>
      </c>
      <c r="U842" t="n">
        <v>12</v>
      </c>
      <c r="V842" t="n">
        <v>0.0182</v>
      </c>
      <c r="W842" t="n">
        <v>1.94</v>
      </c>
      <c r="X842" t="n">
        <v>77.77</v>
      </c>
      <c r="Y842">
        <f>VLOOKUP(D842,$AB$2:$AC$7,2,FALSE)</f>
        <v/>
      </c>
      <c r="Z842">
        <f>IF(A842&lt;Y842,"Yes","No")</f>
        <v/>
      </c>
    </row>
    <row r="843">
      <c r="A843" t="n">
        <v>2015</v>
      </c>
      <c r="B843" t="inlineStr">
        <is>
          <t>Q3</t>
        </is>
      </c>
      <c r="C843" t="inlineStr">
        <is>
          <t>Australia</t>
        </is>
      </c>
      <c r="D843" t="inlineStr">
        <is>
          <t>Cybertruck</t>
        </is>
      </c>
      <c r="E843" t="n">
        <v>4118</v>
      </c>
      <c r="F843" t="n">
        <v>65408.98</v>
      </c>
      <c r="G843" t="n">
        <v>11</v>
      </c>
      <c r="H843" t="inlineStr">
        <is>
          <t>Standard</t>
        </is>
      </c>
      <c r="I843" t="inlineStr">
        <is>
          <t>RWD</t>
        </is>
      </c>
      <c r="J843" t="inlineStr">
        <is>
          <t>Red</t>
        </is>
      </c>
      <c r="K843" t="n">
        <v>420</v>
      </c>
      <c r="L843" t="n">
        <v>31</v>
      </c>
      <c r="M843" t="n">
        <v>16.04</v>
      </c>
      <c r="N843" t="n">
        <v>5638.34</v>
      </c>
      <c r="O843" t="n">
        <v>3.74</v>
      </c>
      <c r="P843" t="n">
        <v>4</v>
      </c>
      <c r="Q843" t="n">
        <v>0</v>
      </c>
      <c r="R843" t="n">
        <v>2024.11</v>
      </c>
      <c r="S843" t="b">
        <v>0</v>
      </c>
      <c r="T843" t="n">
        <v>906094</v>
      </c>
      <c r="U843" t="n">
        <v>4</v>
      </c>
      <c r="V843" t="n">
        <v>0.0756</v>
      </c>
      <c r="W843" t="n">
        <v>0.68</v>
      </c>
      <c r="X843" t="n">
        <v>69.22</v>
      </c>
      <c r="Y843">
        <f>VLOOKUP(D843,$AB$2:$AC$7,2,FALSE)</f>
        <v/>
      </c>
      <c r="Z843">
        <f>IF(A843&lt;Y843,"Yes","No")</f>
        <v/>
      </c>
    </row>
    <row r="844">
      <c r="A844" t="n">
        <v>2015</v>
      </c>
      <c r="B844" t="inlineStr">
        <is>
          <t>Q2</t>
        </is>
      </c>
      <c r="C844" t="inlineStr">
        <is>
          <t>Australia</t>
        </is>
      </c>
      <c r="D844" t="inlineStr">
        <is>
          <t>Cybertruck</t>
        </is>
      </c>
      <c r="E844" t="n">
        <v>3355</v>
      </c>
      <c r="F844" t="n">
        <v>74334.38</v>
      </c>
      <c r="G844" t="n">
        <v>36</v>
      </c>
      <c r="H844" t="inlineStr">
        <is>
          <t>Performance</t>
        </is>
      </c>
      <c r="I844" t="inlineStr">
        <is>
          <t>RWD</t>
        </is>
      </c>
      <c r="J844" t="inlineStr">
        <is>
          <t>Blue</t>
        </is>
      </c>
      <c r="K844" t="n">
        <v>368</v>
      </c>
      <c r="L844" t="n">
        <v>66</v>
      </c>
      <c r="M844" t="n">
        <v>24.46</v>
      </c>
      <c r="N844" t="n">
        <v>4861.84</v>
      </c>
      <c r="O844" t="n">
        <v>3.61</v>
      </c>
      <c r="P844" t="n">
        <v>8</v>
      </c>
      <c r="Q844" t="n">
        <v>3</v>
      </c>
      <c r="R844" t="n">
        <v>2023.4</v>
      </c>
      <c r="S844" t="b">
        <v>1</v>
      </c>
      <c r="T844" t="n">
        <v>1655032</v>
      </c>
      <c r="U844" t="n">
        <v>4</v>
      </c>
      <c r="V844" t="n">
        <v>0.0494</v>
      </c>
      <c r="W844" t="n">
        <v>1.28</v>
      </c>
      <c r="X844" t="n">
        <v>82.94</v>
      </c>
      <c r="Y844">
        <f>VLOOKUP(D844,$AB$2:$AC$7,2,FALSE)</f>
        <v/>
      </c>
      <c r="Z844">
        <f>IF(A844&lt;Y844,"Yes","No")</f>
        <v/>
      </c>
    </row>
    <row r="845">
      <c r="A845" t="n">
        <v>2019</v>
      </c>
      <c r="B845" t="inlineStr">
        <is>
          <t>Q3</t>
        </is>
      </c>
      <c r="C845" t="inlineStr">
        <is>
          <t>South America</t>
        </is>
      </c>
      <c r="D845" t="inlineStr">
        <is>
          <t>Cybertruck</t>
        </is>
      </c>
      <c r="E845" t="n">
        <v>4430</v>
      </c>
      <c r="F845" t="n">
        <v>87839.17999999999</v>
      </c>
      <c r="G845" t="n">
        <v>41</v>
      </c>
      <c r="H845" t="inlineStr">
        <is>
          <t>Performance</t>
        </is>
      </c>
      <c r="I845" t="inlineStr">
        <is>
          <t>RWD</t>
        </is>
      </c>
      <c r="J845" t="inlineStr">
        <is>
          <t>White</t>
        </is>
      </c>
      <c r="K845" t="n">
        <v>471</v>
      </c>
      <c r="L845" t="n">
        <v>83</v>
      </c>
      <c r="M845" t="n">
        <v>20.65</v>
      </c>
      <c r="N845" t="n">
        <v>4057.92</v>
      </c>
      <c r="O845" t="n">
        <v>4.45</v>
      </c>
      <c r="P845" t="n">
        <v>6</v>
      </c>
      <c r="Q845" t="n">
        <v>1</v>
      </c>
      <c r="R845" t="n">
        <v>2020.1</v>
      </c>
      <c r="S845" t="b">
        <v>1</v>
      </c>
      <c r="T845" t="n">
        <v>3306388</v>
      </c>
      <c r="U845" t="n">
        <v>7</v>
      </c>
      <c r="V845" t="n">
        <v>0.0378</v>
      </c>
      <c r="W845" t="n">
        <v>0.5600000000000001</v>
      </c>
      <c r="X845" t="n">
        <v>75.37</v>
      </c>
      <c r="Y845">
        <f>VLOOKUP(D845,$AB$2:$AC$7,2,FALSE)</f>
        <v/>
      </c>
      <c r="Z845">
        <f>IF(A845&lt;Y845,"Yes","No")</f>
        <v/>
      </c>
    </row>
    <row r="846">
      <c r="A846" t="n">
        <v>2023</v>
      </c>
      <c r="B846" t="inlineStr">
        <is>
          <t>Q3</t>
        </is>
      </c>
      <c r="C846" t="inlineStr">
        <is>
          <t>Europe</t>
        </is>
      </c>
      <c r="D846" t="inlineStr">
        <is>
          <t>Model 3</t>
        </is>
      </c>
      <c r="E846" t="n">
        <v>1071</v>
      </c>
      <c r="F846" t="n">
        <v>47302.2</v>
      </c>
      <c r="G846" t="n">
        <v>10</v>
      </c>
      <c r="H846" t="inlineStr">
        <is>
          <t>Standard</t>
        </is>
      </c>
      <c r="I846" t="inlineStr">
        <is>
          <t>AWD</t>
        </is>
      </c>
      <c r="J846" t="inlineStr">
        <is>
          <t>White</t>
        </is>
      </c>
      <c r="K846" t="n">
        <v>362</v>
      </c>
      <c r="L846" t="n">
        <v>79</v>
      </c>
      <c r="M846" t="n">
        <v>17.19</v>
      </c>
      <c r="N846" t="n">
        <v>2265.28</v>
      </c>
      <c r="O846" t="n">
        <v>3.91</v>
      </c>
      <c r="P846" t="n">
        <v>6</v>
      </c>
      <c r="Q846" t="n">
        <v>3</v>
      </c>
      <c r="R846" t="n">
        <v>2022.8</v>
      </c>
      <c r="S846" t="b">
        <v>1</v>
      </c>
      <c r="T846" t="n">
        <v>518941</v>
      </c>
      <c r="U846" t="n">
        <v>2</v>
      </c>
      <c r="V846" t="n">
        <v>0.0226</v>
      </c>
      <c r="W846" t="n">
        <v>2.44</v>
      </c>
      <c r="X846" t="n">
        <v>73.93000000000001</v>
      </c>
      <c r="Y846">
        <f>VLOOKUP(D846,$AB$2:$AC$7,2,FALSE)</f>
        <v/>
      </c>
      <c r="Z846">
        <f>IF(A846&lt;Y846,"Yes","No")</f>
        <v/>
      </c>
    </row>
    <row r="847">
      <c r="A847" t="n">
        <v>2016</v>
      </c>
      <c r="B847" t="inlineStr">
        <is>
          <t>Q3</t>
        </is>
      </c>
      <c r="C847" t="inlineStr">
        <is>
          <t>South America</t>
        </is>
      </c>
      <c r="D847" t="inlineStr">
        <is>
          <t>Semi</t>
        </is>
      </c>
      <c r="E847" t="n">
        <v>3615</v>
      </c>
      <c r="F847" t="n">
        <v>77195</v>
      </c>
      <c r="G847" t="n">
        <v>19</v>
      </c>
      <c r="H847" t="inlineStr">
        <is>
          <t>Performance</t>
        </is>
      </c>
      <c r="I847" t="inlineStr">
        <is>
          <t>RWD</t>
        </is>
      </c>
      <c r="J847" t="inlineStr">
        <is>
          <t>Silver</t>
        </is>
      </c>
      <c r="K847" t="n">
        <v>580</v>
      </c>
      <c r="L847" t="n">
        <v>89</v>
      </c>
      <c r="M847" t="n">
        <v>16.71</v>
      </c>
      <c r="N847" t="n">
        <v>8610.9</v>
      </c>
      <c r="O847" t="n">
        <v>4.13</v>
      </c>
      <c r="P847" t="n">
        <v>5</v>
      </c>
      <c r="Q847" t="n">
        <v>3</v>
      </c>
      <c r="R847" t="n">
        <v>2022.7</v>
      </c>
      <c r="S847" t="b">
        <v>1</v>
      </c>
      <c r="T847" t="n">
        <v>2255298</v>
      </c>
      <c r="U847" t="n">
        <v>7</v>
      </c>
      <c r="V847" t="n">
        <v>0.013</v>
      </c>
      <c r="W847" t="n">
        <v>1.31</v>
      </c>
      <c r="X847" t="n">
        <v>70.59</v>
      </c>
      <c r="Y847">
        <f>VLOOKUP(D847,$AB$2:$AC$7,2,FALSE)</f>
        <v/>
      </c>
      <c r="Z847">
        <f>IF(A847&lt;Y847,"Yes","No")</f>
        <v/>
      </c>
    </row>
    <row r="848">
      <c r="A848" t="n">
        <v>2023</v>
      </c>
      <c r="B848" t="inlineStr">
        <is>
          <t>Q2</t>
        </is>
      </c>
      <c r="C848" t="inlineStr">
        <is>
          <t>Australia</t>
        </is>
      </c>
      <c r="D848" t="inlineStr">
        <is>
          <t>Model 3</t>
        </is>
      </c>
      <c r="E848" t="n">
        <v>358</v>
      </c>
      <c r="F848" t="n">
        <v>85053.38</v>
      </c>
      <c r="G848" t="n">
        <v>24</v>
      </c>
      <c r="H848" t="inlineStr">
        <is>
          <t>Long Range</t>
        </is>
      </c>
      <c r="I848" t="inlineStr">
        <is>
          <t>RWD</t>
        </is>
      </c>
      <c r="J848" t="inlineStr">
        <is>
          <t>Silver</t>
        </is>
      </c>
      <c r="K848" t="n">
        <v>445</v>
      </c>
      <c r="L848" t="n">
        <v>59</v>
      </c>
      <c r="M848" t="n">
        <v>18.3</v>
      </c>
      <c r="N848" t="n">
        <v>257.7</v>
      </c>
      <c r="O848" t="n">
        <v>4.45</v>
      </c>
      <c r="P848" t="n">
        <v>6</v>
      </c>
      <c r="Q848" t="n">
        <v>1</v>
      </c>
      <c r="R848" t="n">
        <v>2024.12</v>
      </c>
      <c r="S848" t="b">
        <v>0</v>
      </c>
      <c r="T848" t="n">
        <v>1968479</v>
      </c>
      <c r="U848" t="n">
        <v>7</v>
      </c>
      <c r="V848" t="n">
        <v>0.0285</v>
      </c>
      <c r="W848" t="n">
        <v>1.89</v>
      </c>
      <c r="X848" t="n">
        <v>77.81</v>
      </c>
      <c r="Y848">
        <f>VLOOKUP(D848,$AB$2:$AC$7,2,FALSE)</f>
        <v/>
      </c>
      <c r="Z848">
        <f>IF(A848&lt;Y848,"Yes","No")</f>
        <v/>
      </c>
    </row>
    <row r="849">
      <c r="A849" t="n">
        <v>2023</v>
      </c>
      <c r="B849" t="inlineStr">
        <is>
          <t>Q1</t>
        </is>
      </c>
      <c r="C849" t="inlineStr">
        <is>
          <t>Europe</t>
        </is>
      </c>
      <c r="D849" t="inlineStr">
        <is>
          <t>Model X</t>
        </is>
      </c>
      <c r="E849" t="n">
        <v>2915</v>
      </c>
      <c r="F849" t="n">
        <v>44360.37</v>
      </c>
      <c r="G849" t="n">
        <v>33</v>
      </c>
      <c r="H849" t="inlineStr">
        <is>
          <t>Standard</t>
        </is>
      </c>
      <c r="I849" t="inlineStr">
        <is>
          <t>RWD</t>
        </is>
      </c>
      <c r="J849" t="inlineStr">
        <is>
          <t>Blue</t>
        </is>
      </c>
      <c r="K849" t="n">
        <v>695</v>
      </c>
      <c r="L849" t="n">
        <v>43</v>
      </c>
      <c r="M849" t="n">
        <v>18.12</v>
      </c>
      <c r="N849" t="n">
        <v>2826.21</v>
      </c>
      <c r="O849" t="n">
        <v>3.62</v>
      </c>
      <c r="P849" t="n">
        <v>6</v>
      </c>
      <c r="Q849" t="n">
        <v>2</v>
      </c>
      <c r="R849" t="n">
        <v>2024.1</v>
      </c>
      <c r="S849" t="b">
        <v>0</v>
      </c>
      <c r="T849" t="n">
        <v>3400673</v>
      </c>
      <c r="U849" t="n">
        <v>7</v>
      </c>
      <c r="V849" t="n">
        <v>0.093</v>
      </c>
      <c r="W849" t="n">
        <v>1.33</v>
      </c>
      <c r="X849" t="n">
        <v>73.04000000000001</v>
      </c>
      <c r="Y849">
        <f>VLOOKUP(D849,$AB$2:$AC$7,2,FALSE)</f>
        <v/>
      </c>
      <c r="Z849">
        <f>IF(A849&lt;Y849,"Yes","No")</f>
        <v/>
      </c>
    </row>
    <row r="850">
      <c r="A850" t="n">
        <v>2016</v>
      </c>
      <c r="B850" t="inlineStr">
        <is>
          <t>Q3</t>
        </is>
      </c>
      <c r="C850" t="inlineStr">
        <is>
          <t>Asia</t>
        </is>
      </c>
      <c r="D850" t="inlineStr">
        <is>
          <t>Model X</t>
        </is>
      </c>
      <c r="E850" t="n">
        <v>1863</v>
      </c>
      <c r="F850" t="n">
        <v>61128.28</v>
      </c>
      <c r="G850" t="n">
        <v>16</v>
      </c>
      <c r="H850" t="inlineStr">
        <is>
          <t>Standard</t>
        </is>
      </c>
      <c r="I850" t="inlineStr">
        <is>
          <t>RWD</t>
        </is>
      </c>
      <c r="J850" t="inlineStr">
        <is>
          <t>Silver</t>
        </is>
      </c>
      <c r="K850" t="n">
        <v>412</v>
      </c>
      <c r="L850" t="n">
        <v>55</v>
      </c>
      <c r="M850" t="n">
        <v>19.83</v>
      </c>
      <c r="N850" t="n">
        <v>3180.07</v>
      </c>
      <c r="O850" t="n">
        <v>3.87</v>
      </c>
      <c r="P850" t="n">
        <v>5</v>
      </c>
      <c r="Q850" t="n">
        <v>2</v>
      </c>
      <c r="R850" t="n">
        <v>2022.1</v>
      </c>
      <c r="S850" t="b">
        <v>0</v>
      </c>
      <c r="T850" t="n">
        <v>2491498</v>
      </c>
      <c r="U850" t="n">
        <v>5</v>
      </c>
      <c r="V850" t="n">
        <v>0.0617</v>
      </c>
      <c r="W850" t="n">
        <v>1.04</v>
      </c>
      <c r="X850" t="n">
        <v>72.3</v>
      </c>
      <c r="Y850">
        <f>VLOOKUP(D850,$AB$2:$AC$7,2,FALSE)</f>
        <v/>
      </c>
      <c r="Z850">
        <f>IF(A850&lt;Y850,"Yes","No")</f>
        <v/>
      </c>
    </row>
    <row r="851">
      <c r="A851" t="n">
        <v>2012</v>
      </c>
      <c r="B851" t="inlineStr">
        <is>
          <t>Q2</t>
        </is>
      </c>
      <c r="C851" t="inlineStr">
        <is>
          <t>Europe</t>
        </is>
      </c>
      <c r="D851" t="inlineStr">
        <is>
          <t>Model 3</t>
        </is>
      </c>
      <c r="E851" t="n">
        <v>441</v>
      </c>
      <c r="F851" t="n">
        <v>85432.28</v>
      </c>
      <c r="G851" t="n">
        <v>32</v>
      </c>
      <c r="H851" t="inlineStr">
        <is>
          <t>Long Range</t>
        </is>
      </c>
      <c r="I851" t="inlineStr">
        <is>
          <t>AWD</t>
        </is>
      </c>
      <c r="J851" t="inlineStr">
        <is>
          <t>Silver</t>
        </is>
      </c>
      <c r="K851" t="n">
        <v>594</v>
      </c>
      <c r="L851" t="n">
        <v>76</v>
      </c>
      <c r="M851" t="n">
        <v>24.22</v>
      </c>
      <c r="N851" t="n">
        <v>1092.2</v>
      </c>
      <c r="O851" t="n">
        <v>4.5</v>
      </c>
      <c r="P851" t="n">
        <v>6</v>
      </c>
      <c r="Q851" t="n">
        <v>0</v>
      </c>
      <c r="R851" t="n">
        <v>2021.3</v>
      </c>
      <c r="S851" t="b">
        <v>1</v>
      </c>
      <c r="T851" t="n">
        <v>166908</v>
      </c>
      <c r="U851" t="n">
        <v>11</v>
      </c>
      <c r="V851" t="n">
        <v>0.0501</v>
      </c>
      <c r="W851" t="n">
        <v>0.62</v>
      </c>
      <c r="X851" t="n">
        <v>65.2</v>
      </c>
      <c r="Y851">
        <f>VLOOKUP(D851,$AB$2:$AC$7,2,FALSE)</f>
        <v/>
      </c>
      <c r="Z851">
        <f>IF(A851&lt;Y851,"Yes","No")</f>
        <v/>
      </c>
    </row>
    <row r="852">
      <c r="A852" t="n">
        <v>2019</v>
      </c>
      <c r="B852" t="inlineStr">
        <is>
          <t>Q1</t>
        </is>
      </c>
      <c r="C852" t="inlineStr">
        <is>
          <t>Australia</t>
        </is>
      </c>
      <c r="D852" t="inlineStr">
        <is>
          <t>Model X</t>
        </is>
      </c>
      <c r="E852" t="n">
        <v>2518</v>
      </c>
      <c r="F852" t="n">
        <v>111435.21</v>
      </c>
      <c r="G852" t="n">
        <v>33</v>
      </c>
      <c r="H852" t="inlineStr">
        <is>
          <t>Long Range</t>
        </is>
      </c>
      <c r="I852" t="inlineStr">
        <is>
          <t>AWD</t>
        </is>
      </c>
      <c r="J852" t="inlineStr">
        <is>
          <t>White</t>
        </is>
      </c>
      <c r="K852" t="n">
        <v>672</v>
      </c>
      <c r="L852" t="n">
        <v>75</v>
      </c>
      <c r="M852" t="n">
        <v>22.41</v>
      </c>
      <c r="N852" t="n">
        <v>3125.06</v>
      </c>
      <c r="O852" t="n">
        <v>4.21</v>
      </c>
      <c r="P852" t="n">
        <v>5</v>
      </c>
      <c r="Q852" t="n">
        <v>1</v>
      </c>
      <c r="R852" t="n">
        <v>2020.4</v>
      </c>
      <c r="S852" t="b">
        <v>1</v>
      </c>
      <c r="T852" t="n">
        <v>459961</v>
      </c>
      <c r="U852" t="n">
        <v>6</v>
      </c>
      <c r="V852" t="n">
        <v>0.035</v>
      </c>
      <c r="W852" t="n">
        <v>1.37</v>
      </c>
      <c r="X852" t="n">
        <v>69.13</v>
      </c>
      <c r="Y852">
        <f>VLOOKUP(D852,$AB$2:$AC$7,2,FALSE)</f>
        <v/>
      </c>
      <c r="Z852">
        <f>IF(A852&lt;Y852,"Yes","No")</f>
        <v/>
      </c>
    </row>
    <row r="853">
      <c r="A853" t="n">
        <v>2013</v>
      </c>
      <c r="B853" t="inlineStr">
        <is>
          <t>Q2</t>
        </is>
      </c>
      <c r="C853" t="inlineStr">
        <is>
          <t>South America</t>
        </is>
      </c>
      <c r="D853" t="inlineStr">
        <is>
          <t>Model 3</t>
        </is>
      </c>
      <c r="E853" t="n">
        <v>4691</v>
      </c>
      <c r="F853" t="n">
        <v>39641.65</v>
      </c>
      <c r="G853" t="n">
        <v>1</v>
      </c>
      <c r="H853" t="inlineStr">
        <is>
          <t>Standard</t>
        </is>
      </c>
      <c r="I853" t="inlineStr">
        <is>
          <t>RWD</t>
        </is>
      </c>
      <c r="J853" t="inlineStr">
        <is>
          <t>Red</t>
        </is>
      </c>
      <c r="K853" t="n">
        <v>419</v>
      </c>
      <c r="L853" t="n">
        <v>79</v>
      </c>
      <c r="M853" t="n">
        <v>14.38</v>
      </c>
      <c r="N853" t="n">
        <v>9230.379999999999</v>
      </c>
      <c r="O853" t="n">
        <v>4.19</v>
      </c>
      <c r="P853" t="n">
        <v>8</v>
      </c>
      <c r="Q853" t="n">
        <v>2</v>
      </c>
      <c r="R853" t="n">
        <v>2024.12</v>
      </c>
      <c r="S853" t="b">
        <v>0</v>
      </c>
      <c r="T853" t="n">
        <v>1696474</v>
      </c>
      <c r="U853" t="n">
        <v>7</v>
      </c>
      <c r="V853" t="n">
        <v>0.0624</v>
      </c>
      <c r="W853" t="n">
        <v>1.76</v>
      </c>
      <c r="X853" t="n">
        <v>85.19</v>
      </c>
      <c r="Y853">
        <f>VLOOKUP(D853,$AB$2:$AC$7,2,FALSE)</f>
        <v/>
      </c>
      <c r="Z853">
        <f>IF(A853&lt;Y853,"Yes","No")</f>
        <v/>
      </c>
    </row>
    <row r="854">
      <c r="A854" t="n">
        <v>2012</v>
      </c>
      <c r="B854" t="inlineStr">
        <is>
          <t>Q4</t>
        </is>
      </c>
      <c r="C854" t="inlineStr">
        <is>
          <t>North America</t>
        </is>
      </c>
      <c r="D854" t="inlineStr">
        <is>
          <t>Cybertruck</t>
        </is>
      </c>
      <c r="E854" t="n">
        <v>1839</v>
      </c>
      <c r="F854" t="n">
        <v>115272.46</v>
      </c>
      <c r="G854" t="n">
        <v>16</v>
      </c>
      <c r="H854" t="inlineStr">
        <is>
          <t>Performance</t>
        </is>
      </c>
      <c r="I854" t="inlineStr">
        <is>
          <t>RWD</t>
        </is>
      </c>
      <c r="J854" t="inlineStr">
        <is>
          <t>Silver</t>
        </is>
      </c>
      <c r="K854" t="n">
        <v>502</v>
      </c>
      <c r="L854" t="n">
        <v>42</v>
      </c>
      <c r="M854" t="n">
        <v>16.11</v>
      </c>
      <c r="N854" t="n">
        <v>2123.15</v>
      </c>
      <c r="O854" t="n">
        <v>4.08</v>
      </c>
      <c r="P854" t="n">
        <v>4</v>
      </c>
      <c r="Q854" t="n">
        <v>0</v>
      </c>
      <c r="R854" t="n">
        <v>2021.9</v>
      </c>
      <c r="S854" t="b">
        <v>0</v>
      </c>
      <c r="T854" t="n">
        <v>503139</v>
      </c>
      <c r="U854" t="n">
        <v>5</v>
      </c>
      <c r="V854" t="n">
        <v>0.0367</v>
      </c>
      <c r="W854" t="n">
        <v>0.87</v>
      </c>
      <c r="X854" t="n">
        <v>84.86</v>
      </c>
      <c r="Y854">
        <f>VLOOKUP(D854,$AB$2:$AC$7,2,FALSE)</f>
        <v/>
      </c>
      <c r="Z854">
        <f>IF(A854&lt;Y854,"Yes","No")</f>
        <v/>
      </c>
    </row>
    <row r="855">
      <c r="A855" t="n">
        <v>2014</v>
      </c>
      <c r="B855" t="inlineStr">
        <is>
          <t>Q2</t>
        </is>
      </c>
      <c r="C855" t="inlineStr">
        <is>
          <t>North America</t>
        </is>
      </c>
      <c r="D855" t="inlineStr">
        <is>
          <t>Model 3</t>
        </is>
      </c>
      <c r="E855" t="n">
        <v>1646</v>
      </c>
      <c r="F855" t="n">
        <v>61352.33</v>
      </c>
      <c r="G855" t="n">
        <v>18</v>
      </c>
      <c r="H855" t="inlineStr">
        <is>
          <t>Standard</t>
        </is>
      </c>
      <c r="I855" t="inlineStr">
        <is>
          <t>RWD</t>
        </is>
      </c>
      <c r="J855" t="inlineStr">
        <is>
          <t>Blue</t>
        </is>
      </c>
      <c r="K855" t="n">
        <v>456</v>
      </c>
      <c r="L855" t="n">
        <v>71</v>
      </c>
      <c r="M855" t="n">
        <v>14.29</v>
      </c>
      <c r="N855" t="n">
        <v>1814.74</v>
      </c>
      <c r="O855" t="n">
        <v>4.49</v>
      </c>
      <c r="P855" t="n">
        <v>8</v>
      </c>
      <c r="Q855" t="n">
        <v>3</v>
      </c>
      <c r="R855" t="n">
        <v>2024.1</v>
      </c>
      <c r="S855" t="b">
        <v>1</v>
      </c>
      <c r="T855" t="n">
        <v>4731928</v>
      </c>
      <c r="U855" t="n">
        <v>12</v>
      </c>
      <c r="V855" t="n">
        <v>0.0382</v>
      </c>
      <c r="W855" t="n">
        <v>1.92</v>
      </c>
      <c r="X855" t="n">
        <v>64.23</v>
      </c>
      <c r="Y855">
        <f>VLOOKUP(D855,$AB$2:$AC$7,2,FALSE)</f>
        <v/>
      </c>
      <c r="Z855">
        <f>IF(A855&lt;Y855,"Yes","No")</f>
        <v/>
      </c>
    </row>
    <row r="856">
      <c r="A856" t="n">
        <v>2016</v>
      </c>
      <c r="B856" t="inlineStr">
        <is>
          <t>Q4</t>
        </is>
      </c>
      <c r="C856" t="inlineStr">
        <is>
          <t>South America</t>
        </is>
      </c>
      <c r="D856" t="inlineStr">
        <is>
          <t>Model S</t>
        </is>
      </c>
      <c r="E856" t="n">
        <v>1303</v>
      </c>
      <c r="F856" t="n">
        <v>110320.28</v>
      </c>
      <c r="G856" t="n">
        <v>41</v>
      </c>
      <c r="H856" t="inlineStr">
        <is>
          <t>Standard</t>
        </is>
      </c>
      <c r="I856" t="inlineStr">
        <is>
          <t>RWD</t>
        </is>
      </c>
      <c r="J856" t="inlineStr">
        <is>
          <t>Blue</t>
        </is>
      </c>
      <c r="K856" t="n">
        <v>496</v>
      </c>
      <c r="L856" t="n">
        <v>34</v>
      </c>
      <c r="M856" t="n">
        <v>18.59</v>
      </c>
      <c r="N856" t="n">
        <v>1142.27</v>
      </c>
      <c r="O856" t="n">
        <v>3.56</v>
      </c>
      <c r="P856" t="n">
        <v>5</v>
      </c>
      <c r="Q856" t="n">
        <v>2</v>
      </c>
      <c r="R856" t="n">
        <v>2020.3</v>
      </c>
      <c r="S856" t="b">
        <v>1</v>
      </c>
      <c r="T856" t="n">
        <v>4601004</v>
      </c>
      <c r="U856" t="n">
        <v>7</v>
      </c>
      <c r="V856" t="n">
        <v>0.0953</v>
      </c>
      <c r="W856" t="n">
        <v>0.83</v>
      </c>
      <c r="X856" t="n">
        <v>84.45</v>
      </c>
      <c r="Y856">
        <f>VLOOKUP(D856,$AB$2:$AC$7,2,FALSE)</f>
        <v/>
      </c>
      <c r="Z856">
        <f>IF(A856&lt;Y856,"Yes","No")</f>
        <v/>
      </c>
    </row>
    <row r="857">
      <c r="A857" t="n">
        <v>2021</v>
      </c>
      <c r="B857" t="inlineStr">
        <is>
          <t>Q3</t>
        </is>
      </c>
      <c r="C857" t="inlineStr">
        <is>
          <t>Australia</t>
        </is>
      </c>
      <c r="D857" t="inlineStr">
        <is>
          <t>Model Y</t>
        </is>
      </c>
      <c r="E857" t="n">
        <v>2821</v>
      </c>
      <c r="F857" t="n">
        <v>50399.79</v>
      </c>
      <c r="G857" t="n">
        <v>48</v>
      </c>
      <c r="H857" t="inlineStr">
        <is>
          <t>Long Range</t>
        </is>
      </c>
      <c r="I857" t="inlineStr">
        <is>
          <t>AWD</t>
        </is>
      </c>
      <c r="J857" t="inlineStr">
        <is>
          <t>Black</t>
        </is>
      </c>
      <c r="K857" t="n">
        <v>452</v>
      </c>
      <c r="L857" t="n">
        <v>38</v>
      </c>
      <c r="M857" t="n">
        <v>19.24</v>
      </c>
      <c r="N857" t="n">
        <v>2275.52</v>
      </c>
      <c r="O857" t="n">
        <v>4.69</v>
      </c>
      <c r="P857" t="n">
        <v>4</v>
      </c>
      <c r="Q857" t="n">
        <v>1</v>
      </c>
      <c r="R857" t="n">
        <v>2020.3</v>
      </c>
      <c r="S857" t="b">
        <v>0</v>
      </c>
      <c r="T857" t="n">
        <v>3466119</v>
      </c>
      <c r="U857" t="n">
        <v>11</v>
      </c>
      <c r="V857" t="n">
        <v>0.0992</v>
      </c>
      <c r="W857" t="n">
        <v>0.93</v>
      </c>
      <c r="X857" t="n">
        <v>86.33</v>
      </c>
      <c r="Y857">
        <f>VLOOKUP(D857,$AB$2:$AC$7,2,FALSE)</f>
        <v/>
      </c>
      <c r="Z857">
        <f>IF(A857&lt;Y857,"Yes","No")</f>
        <v/>
      </c>
    </row>
    <row r="858">
      <c r="A858" t="n">
        <v>2015</v>
      </c>
      <c r="B858" t="inlineStr">
        <is>
          <t>Q1</t>
        </is>
      </c>
      <c r="C858" t="inlineStr">
        <is>
          <t>Europe</t>
        </is>
      </c>
      <c r="D858" t="inlineStr">
        <is>
          <t>Model 3</t>
        </is>
      </c>
      <c r="E858" t="n">
        <v>2127</v>
      </c>
      <c r="F858" t="n">
        <v>69704.78</v>
      </c>
      <c r="G858" t="n">
        <v>28</v>
      </c>
      <c r="H858" t="inlineStr">
        <is>
          <t>Standard</t>
        </is>
      </c>
      <c r="I858" t="inlineStr">
        <is>
          <t>AWD</t>
        </is>
      </c>
      <c r="J858" t="inlineStr">
        <is>
          <t>Green</t>
        </is>
      </c>
      <c r="K858" t="n">
        <v>569</v>
      </c>
      <c r="L858" t="n">
        <v>80</v>
      </c>
      <c r="M858" t="n">
        <v>18.48</v>
      </c>
      <c r="N858" t="n">
        <v>5031.69</v>
      </c>
      <c r="O858" t="n">
        <v>3.52</v>
      </c>
      <c r="P858" t="n">
        <v>8</v>
      </c>
      <c r="Q858" t="n">
        <v>1</v>
      </c>
      <c r="R858" t="n">
        <v>2023.1</v>
      </c>
      <c r="S858" t="b">
        <v>0</v>
      </c>
      <c r="T858" t="n">
        <v>2743994</v>
      </c>
      <c r="U858" t="n">
        <v>5</v>
      </c>
      <c r="V858" t="n">
        <v>0.09089999999999999</v>
      </c>
      <c r="W858" t="n">
        <v>0.61</v>
      </c>
      <c r="X858" t="n">
        <v>68.34</v>
      </c>
      <c r="Y858">
        <f>VLOOKUP(D858,$AB$2:$AC$7,2,FALSE)</f>
        <v/>
      </c>
      <c r="Z858">
        <f>IF(A858&lt;Y858,"Yes","No")</f>
        <v/>
      </c>
    </row>
    <row r="859">
      <c r="A859" t="n">
        <v>2017</v>
      </c>
      <c r="B859" t="inlineStr">
        <is>
          <t>Q2</t>
        </is>
      </c>
      <c r="C859" t="inlineStr">
        <is>
          <t>North America</t>
        </is>
      </c>
      <c r="D859" t="inlineStr">
        <is>
          <t>Model S</t>
        </is>
      </c>
      <c r="E859" t="n">
        <v>1467</v>
      </c>
      <c r="F859" t="n">
        <v>112369.99</v>
      </c>
      <c r="G859" t="n">
        <v>47</v>
      </c>
      <c r="H859" t="inlineStr">
        <is>
          <t>Performance</t>
        </is>
      </c>
      <c r="I859" t="inlineStr">
        <is>
          <t>RWD</t>
        </is>
      </c>
      <c r="J859" t="inlineStr">
        <is>
          <t>Blue</t>
        </is>
      </c>
      <c r="K859" t="n">
        <v>437</v>
      </c>
      <c r="L859" t="n">
        <v>45</v>
      </c>
      <c r="M859" t="n">
        <v>13.35</v>
      </c>
      <c r="N859" t="n">
        <v>1528.18</v>
      </c>
      <c r="O859" t="n">
        <v>4.88</v>
      </c>
      <c r="P859" t="n">
        <v>5</v>
      </c>
      <c r="Q859" t="n">
        <v>0</v>
      </c>
      <c r="R859" t="n">
        <v>2021.9</v>
      </c>
      <c r="S859" t="b">
        <v>0</v>
      </c>
      <c r="T859" t="n">
        <v>3945779</v>
      </c>
      <c r="U859" t="n">
        <v>3</v>
      </c>
      <c r="V859" t="n">
        <v>0.09520000000000001</v>
      </c>
      <c r="W859" t="n">
        <v>2.1</v>
      </c>
      <c r="X859" t="n">
        <v>84.28</v>
      </c>
      <c r="Y859">
        <f>VLOOKUP(D859,$AB$2:$AC$7,2,FALSE)</f>
        <v/>
      </c>
      <c r="Z859">
        <f>IF(A859&lt;Y859,"Yes","No")</f>
        <v/>
      </c>
    </row>
    <row r="860">
      <c r="A860" t="n">
        <v>2024</v>
      </c>
      <c r="B860" t="inlineStr">
        <is>
          <t>Q1</t>
        </is>
      </c>
      <c r="C860" t="inlineStr">
        <is>
          <t>North America</t>
        </is>
      </c>
      <c r="D860" t="inlineStr">
        <is>
          <t>Model Y</t>
        </is>
      </c>
      <c r="E860" t="n">
        <v>1385</v>
      </c>
      <c r="F860" t="n">
        <v>116397.01</v>
      </c>
      <c r="G860" t="n">
        <v>42</v>
      </c>
      <c r="H860" t="inlineStr">
        <is>
          <t>Standard</t>
        </is>
      </c>
      <c r="I860" t="inlineStr">
        <is>
          <t>RWD</t>
        </is>
      </c>
      <c r="J860" t="inlineStr">
        <is>
          <t>Red</t>
        </is>
      </c>
      <c r="K860" t="n">
        <v>541</v>
      </c>
      <c r="L860" t="n">
        <v>33</v>
      </c>
      <c r="M860" t="n">
        <v>18.27</v>
      </c>
      <c r="N860" t="n">
        <v>3126.43</v>
      </c>
      <c r="O860" t="n">
        <v>4.12</v>
      </c>
      <c r="P860" t="n">
        <v>6</v>
      </c>
      <c r="Q860" t="n">
        <v>3</v>
      </c>
      <c r="R860" t="n">
        <v>2020.8</v>
      </c>
      <c r="S860" t="b">
        <v>0</v>
      </c>
      <c r="T860" t="n">
        <v>2793707</v>
      </c>
      <c r="U860" t="n">
        <v>6</v>
      </c>
      <c r="V860" t="n">
        <v>0.0473</v>
      </c>
      <c r="W860" t="n">
        <v>1.74</v>
      </c>
      <c r="X860" t="n">
        <v>84.97</v>
      </c>
      <c r="Y860">
        <f>VLOOKUP(D860,$AB$2:$AC$7,2,FALSE)</f>
        <v/>
      </c>
      <c r="Z860">
        <f>IF(A860&lt;Y860,"Yes","No")</f>
        <v/>
      </c>
    </row>
    <row r="861">
      <c r="A861" t="n">
        <v>2014</v>
      </c>
      <c r="B861" t="inlineStr">
        <is>
          <t>Q3</t>
        </is>
      </c>
      <c r="C861" t="inlineStr">
        <is>
          <t>North America</t>
        </is>
      </c>
      <c r="D861" t="inlineStr">
        <is>
          <t>Model Y</t>
        </is>
      </c>
      <c r="E861" t="n">
        <v>2997</v>
      </c>
      <c r="F861" t="n">
        <v>89384.60000000001</v>
      </c>
      <c r="G861" t="n">
        <v>14</v>
      </c>
      <c r="H861" t="inlineStr">
        <is>
          <t>Performance</t>
        </is>
      </c>
      <c r="I861" t="inlineStr">
        <is>
          <t>RWD</t>
        </is>
      </c>
      <c r="J861" t="inlineStr">
        <is>
          <t>Black</t>
        </is>
      </c>
      <c r="K861" t="n">
        <v>696</v>
      </c>
      <c r="L861" t="n">
        <v>60</v>
      </c>
      <c r="M861" t="n">
        <v>20.55</v>
      </c>
      <c r="N861" t="n">
        <v>3533.33</v>
      </c>
      <c r="O861" t="n">
        <v>4.81</v>
      </c>
      <c r="P861" t="n">
        <v>4</v>
      </c>
      <c r="Q861" t="n">
        <v>1</v>
      </c>
      <c r="R861" t="n">
        <v>2021.6</v>
      </c>
      <c r="S861" t="b">
        <v>1</v>
      </c>
      <c r="T861" t="n">
        <v>2979323</v>
      </c>
      <c r="U861" t="n">
        <v>8</v>
      </c>
      <c r="V861" t="n">
        <v>0.0455</v>
      </c>
      <c r="W861" t="n">
        <v>1.57</v>
      </c>
      <c r="X861" t="n">
        <v>81.38</v>
      </c>
      <c r="Y861">
        <f>VLOOKUP(D861,$AB$2:$AC$7,2,FALSE)</f>
        <v/>
      </c>
      <c r="Z861">
        <f>IF(A861&lt;Y861,"Yes","No")</f>
        <v/>
      </c>
    </row>
    <row r="862">
      <c r="A862" t="n">
        <v>2020</v>
      </c>
      <c r="B862" t="inlineStr">
        <is>
          <t>Q2</t>
        </is>
      </c>
      <c r="C862" t="inlineStr">
        <is>
          <t>Europe</t>
        </is>
      </c>
      <c r="D862" t="inlineStr">
        <is>
          <t>Model Y</t>
        </is>
      </c>
      <c r="E862" t="n">
        <v>2090</v>
      </c>
      <c r="F862" t="n">
        <v>88312.09</v>
      </c>
      <c r="G862" t="n">
        <v>28</v>
      </c>
      <c r="H862" t="inlineStr">
        <is>
          <t>Performance</t>
        </is>
      </c>
      <c r="I862" t="inlineStr">
        <is>
          <t>AWD</t>
        </is>
      </c>
      <c r="J862" t="inlineStr">
        <is>
          <t>Black</t>
        </is>
      </c>
      <c r="K862" t="n">
        <v>401</v>
      </c>
      <c r="L862" t="n">
        <v>38</v>
      </c>
      <c r="M862" t="n">
        <v>14.01</v>
      </c>
      <c r="N862" t="n">
        <v>5138.58</v>
      </c>
      <c r="O862" t="n">
        <v>3.68</v>
      </c>
      <c r="P862" t="n">
        <v>8</v>
      </c>
      <c r="Q862" t="n">
        <v>0</v>
      </c>
      <c r="R862" t="n">
        <v>2021.12</v>
      </c>
      <c r="S862" t="b">
        <v>0</v>
      </c>
      <c r="T862" t="n">
        <v>4737213</v>
      </c>
      <c r="U862" t="n">
        <v>8</v>
      </c>
      <c r="V862" t="n">
        <v>0.0827</v>
      </c>
      <c r="W862" t="n">
        <v>1.99</v>
      </c>
      <c r="X862" t="n">
        <v>61.5</v>
      </c>
      <c r="Y862">
        <f>VLOOKUP(D862,$AB$2:$AC$7,2,FALSE)</f>
        <v/>
      </c>
      <c r="Z862">
        <f>IF(A862&lt;Y862,"Yes","No")</f>
        <v/>
      </c>
    </row>
    <row r="863">
      <c r="A863" t="n">
        <v>2013</v>
      </c>
      <c r="B863" t="inlineStr">
        <is>
          <t>Q4</t>
        </is>
      </c>
      <c r="C863" t="inlineStr">
        <is>
          <t>North America</t>
        </is>
      </c>
      <c r="D863" t="inlineStr">
        <is>
          <t>Model Y</t>
        </is>
      </c>
      <c r="E863" t="n">
        <v>2436</v>
      </c>
      <c r="F863" t="n">
        <v>93954.81</v>
      </c>
      <c r="G863" t="n">
        <v>51</v>
      </c>
      <c r="H863" t="inlineStr">
        <is>
          <t>Performance</t>
        </is>
      </c>
      <c r="I863" t="inlineStr">
        <is>
          <t>AWD</t>
        </is>
      </c>
      <c r="J863" t="inlineStr">
        <is>
          <t>Silver</t>
        </is>
      </c>
      <c r="K863" t="n">
        <v>427</v>
      </c>
      <c r="L863" t="n">
        <v>52</v>
      </c>
      <c r="M863" t="n">
        <v>14.24</v>
      </c>
      <c r="N863" t="n">
        <v>5951.75</v>
      </c>
      <c r="O863" t="n">
        <v>4.43</v>
      </c>
      <c r="P863" t="n">
        <v>6</v>
      </c>
      <c r="Q863" t="n">
        <v>1</v>
      </c>
      <c r="R863" t="n">
        <v>2024.6</v>
      </c>
      <c r="S863" t="b">
        <v>1</v>
      </c>
      <c r="T863" t="n">
        <v>4243903</v>
      </c>
      <c r="U863" t="n">
        <v>3</v>
      </c>
      <c r="V863" t="n">
        <v>0.0255</v>
      </c>
      <c r="W863" t="n">
        <v>0.78</v>
      </c>
      <c r="X863" t="n">
        <v>74.77</v>
      </c>
      <c r="Y863">
        <f>VLOOKUP(D863,$AB$2:$AC$7,2,FALSE)</f>
        <v/>
      </c>
      <c r="Z863">
        <f>IF(A863&lt;Y863,"Yes","No")</f>
        <v/>
      </c>
    </row>
    <row r="864">
      <c r="A864" t="n">
        <v>2018</v>
      </c>
      <c r="B864" t="inlineStr">
        <is>
          <t>Q3</t>
        </is>
      </c>
      <c r="C864" t="inlineStr">
        <is>
          <t>Europe</t>
        </is>
      </c>
      <c r="D864" t="inlineStr">
        <is>
          <t>Model 3</t>
        </is>
      </c>
      <c r="E864" t="n">
        <v>4617</v>
      </c>
      <c r="F864" t="n">
        <v>73624.3</v>
      </c>
      <c r="G864" t="n">
        <v>10</v>
      </c>
      <c r="H864" t="inlineStr">
        <is>
          <t>Standard</t>
        </is>
      </c>
      <c r="I864" t="inlineStr">
        <is>
          <t>RWD</t>
        </is>
      </c>
      <c r="J864" t="inlineStr">
        <is>
          <t>White</t>
        </is>
      </c>
      <c r="K864" t="n">
        <v>426</v>
      </c>
      <c r="L864" t="n">
        <v>39</v>
      </c>
      <c r="M864" t="n">
        <v>14.36</v>
      </c>
      <c r="N864" t="n">
        <v>3935.05</v>
      </c>
      <c r="O864" t="n">
        <v>4.52</v>
      </c>
      <c r="P864" t="n">
        <v>6</v>
      </c>
      <c r="Q864" t="n">
        <v>3</v>
      </c>
      <c r="R864" t="n">
        <v>2021.4</v>
      </c>
      <c r="S864" t="b">
        <v>1</v>
      </c>
      <c r="T864" t="n">
        <v>4626312</v>
      </c>
      <c r="U864" t="n">
        <v>5</v>
      </c>
      <c r="V864" t="n">
        <v>0.0282</v>
      </c>
      <c r="W864" t="n">
        <v>1.08</v>
      </c>
      <c r="X864" t="n">
        <v>69.06</v>
      </c>
      <c r="Y864">
        <f>VLOOKUP(D864,$AB$2:$AC$7,2,FALSE)</f>
        <v/>
      </c>
      <c r="Z864">
        <f>IF(A864&lt;Y864,"Yes","No")</f>
        <v/>
      </c>
    </row>
    <row r="865">
      <c r="A865" t="n">
        <v>2012</v>
      </c>
      <c r="B865" t="inlineStr">
        <is>
          <t>Q3</t>
        </is>
      </c>
      <c r="C865" t="inlineStr">
        <is>
          <t>South America</t>
        </is>
      </c>
      <c r="D865" t="inlineStr">
        <is>
          <t>Cybertruck</t>
        </is>
      </c>
      <c r="E865" t="n">
        <v>4138</v>
      </c>
      <c r="F865" t="n">
        <v>78228.84</v>
      </c>
      <c r="G865" t="n">
        <v>37</v>
      </c>
      <c r="H865" t="inlineStr">
        <is>
          <t>Long Range</t>
        </is>
      </c>
      <c r="I865" t="inlineStr">
        <is>
          <t>AWD</t>
        </is>
      </c>
      <c r="J865" t="inlineStr">
        <is>
          <t>White</t>
        </is>
      </c>
      <c r="K865" t="n">
        <v>587</v>
      </c>
      <c r="L865" t="n">
        <v>31</v>
      </c>
      <c r="M865" t="n">
        <v>22.65</v>
      </c>
      <c r="N865" t="n">
        <v>2154.44</v>
      </c>
      <c r="O865" t="n">
        <v>4.06</v>
      </c>
      <c r="P865" t="n">
        <v>8</v>
      </c>
      <c r="Q865" t="n">
        <v>2</v>
      </c>
      <c r="R865" t="n">
        <v>2020.1</v>
      </c>
      <c r="S865" t="b">
        <v>0</v>
      </c>
      <c r="T865" t="n">
        <v>1689360</v>
      </c>
      <c r="U865" t="n">
        <v>12</v>
      </c>
      <c r="V865" t="n">
        <v>0.0503</v>
      </c>
      <c r="W865" t="n">
        <v>1.01</v>
      </c>
      <c r="X865" t="n">
        <v>81.06</v>
      </c>
      <c r="Y865">
        <f>VLOOKUP(D865,$AB$2:$AC$7,2,FALSE)</f>
        <v/>
      </c>
      <c r="Z865">
        <f>IF(A865&lt;Y865,"Yes","No")</f>
        <v/>
      </c>
    </row>
    <row r="866">
      <c r="A866" t="n">
        <v>2014</v>
      </c>
      <c r="B866" t="inlineStr">
        <is>
          <t>Q4</t>
        </is>
      </c>
      <c r="C866" t="inlineStr">
        <is>
          <t>Australia</t>
        </is>
      </c>
      <c r="D866" t="inlineStr">
        <is>
          <t>Semi</t>
        </is>
      </c>
      <c r="E866" t="n">
        <v>1763</v>
      </c>
      <c r="F866" t="n">
        <v>48596.46</v>
      </c>
      <c r="G866" t="n">
        <v>56</v>
      </c>
      <c r="H866" t="inlineStr">
        <is>
          <t>Performance</t>
        </is>
      </c>
      <c r="I866" t="inlineStr">
        <is>
          <t>RWD</t>
        </is>
      </c>
      <c r="J866" t="inlineStr">
        <is>
          <t>Blue</t>
        </is>
      </c>
      <c r="K866" t="n">
        <v>469</v>
      </c>
      <c r="L866" t="n">
        <v>47</v>
      </c>
      <c r="M866" t="n">
        <v>15.22</v>
      </c>
      <c r="N866" t="n">
        <v>4129.94</v>
      </c>
      <c r="O866" t="n">
        <v>4.21</v>
      </c>
      <c r="P866" t="n">
        <v>5</v>
      </c>
      <c r="Q866" t="n">
        <v>1</v>
      </c>
      <c r="R866" t="n">
        <v>2022.1</v>
      </c>
      <c r="S866" t="b">
        <v>1</v>
      </c>
      <c r="T866" t="n">
        <v>247109</v>
      </c>
      <c r="U866" t="n">
        <v>8</v>
      </c>
      <c r="V866" t="n">
        <v>0.0172</v>
      </c>
      <c r="W866" t="n">
        <v>1.3</v>
      </c>
      <c r="X866" t="n">
        <v>76.28</v>
      </c>
      <c r="Y866">
        <f>VLOOKUP(D866,$AB$2:$AC$7,2,FALSE)</f>
        <v/>
      </c>
      <c r="Z866">
        <f>IF(A866&lt;Y866,"Yes","No")</f>
        <v/>
      </c>
    </row>
    <row r="867">
      <c r="A867" t="n">
        <v>2014</v>
      </c>
      <c r="B867" t="inlineStr">
        <is>
          <t>Q2</t>
        </is>
      </c>
      <c r="C867" t="inlineStr">
        <is>
          <t>North America</t>
        </is>
      </c>
      <c r="D867" t="inlineStr">
        <is>
          <t>Semi</t>
        </is>
      </c>
      <c r="E867" t="n">
        <v>3071</v>
      </c>
      <c r="F867" t="n">
        <v>83679.89</v>
      </c>
      <c r="G867" t="n">
        <v>59</v>
      </c>
      <c r="H867" t="inlineStr">
        <is>
          <t>Standard</t>
        </is>
      </c>
      <c r="I867" t="inlineStr">
        <is>
          <t>AWD</t>
        </is>
      </c>
      <c r="J867" t="inlineStr">
        <is>
          <t>Silver</t>
        </is>
      </c>
      <c r="K867" t="n">
        <v>496</v>
      </c>
      <c r="L867" t="n">
        <v>37</v>
      </c>
      <c r="M867" t="n">
        <v>13.86</v>
      </c>
      <c r="N867" t="n">
        <v>7211.08</v>
      </c>
      <c r="O867" t="n">
        <v>4.93</v>
      </c>
      <c r="P867" t="n">
        <v>8</v>
      </c>
      <c r="Q867" t="n">
        <v>1</v>
      </c>
      <c r="R867" t="n">
        <v>2020.3</v>
      </c>
      <c r="S867" t="b">
        <v>0</v>
      </c>
      <c r="T867" t="n">
        <v>2749161</v>
      </c>
      <c r="U867" t="n">
        <v>12</v>
      </c>
      <c r="V867" t="n">
        <v>0.0731</v>
      </c>
      <c r="W867" t="n">
        <v>1.3</v>
      </c>
      <c r="X867" t="n">
        <v>73.08</v>
      </c>
      <c r="Y867">
        <f>VLOOKUP(D867,$AB$2:$AC$7,2,FALSE)</f>
        <v/>
      </c>
      <c r="Z867">
        <f>IF(A867&lt;Y867,"Yes","No")</f>
        <v/>
      </c>
    </row>
    <row r="868">
      <c r="A868" t="n">
        <v>2019</v>
      </c>
      <c r="B868" t="inlineStr">
        <is>
          <t>Q2</t>
        </is>
      </c>
      <c r="C868" t="inlineStr">
        <is>
          <t>Australia</t>
        </is>
      </c>
      <c r="D868" t="inlineStr">
        <is>
          <t>Model 3</t>
        </is>
      </c>
      <c r="E868" t="n">
        <v>2480</v>
      </c>
      <c r="F868" t="n">
        <v>91446.83</v>
      </c>
      <c r="G868" t="n">
        <v>11</v>
      </c>
      <c r="H868" t="inlineStr">
        <is>
          <t>Standard</t>
        </is>
      </c>
      <c r="I868" t="inlineStr">
        <is>
          <t>RWD</t>
        </is>
      </c>
      <c r="J868" t="inlineStr">
        <is>
          <t>Blue</t>
        </is>
      </c>
      <c r="K868" t="n">
        <v>388</v>
      </c>
      <c r="L868" t="n">
        <v>51</v>
      </c>
      <c r="M868" t="n">
        <v>20.96</v>
      </c>
      <c r="N868" t="n">
        <v>4332.57</v>
      </c>
      <c r="O868" t="n">
        <v>3.54</v>
      </c>
      <c r="P868" t="n">
        <v>6</v>
      </c>
      <c r="Q868" t="n">
        <v>0</v>
      </c>
      <c r="R868" t="n">
        <v>2021.4</v>
      </c>
      <c r="S868" t="b">
        <v>1</v>
      </c>
      <c r="T868" t="n">
        <v>1970955</v>
      </c>
      <c r="U868" t="n">
        <v>12</v>
      </c>
      <c r="V868" t="n">
        <v>0.0584</v>
      </c>
      <c r="W868" t="n">
        <v>2.2</v>
      </c>
      <c r="X868" t="n">
        <v>61.31</v>
      </c>
      <c r="Y868">
        <f>VLOOKUP(D868,$AB$2:$AC$7,2,FALSE)</f>
        <v/>
      </c>
      <c r="Z868">
        <f>IF(A868&lt;Y868,"Yes","No")</f>
        <v/>
      </c>
    </row>
    <row r="869">
      <c r="A869" t="n">
        <v>2021</v>
      </c>
      <c r="B869" t="inlineStr">
        <is>
          <t>Q2</t>
        </is>
      </c>
      <c r="C869" t="inlineStr">
        <is>
          <t>Europe</t>
        </is>
      </c>
      <c r="D869" t="inlineStr">
        <is>
          <t>Model S</t>
        </is>
      </c>
      <c r="E869" t="n">
        <v>735</v>
      </c>
      <c r="F869" t="n">
        <v>50026.32</v>
      </c>
      <c r="G869" t="n">
        <v>9</v>
      </c>
      <c r="H869" t="inlineStr">
        <is>
          <t>Standard</t>
        </is>
      </c>
      <c r="I869" t="inlineStr">
        <is>
          <t>AWD</t>
        </is>
      </c>
      <c r="J869" t="inlineStr">
        <is>
          <t>Red</t>
        </is>
      </c>
      <c r="K869" t="n">
        <v>540</v>
      </c>
      <c r="L869" t="n">
        <v>77</v>
      </c>
      <c r="M869" t="n">
        <v>16.55</v>
      </c>
      <c r="N869" t="n">
        <v>1341.74</v>
      </c>
      <c r="O869" t="n">
        <v>4.83</v>
      </c>
      <c r="P869" t="n">
        <v>6</v>
      </c>
      <c r="Q869" t="n">
        <v>1</v>
      </c>
      <c r="R869" t="n">
        <v>2023.9</v>
      </c>
      <c r="S869" t="b">
        <v>0</v>
      </c>
      <c r="T869" t="n">
        <v>4594494</v>
      </c>
      <c r="U869" t="n">
        <v>9</v>
      </c>
      <c r="V869" t="n">
        <v>0.0992</v>
      </c>
      <c r="W869" t="n">
        <v>1.1</v>
      </c>
      <c r="X869" t="n">
        <v>60.25</v>
      </c>
      <c r="Y869">
        <f>VLOOKUP(D869,$AB$2:$AC$7,2,FALSE)</f>
        <v/>
      </c>
      <c r="Z869">
        <f>IF(A869&lt;Y869,"Yes","No")</f>
        <v/>
      </c>
    </row>
    <row r="870">
      <c r="A870" t="n">
        <v>2024</v>
      </c>
      <c r="B870" t="inlineStr">
        <is>
          <t>Q1</t>
        </is>
      </c>
      <c r="C870" t="inlineStr">
        <is>
          <t>South America</t>
        </is>
      </c>
      <c r="D870" t="inlineStr">
        <is>
          <t>Model X</t>
        </is>
      </c>
      <c r="E870" t="n">
        <v>2197</v>
      </c>
      <c r="F870" t="n">
        <v>82283.12</v>
      </c>
      <c r="G870" t="n">
        <v>3</v>
      </c>
      <c r="H870" t="inlineStr">
        <is>
          <t>Long Range</t>
        </is>
      </c>
      <c r="I870" t="inlineStr">
        <is>
          <t>RWD</t>
        </is>
      </c>
      <c r="J870" t="inlineStr">
        <is>
          <t>White</t>
        </is>
      </c>
      <c r="K870" t="n">
        <v>418</v>
      </c>
      <c r="L870" t="n">
        <v>83</v>
      </c>
      <c r="M870" t="n">
        <v>23.04</v>
      </c>
      <c r="N870" t="n">
        <v>1102.72</v>
      </c>
      <c r="O870" t="n">
        <v>4.69</v>
      </c>
      <c r="P870" t="n">
        <v>5</v>
      </c>
      <c r="Q870" t="n">
        <v>3</v>
      </c>
      <c r="R870" t="n">
        <v>2023.11</v>
      </c>
      <c r="S870" t="b">
        <v>0</v>
      </c>
      <c r="T870" t="n">
        <v>2151450</v>
      </c>
      <c r="U870" t="n">
        <v>7</v>
      </c>
      <c r="V870" t="n">
        <v>0.0569</v>
      </c>
      <c r="W870" t="n">
        <v>2.05</v>
      </c>
      <c r="X870" t="n">
        <v>88.79000000000001</v>
      </c>
      <c r="Y870">
        <f>VLOOKUP(D870,$AB$2:$AC$7,2,FALSE)</f>
        <v/>
      </c>
      <c r="Z870">
        <f>IF(A870&lt;Y870,"Yes","No")</f>
        <v/>
      </c>
    </row>
    <row r="871">
      <c r="A871" t="n">
        <v>2022</v>
      </c>
      <c r="B871" t="inlineStr">
        <is>
          <t>Q4</t>
        </is>
      </c>
      <c r="C871" t="inlineStr">
        <is>
          <t>Asia</t>
        </is>
      </c>
      <c r="D871" t="inlineStr">
        <is>
          <t>Model Y</t>
        </is>
      </c>
      <c r="E871" t="n">
        <v>2596</v>
      </c>
      <c r="F871" t="n">
        <v>100881.02</v>
      </c>
      <c r="G871" t="n">
        <v>7</v>
      </c>
      <c r="H871" t="inlineStr">
        <is>
          <t>Performance</t>
        </is>
      </c>
      <c r="I871" t="inlineStr">
        <is>
          <t>RWD</t>
        </is>
      </c>
      <c r="J871" t="inlineStr">
        <is>
          <t>Green</t>
        </is>
      </c>
      <c r="K871" t="n">
        <v>416</v>
      </c>
      <c r="L871" t="n">
        <v>43</v>
      </c>
      <c r="M871" t="n">
        <v>16.55</v>
      </c>
      <c r="N871" t="n">
        <v>2234.08</v>
      </c>
      <c r="O871" t="n">
        <v>4.42</v>
      </c>
      <c r="P871" t="n">
        <v>8</v>
      </c>
      <c r="Q871" t="n">
        <v>1</v>
      </c>
      <c r="R871" t="n">
        <v>2021.2</v>
      </c>
      <c r="S871" t="b">
        <v>1</v>
      </c>
      <c r="T871" t="n">
        <v>1635297</v>
      </c>
      <c r="U871" t="n">
        <v>2</v>
      </c>
      <c r="V871" t="n">
        <v>0.0375</v>
      </c>
      <c r="W871" t="n">
        <v>0.63</v>
      </c>
      <c r="X871" t="n">
        <v>68.53</v>
      </c>
      <c r="Y871">
        <f>VLOOKUP(D871,$AB$2:$AC$7,2,FALSE)</f>
        <v/>
      </c>
      <c r="Z871">
        <f>IF(A871&lt;Y871,"Yes","No")</f>
        <v/>
      </c>
    </row>
    <row r="872">
      <c r="A872" t="n">
        <v>2021</v>
      </c>
      <c r="B872" t="inlineStr">
        <is>
          <t>Q3</t>
        </is>
      </c>
      <c r="C872" t="inlineStr">
        <is>
          <t>South America</t>
        </is>
      </c>
      <c r="D872" t="inlineStr">
        <is>
          <t>Model 3</t>
        </is>
      </c>
      <c r="E872" t="n">
        <v>973</v>
      </c>
      <c r="F872" t="n">
        <v>58919.38</v>
      </c>
      <c r="G872" t="n">
        <v>31</v>
      </c>
      <c r="H872" t="inlineStr">
        <is>
          <t>Performance</t>
        </is>
      </c>
      <c r="I872" t="inlineStr">
        <is>
          <t>AWD</t>
        </is>
      </c>
      <c r="J872" t="inlineStr">
        <is>
          <t>Red</t>
        </is>
      </c>
      <c r="K872" t="n">
        <v>591</v>
      </c>
      <c r="L872" t="n">
        <v>85</v>
      </c>
      <c r="M872" t="n">
        <v>20.38</v>
      </c>
      <c r="N872" t="n">
        <v>785.0599999999999</v>
      </c>
      <c r="O872" t="n">
        <v>4.64</v>
      </c>
      <c r="P872" t="n">
        <v>6</v>
      </c>
      <c r="Q872" t="n">
        <v>0</v>
      </c>
      <c r="R872" t="n">
        <v>2021.9</v>
      </c>
      <c r="S872" t="b">
        <v>1</v>
      </c>
      <c r="T872" t="n">
        <v>1030243</v>
      </c>
      <c r="U872" t="n">
        <v>10</v>
      </c>
      <c r="V872" t="n">
        <v>0.0118</v>
      </c>
      <c r="W872" t="n">
        <v>0.9399999999999999</v>
      </c>
      <c r="X872" t="n">
        <v>72.95999999999999</v>
      </c>
      <c r="Y872">
        <f>VLOOKUP(D872,$AB$2:$AC$7,2,FALSE)</f>
        <v/>
      </c>
      <c r="Z872">
        <f>IF(A872&lt;Y872,"Yes","No")</f>
        <v/>
      </c>
    </row>
    <row r="873">
      <c r="A873" t="n">
        <v>2018</v>
      </c>
      <c r="B873" t="inlineStr">
        <is>
          <t>Q1</t>
        </is>
      </c>
      <c r="C873" t="inlineStr">
        <is>
          <t>Europe</t>
        </is>
      </c>
      <c r="D873" t="inlineStr">
        <is>
          <t>Semi</t>
        </is>
      </c>
      <c r="E873" t="n">
        <v>67</v>
      </c>
      <c r="F873" t="n">
        <v>40302.98</v>
      </c>
      <c r="G873" t="n">
        <v>22</v>
      </c>
      <c r="H873" t="inlineStr">
        <is>
          <t>Standard</t>
        </is>
      </c>
      <c r="I873" t="inlineStr">
        <is>
          <t>AWD</t>
        </is>
      </c>
      <c r="J873" t="inlineStr">
        <is>
          <t>Silver</t>
        </is>
      </c>
      <c r="K873" t="n">
        <v>522</v>
      </c>
      <c r="L873" t="n">
        <v>42</v>
      </c>
      <c r="M873" t="n">
        <v>19.53</v>
      </c>
      <c r="N873" t="n">
        <v>58.77</v>
      </c>
      <c r="O873" t="n">
        <v>3.64</v>
      </c>
      <c r="P873" t="n">
        <v>6</v>
      </c>
      <c r="Q873" t="n">
        <v>0</v>
      </c>
      <c r="R873" t="n">
        <v>2022.3</v>
      </c>
      <c r="S873" t="b">
        <v>0</v>
      </c>
      <c r="T873" t="n">
        <v>2149100</v>
      </c>
      <c r="U873" t="n">
        <v>10</v>
      </c>
      <c r="V873" t="n">
        <v>0.09089999999999999</v>
      </c>
      <c r="W873" t="n">
        <v>1.6</v>
      </c>
      <c r="X873" t="n">
        <v>60.06</v>
      </c>
      <c r="Y873">
        <f>VLOOKUP(D873,$AB$2:$AC$7,2,FALSE)</f>
        <v/>
      </c>
      <c r="Z873">
        <f>IF(A873&lt;Y873,"Yes","No")</f>
        <v/>
      </c>
    </row>
    <row r="874">
      <c r="A874" t="n">
        <v>2017</v>
      </c>
      <c r="B874" t="inlineStr">
        <is>
          <t>Q2</t>
        </is>
      </c>
      <c r="C874" t="inlineStr">
        <is>
          <t>Australia</t>
        </is>
      </c>
      <c r="D874" t="inlineStr">
        <is>
          <t>Cybertruck</t>
        </is>
      </c>
      <c r="E874" t="n">
        <v>1450</v>
      </c>
      <c r="F874" t="n">
        <v>91098.7</v>
      </c>
      <c r="G874" t="n">
        <v>36</v>
      </c>
      <c r="H874" t="inlineStr">
        <is>
          <t>Performance</t>
        </is>
      </c>
      <c r="I874" t="inlineStr">
        <is>
          <t>AWD</t>
        </is>
      </c>
      <c r="J874" t="inlineStr">
        <is>
          <t>Red</t>
        </is>
      </c>
      <c r="K874" t="n">
        <v>580</v>
      </c>
      <c r="L874" t="n">
        <v>55</v>
      </c>
      <c r="M874" t="n">
        <v>19.41</v>
      </c>
      <c r="N874" t="n">
        <v>1978.37</v>
      </c>
      <c r="O874" t="n">
        <v>4.73</v>
      </c>
      <c r="P874" t="n">
        <v>8</v>
      </c>
      <c r="Q874" t="n">
        <v>1</v>
      </c>
      <c r="R874" t="n">
        <v>2021.3</v>
      </c>
      <c r="S874" t="b">
        <v>1</v>
      </c>
      <c r="T874" t="n">
        <v>4307739</v>
      </c>
      <c r="U874" t="n">
        <v>11</v>
      </c>
      <c r="V874" t="n">
        <v>0.09039999999999999</v>
      </c>
      <c r="W874" t="n">
        <v>1.85</v>
      </c>
      <c r="X874" t="n">
        <v>86.48</v>
      </c>
      <c r="Y874">
        <f>VLOOKUP(D874,$AB$2:$AC$7,2,FALSE)</f>
        <v/>
      </c>
      <c r="Z874">
        <f>IF(A874&lt;Y874,"Yes","No")</f>
        <v/>
      </c>
    </row>
    <row r="875">
      <c r="A875" t="n">
        <v>2015</v>
      </c>
      <c r="B875" t="inlineStr">
        <is>
          <t>Q2</t>
        </is>
      </c>
      <c r="C875" t="inlineStr">
        <is>
          <t>Australia</t>
        </is>
      </c>
      <c r="D875" t="inlineStr">
        <is>
          <t>Model Y</t>
        </is>
      </c>
      <c r="E875" t="n">
        <v>732</v>
      </c>
      <c r="F875" t="n">
        <v>77980.95</v>
      </c>
      <c r="G875" t="n">
        <v>40</v>
      </c>
      <c r="H875" t="inlineStr">
        <is>
          <t>Standard</t>
        </is>
      </c>
      <c r="I875" t="inlineStr">
        <is>
          <t>RWD</t>
        </is>
      </c>
      <c r="J875" t="inlineStr">
        <is>
          <t>Black</t>
        </is>
      </c>
      <c r="K875" t="n">
        <v>553</v>
      </c>
      <c r="L875" t="n">
        <v>59</v>
      </c>
      <c r="M875" t="n">
        <v>14.26</v>
      </c>
      <c r="N875" t="n">
        <v>1001.45</v>
      </c>
      <c r="O875" t="n">
        <v>3.96</v>
      </c>
      <c r="P875" t="n">
        <v>4</v>
      </c>
      <c r="Q875" t="n">
        <v>0</v>
      </c>
      <c r="R875" t="n">
        <v>2020.4</v>
      </c>
      <c r="S875" t="b">
        <v>1</v>
      </c>
      <c r="T875" t="n">
        <v>4343305</v>
      </c>
      <c r="U875" t="n">
        <v>4</v>
      </c>
      <c r="V875" t="n">
        <v>0.0281</v>
      </c>
      <c r="W875" t="n">
        <v>0.95</v>
      </c>
      <c r="X875" t="n">
        <v>78.26000000000001</v>
      </c>
      <c r="Y875">
        <f>VLOOKUP(D875,$AB$2:$AC$7,2,FALSE)</f>
        <v/>
      </c>
      <c r="Z875">
        <f>IF(A875&lt;Y875,"Yes","No")</f>
        <v/>
      </c>
    </row>
    <row r="876">
      <c r="A876" t="n">
        <v>2013</v>
      </c>
      <c r="B876" t="inlineStr">
        <is>
          <t>Q2</t>
        </is>
      </c>
      <c r="C876" t="inlineStr">
        <is>
          <t>Asia</t>
        </is>
      </c>
      <c r="D876" t="inlineStr">
        <is>
          <t>Model 3</t>
        </is>
      </c>
      <c r="E876" t="n">
        <v>3827</v>
      </c>
      <c r="F876" t="n">
        <v>97659.72</v>
      </c>
      <c r="G876" t="n">
        <v>46</v>
      </c>
      <c r="H876" t="inlineStr">
        <is>
          <t>Standard</t>
        </is>
      </c>
      <c r="I876" t="inlineStr">
        <is>
          <t>RWD</t>
        </is>
      </c>
      <c r="J876" t="inlineStr">
        <is>
          <t>White</t>
        </is>
      </c>
      <c r="K876" t="n">
        <v>360</v>
      </c>
      <c r="L876" t="n">
        <v>55</v>
      </c>
      <c r="M876" t="n">
        <v>24.43</v>
      </c>
      <c r="N876" t="n">
        <v>5604.86</v>
      </c>
      <c r="O876" t="n">
        <v>4.08</v>
      </c>
      <c r="P876" t="n">
        <v>4</v>
      </c>
      <c r="Q876" t="n">
        <v>3</v>
      </c>
      <c r="R876" t="n">
        <v>2022.1</v>
      </c>
      <c r="S876" t="b">
        <v>1</v>
      </c>
      <c r="T876" t="n">
        <v>152629</v>
      </c>
      <c r="U876" t="n">
        <v>12</v>
      </c>
      <c r="V876" t="n">
        <v>0.09089999999999999</v>
      </c>
      <c r="W876" t="n">
        <v>1.58</v>
      </c>
      <c r="X876" t="n">
        <v>63.01</v>
      </c>
      <c r="Y876">
        <f>VLOOKUP(D876,$AB$2:$AC$7,2,FALSE)</f>
        <v/>
      </c>
      <c r="Z876">
        <f>IF(A876&lt;Y876,"Yes","No")</f>
        <v/>
      </c>
    </row>
    <row r="877">
      <c r="A877" t="n">
        <v>2022</v>
      </c>
      <c r="B877" t="inlineStr">
        <is>
          <t>Q3</t>
        </is>
      </c>
      <c r="C877" t="inlineStr">
        <is>
          <t>Europe</t>
        </is>
      </c>
      <c r="D877" t="inlineStr">
        <is>
          <t>Model S</t>
        </is>
      </c>
      <c r="E877" t="n">
        <v>1093</v>
      </c>
      <c r="F877" t="n">
        <v>74702.56</v>
      </c>
      <c r="G877" t="n">
        <v>28</v>
      </c>
      <c r="H877" t="inlineStr">
        <is>
          <t>Long Range</t>
        </is>
      </c>
      <c r="I877" t="inlineStr">
        <is>
          <t>AWD</t>
        </is>
      </c>
      <c r="J877" t="inlineStr">
        <is>
          <t>Blue</t>
        </is>
      </c>
      <c r="K877" t="n">
        <v>607</v>
      </c>
      <c r="L877" t="n">
        <v>74</v>
      </c>
      <c r="M877" t="n">
        <v>14.33</v>
      </c>
      <c r="N877" t="n">
        <v>2666.78</v>
      </c>
      <c r="O877" t="n">
        <v>4.13</v>
      </c>
      <c r="P877" t="n">
        <v>5</v>
      </c>
      <c r="Q877" t="n">
        <v>2</v>
      </c>
      <c r="R877" t="n">
        <v>2022.11</v>
      </c>
      <c r="S877" t="b">
        <v>0</v>
      </c>
      <c r="T877" t="n">
        <v>1594808</v>
      </c>
      <c r="U877" t="n">
        <v>12</v>
      </c>
      <c r="V877" t="n">
        <v>0.0115</v>
      </c>
      <c r="W877" t="n">
        <v>1.93</v>
      </c>
      <c r="X877" t="n">
        <v>81.95999999999999</v>
      </c>
      <c r="Y877">
        <f>VLOOKUP(D877,$AB$2:$AC$7,2,FALSE)</f>
        <v/>
      </c>
      <c r="Z877">
        <f>IF(A877&lt;Y877,"Yes","No")</f>
        <v/>
      </c>
    </row>
    <row r="878">
      <c r="A878" t="n">
        <v>2023</v>
      </c>
      <c r="B878" t="inlineStr">
        <is>
          <t>Q4</t>
        </is>
      </c>
      <c r="C878" t="inlineStr">
        <is>
          <t>Australia</t>
        </is>
      </c>
      <c r="D878" t="inlineStr">
        <is>
          <t>Model X</t>
        </is>
      </c>
      <c r="E878" t="n">
        <v>3320</v>
      </c>
      <c r="F878" t="n">
        <v>80378.66</v>
      </c>
      <c r="G878" t="n">
        <v>48</v>
      </c>
      <c r="H878" t="inlineStr">
        <is>
          <t>Standard</t>
        </is>
      </c>
      <c r="I878" t="inlineStr">
        <is>
          <t>RWD</t>
        </is>
      </c>
      <c r="J878" t="inlineStr">
        <is>
          <t>Silver</t>
        </is>
      </c>
      <c r="K878" t="n">
        <v>398</v>
      </c>
      <c r="L878" t="n">
        <v>38</v>
      </c>
      <c r="M878" t="n">
        <v>16.88</v>
      </c>
      <c r="N878" t="n">
        <v>3015.49</v>
      </c>
      <c r="O878" t="n">
        <v>4.43</v>
      </c>
      <c r="P878" t="n">
        <v>5</v>
      </c>
      <c r="Q878" t="n">
        <v>2</v>
      </c>
      <c r="R878" t="n">
        <v>2022.4</v>
      </c>
      <c r="S878" t="b">
        <v>0</v>
      </c>
      <c r="T878" t="n">
        <v>3750347</v>
      </c>
      <c r="U878" t="n">
        <v>12</v>
      </c>
      <c r="V878" t="n">
        <v>0.0673</v>
      </c>
      <c r="W878" t="n">
        <v>2.03</v>
      </c>
      <c r="X878" t="n">
        <v>82.15000000000001</v>
      </c>
      <c r="Y878">
        <f>VLOOKUP(D878,$AB$2:$AC$7,2,FALSE)</f>
        <v/>
      </c>
      <c r="Z878">
        <f>IF(A878&lt;Y878,"Yes","No")</f>
        <v/>
      </c>
    </row>
    <row r="879">
      <c r="A879" t="n">
        <v>2014</v>
      </c>
      <c r="B879" t="inlineStr">
        <is>
          <t>Q1</t>
        </is>
      </c>
      <c r="C879" t="inlineStr">
        <is>
          <t>Australia</t>
        </is>
      </c>
      <c r="D879" t="inlineStr">
        <is>
          <t>Model X</t>
        </is>
      </c>
      <c r="E879" t="n">
        <v>3942</v>
      </c>
      <c r="F879" t="n">
        <v>47131.15</v>
      </c>
      <c r="G879" t="n">
        <v>39</v>
      </c>
      <c r="H879" t="inlineStr">
        <is>
          <t>Long Range</t>
        </is>
      </c>
      <c r="I879" t="inlineStr">
        <is>
          <t>RWD</t>
        </is>
      </c>
      <c r="J879" t="inlineStr">
        <is>
          <t>Silver</t>
        </is>
      </c>
      <c r="K879" t="n">
        <v>505</v>
      </c>
      <c r="L879" t="n">
        <v>34</v>
      </c>
      <c r="M879" t="n">
        <v>22.17</v>
      </c>
      <c r="N879" t="n">
        <v>6497.16</v>
      </c>
      <c r="O879" t="n">
        <v>4.09</v>
      </c>
      <c r="P879" t="n">
        <v>4</v>
      </c>
      <c r="Q879" t="n">
        <v>0</v>
      </c>
      <c r="R879" t="n">
        <v>2024.1</v>
      </c>
      <c r="S879" t="b">
        <v>0</v>
      </c>
      <c r="T879" t="n">
        <v>2675248</v>
      </c>
      <c r="U879" t="n">
        <v>12</v>
      </c>
      <c r="V879" t="n">
        <v>0.0712</v>
      </c>
      <c r="W879" t="n">
        <v>1.01</v>
      </c>
      <c r="X879" t="n">
        <v>70.56</v>
      </c>
      <c r="Y879">
        <f>VLOOKUP(D879,$AB$2:$AC$7,2,FALSE)</f>
        <v/>
      </c>
      <c r="Z879">
        <f>IF(A879&lt;Y879,"Yes","No")</f>
        <v/>
      </c>
    </row>
    <row r="880">
      <c r="A880" t="n">
        <v>2021</v>
      </c>
      <c r="B880" t="inlineStr">
        <is>
          <t>Q3</t>
        </is>
      </c>
      <c r="C880" t="inlineStr">
        <is>
          <t>Australia</t>
        </is>
      </c>
      <c r="D880" t="inlineStr">
        <is>
          <t>Model X</t>
        </is>
      </c>
      <c r="E880" t="n">
        <v>666</v>
      </c>
      <c r="F880" t="n">
        <v>116056.71</v>
      </c>
      <c r="G880" t="n">
        <v>12</v>
      </c>
      <c r="H880" t="inlineStr">
        <is>
          <t>Performance</t>
        </is>
      </c>
      <c r="I880" t="inlineStr">
        <is>
          <t>RWD</t>
        </is>
      </c>
      <c r="J880" t="inlineStr">
        <is>
          <t>Red</t>
        </is>
      </c>
      <c r="K880" t="n">
        <v>560</v>
      </c>
      <c r="L880" t="n">
        <v>59</v>
      </c>
      <c r="M880" t="n">
        <v>15.91</v>
      </c>
      <c r="N880" t="n">
        <v>1450.41</v>
      </c>
      <c r="O880" t="n">
        <v>4.28</v>
      </c>
      <c r="P880" t="n">
        <v>6</v>
      </c>
      <c r="Q880" t="n">
        <v>1</v>
      </c>
      <c r="R880" t="n">
        <v>2023.12</v>
      </c>
      <c r="S880" t="b">
        <v>1</v>
      </c>
      <c r="T880" t="n">
        <v>3294555</v>
      </c>
      <c r="U880" t="n">
        <v>6</v>
      </c>
      <c r="V880" t="n">
        <v>0.0799</v>
      </c>
      <c r="W880" t="n">
        <v>1.57</v>
      </c>
      <c r="X880" t="n">
        <v>67.95999999999999</v>
      </c>
      <c r="Y880">
        <f>VLOOKUP(D880,$AB$2:$AC$7,2,FALSE)</f>
        <v/>
      </c>
      <c r="Z880">
        <f>IF(A880&lt;Y880,"Yes","No")</f>
        <v/>
      </c>
    </row>
    <row r="881">
      <c r="A881" t="n">
        <v>2017</v>
      </c>
      <c r="B881" t="inlineStr">
        <is>
          <t>Q1</t>
        </is>
      </c>
      <c r="C881" t="inlineStr">
        <is>
          <t>South America</t>
        </is>
      </c>
      <c r="D881" t="inlineStr">
        <is>
          <t>Model 3</t>
        </is>
      </c>
      <c r="E881" t="n">
        <v>4266</v>
      </c>
      <c r="F881" t="n">
        <v>103527.3</v>
      </c>
      <c r="G881" t="n">
        <v>56</v>
      </c>
      <c r="H881" t="inlineStr">
        <is>
          <t>Standard</t>
        </is>
      </c>
      <c r="I881" t="inlineStr">
        <is>
          <t>RWD</t>
        </is>
      </c>
      <c r="J881" t="inlineStr">
        <is>
          <t>Black</t>
        </is>
      </c>
      <c r="K881" t="n">
        <v>410</v>
      </c>
      <c r="L881" t="n">
        <v>83</v>
      </c>
      <c r="M881" t="n">
        <v>23.65</v>
      </c>
      <c r="N881" t="n">
        <v>2400.9</v>
      </c>
      <c r="O881" t="n">
        <v>4.1</v>
      </c>
      <c r="P881" t="n">
        <v>8</v>
      </c>
      <c r="Q881" t="n">
        <v>0</v>
      </c>
      <c r="R881" t="n">
        <v>2023.7</v>
      </c>
      <c r="S881" t="b">
        <v>0</v>
      </c>
      <c r="T881" t="n">
        <v>4737867</v>
      </c>
      <c r="U881" t="n">
        <v>11</v>
      </c>
      <c r="V881" t="n">
        <v>0.0912</v>
      </c>
      <c r="W881" t="n">
        <v>0.54</v>
      </c>
      <c r="X881" t="n">
        <v>76.33</v>
      </c>
      <c r="Y881">
        <f>VLOOKUP(D881,$AB$2:$AC$7,2,FALSE)</f>
        <v/>
      </c>
      <c r="Z881">
        <f>IF(A881&lt;Y881,"Yes","No")</f>
        <v/>
      </c>
    </row>
    <row r="882">
      <c r="A882" t="n">
        <v>2016</v>
      </c>
      <c r="B882" t="inlineStr">
        <is>
          <t>Q3</t>
        </is>
      </c>
      <c r="C882" t="inlineStr">
        <is>
          <t>Asia</t>
        </is>
      </c>
      <c r="D882" t="inlineStr">
        <is>
          <t>Cybertruck</t>
        </is>
      </c>
      <c r="E882" t="n">
        <v>905</v>
      </c>
      <c r="F882" t="n">
        <v>100464.66</v>
      </c>
      <c r="G882" t="n">
        <v>0</v>
      </c>
      <c r="H882" t="inlineStr">
        <is>
          <t>Performance</t>
        </is>
      </c>
      <c r="I882" t="inlineStr">
        <is>
          <t>AWD</t>
        </is>
      </c>
      <c r="J882" t="inlineStr">
        <is>
          <t>Green</t>
        </is>
      </c>
      <c r="K882" t="n">
        <v>371</v>
      </c>
      <c r="L882" t="n">
        <v>51</v>
      </c>
      <c r="M882" t="n">
        <v>18.79</v>
      </c>
      <c r="N882" t="n">
        <v>1659.33</v>
      </c>
      <c r="O882" t="n">
        <v>4.31</v>
      </c>
      <c r="P882" t="n">
        <v>5</v>
      </c>
      <c r="Q882" t="n">
        <v>3</v>
      </c>
      <c r="R882" t="n">
        <v>2022.12</v>
      </c>
      <c r="S882" t="b">
        <v>1</v>
      </c>
      <c r="T882" t="n">
        <v>4741687</v>
      </c>
      <c r="U882" t="n">
        <v>7</v>
      </c>
      <c r="V882" t="n">
        <v>0.0474</v>
      </c>
      <c r="W882" t="n">
        <v>2.23</v>
      </c>
      <c r="X882" t="n">
        <v>60.44</v>
      </c>
      <c r="Y882">
        <f>VLOOKUP(D882,$AB$2:$AC$7,2,FALSE)</f>
        <v/>
      </c>
      <c r="Z882">
        <f>IF(A882&lt;Y882,"Yes","No")</f>
        <v/>
      </c>
    </row>
    <row r="883">
      <c r="A883" t="n">
        <v>2019</v>
      </c>
      <c r="B883" t="inlineStr">
        <is>
          <t>Q3</t>
        </is>
      </c>
      <c r="C883" t="inlineStr">
        <is>
          <t>North America</t>
        </is>
      </c>
      <c r="D883" t="inlineStr">
        <is>
          <t>Model S</t>
        </is>
      </c>
      <c r="E883" t="n">
        <v>55</v>
      </c>
      <c r="F883" t="n">
        <v>53092.6</v>
      </c>
      <c r="G883" t="n">
        <v>43</v>
      </c>
      <c r="H883" t="inlineStr">
        <is>
          <t>Long Range</t>
        </is>
      </c>
      <c r="I883" t="inlineStr">
        <is>
          <t>RWD</t>
        </is>
      </c>
      <c r="J883" t="inlineStr">
        <is>
          <t>Green</t>
        </is>
      </c>
      <c r="K883" t="n">
        <v>556</v>
      </c>
      <c r="L883" t="n">
        <v>36</v>
      </c>
      <c r="M883" t="n">
        <v>20.11</v>
      </c>
      <c r="N883" t="n">
        <v>123.14</v>
      </c>
      <c r="O883" t="n">
        <v>4.39</v>
      </c>
      <c r="P883" t="n">
        <v>5</v>
      </c>
      <c r="Q883" t="n">
        <v>0</v>
      </c>
      <c r="R883" t="n">
        <v>2022.7</v>
      </c>
      <c r="S883" t="b">
        <v>0</v>
      </c>
      <c r="T883" t="n">
        <v>914461</v>
      </c>
      <c r="U883" t="n">
        <v>10</v>
      </c>
      <c r="V883" t="n">
        <v>0.0335</v>
      </c>
      <c r="W883" t="n">
        <v>1.63</v>
      </c>
      <c r="X883" t="n">
        <v>84.76000000000001</v>
      </c>
      <c r="Y883">
        <f>VLOOKUP(D883,$AB$2:$AC$7,2,FALSE)</f>
        <v/>
      </c>
      <c r="Z883">
        <f>IF(A883&lt;Y883,"Yes","No")</f>
        <v/>
      </c>
    </row>
    <row r="884">
      <c r="A884" t="n">
        <v>2020</v>
      </c>
      <c r="B884" t="inlineStr">
        <is>
          <t>Q3</t>
        </is>
      </c>
      <c r="C884" t="inlineStr">
        <is>
          <t>Australia</t>
        </is>
      </c>
      <c r="D884" t="inlineStr">
        <is>
          <t>Model Y</t>
        </is>
      </c>
      <c r="E884" t="n">
        <v>4715</v>
      </c>
      <c r="F884" t="n">
        <v>39401.84</v>
      </c>
      <c r="G884" t="n">
        <v>48</v>
      </c>
      <c r="H884" t="inlineStr">
        <is>
          <t>Long Range</t>
        </is>
      </c>
      <c r="I884" t="inlineStr">
        <is>
          <t>AWD</t>
        </is>
      </c>
      <c r="J884" t="inlineStr">
        <is>
          <t>Green</t>
        </is>
      </c>
      <c r="K884" t="n">
        <v>410</v>
      </c>
      <c r="L884" t="n">
        <v>63</v>
      </c>
      <c r="M884" t="n">
        <v>18.67</v>
      </c>
      <c r="N884" t="n">
        <v>6265.72</v>
      </c>
      <c r="O884" t="n">
        <v>4.46</v>
      </c>
      <c r="P884" t="n">
        <v>4</v>
      </c>
      <c r="Q884" t="n">
        <v>0</v>
      </c>
      <c r="R884" t="n">
        <v>2020.11</v>
      </c>
      <c r="S884" t="b">
        <v>1</v>
      </c>
      <c r="T884" t="n">
        <v>3688032</v>
      </c>
      <c r="U884" t="n">
        <v>7</v>
      </c>
      <c r="V884" t="n">
        <v>0.09</v>
      </c>
      <c r="W884" t="n">
        <v>0.75</v>
      </c>
      <c r="X884" t="n">
        <v>66.93000000000001</v>
      </c>
      <c r="Y884">
        <f>VLOOKUP(D884,$AB$2:$AC$7,2,FALSE)</f>
        <v/>
      </c>
      <c r="Z884">
        <f>IF(A884&lt;Y884,"Yes","No")</f>
        <v/>
      </c>
    </row>
    <row r="885">
      <c r="A885" t="n">
        <v>2016</v>
      </c>
      <c r="B885" t="inlineStr">
        <is>
          <t>Q3</t>
        </is>
      </c>
      <c r="C885" t="inlineStr">
        <is>
          <t>Asia</t>
        </is>
      </c>
      <c r="D885" t="inlineStr">
        <is>
          <t>Model 3</t>
        </is>
      </c>
      <c r="E885" t="n">
        <v>4977</v>
      </c>
      <c r="F885" t="n">
        <v>85601.00999999999</v>
      </c>
      <c r="G885" t="n">
        <v>2</v>
      </c>
      <c r="H885" t="inlineStr">
        <is>
          <t>Long Range</t>
        </is>
      </c>
      <c r="I885" t="inlineStr">
        <is>
          <t>RWD</t>
        </is>
      </c>
      <c r="J885" t="inlineStr">
        <is>
          <t>White</t>
        </is>
      </c>
      <c r="K885" t="n">
        <v>690</v>
      </c>
      <c r="L885" t="n">
        <v>51</v>
      </c>
      <c r="M885" t="n">
        <v>24.46</v>
      </c>
      <c r="N885" t="n">
        <v>8049.06</v>
      </c>
      <c r="O885" t="n">
        <v>4.89</v>
      </c>
      <c r="P885" t="n">
        <v>6</v>
      </c>
      <c r="Q885" t="n">
        <v>1</v>
      </c>
      <c r="R885" t="n">
        <v>2022.1</v>
      </c>
      <c r="S885" t="b">
        <v>0</v>
      </c>
      <c r="T885" t="n">
        <v>1289197</v>
      </c>
      <c r="U885" t="n">
        <v>4</v>
      </c>
      <c r="V885" t="n">
        <v>0.0205</v>
      </c>
      <c r="W885" t="n">
        <v>2.32</v>
      </c>
      <c r="X885" t="n">
        <v>78.34</v>
      </c>
      <c r="Y885">
        <f>VLOOKUP(D885,$AB$2:$AC$7,2,FALSE)</f>
        <v/>
      </c>
      <c r="Z885">
        <f>IF(A885&lt;Y885,"Yes","No")</f>
        <v/>
      </c>
    </row>
    <row r="886">
      <c r="A886" t="n">
        <v>2018</v>
      </c>
      <c r="B886" t="inlineStr">
        <is>
          <t>Q4</t>
        </is>
      </c>
      <c r="C886" t="inlineStr">
        <is>
          <t>Europe</t>
        </is>
      </c>
      <c r="D886" t="inlineStr">
        <is>
          <t>Model X</t>
        </is>
      </c>
      <c r="E886" t="n">
        <v>3535</v>
      </c>
      <c r="F886" t="n">
        <v>100290.06</v>
      </c>
      <c r="G886" t="n">
        <v>11</v>
      </c>
      <c r="H886" t="inlineStr">
        <is>
          <t>Standard</t>
        </is>
      </c>
      <c r="I886" t="inlineStr">
        <is>
          <t>AWD</t>
        </is>
      </c>
      <c r="J886" t="inlineStr">
        <is>
          <t>Silver</t>
        </is>
      </c>
      <c r="K886" t="n">
        <v>354</v>
      </c>
      <c r="L886" t="n">
        <v>51</v>
      </c>
      <c r="M886" t="n">
        <v>15.83</v>
      </c>
      <c r="N886" t="n">
        <v>8355.82</v>
      </c>
      <c r="O886" t="n">
        <v>4.47</v>
      </c>
      <c r="P886" t="n">
        <v>6</v>
      </c>
      <c r="Q886" t="n">
        <v>3</v>
      </c>
      <c r="R886" t="n">
        <v>2020.5</v>
      </c>
      <c r="S886" t="b">
        <v>0</v>
      </c>
      <c r="T886" t="n">
        <v>2677845</v>
      </c>
      <c r="U886" t="n">
        <v>9</v>
      </c>
      <c r="V886" t="n">
        <v>0.0911</v>
      </c>
      <c r="W886" t="n">
        <v>1.11</v>
      </c>
      <c r="X886" t="n">
        <v>68.66</v>
      </c>
      <c r="Y886">
        <f>VLOOKUP(D886,$AB$2:$AC$7,2,FALSE)</f>
        <v/>
      </c>
      <c r="Z886">
        <f>IF(A886&lt;Y886,"Yes","No")</f>
        <v/>
      </c>
    </row>
    <row r="887">
      <c r="A887" t="n">
        <v>2024</v>
      </c>
      <c r="B887" t="inlineStr">
        <is>
          <t>Q3</t>
        </is>
      </c>
      <c r="C887" t="inlineStr">
        <is>
          <t>Asia</t>
        </is>
      </c>
      <c r="D887" t="inlineStr">
        <is>
          <t>Cybertruck</t>
        </is>
      </c>
      <c r="E887" t="n">
        <v>1875</v>
      </c>
      <c r="F887" t="n">
        <v>86066.49000000001</v>
      </c>
      <c r="G887" t="n">
        <v>20</v>
      </c>
      <c r="H887" t="inlineStr">
        <is>
          <t>Standard</t>
        </is>
      </c>
      <c r="I887" t="inlineStr">
        <is>
          <t>AWD</t>
        </is>
      </c>
      <c r="J887" t="inlineStr">
        <is>
          <t>Black</t>
        </is>
      </c>
      <c r="K887" t="n">
        <v>623</v>
      </c>
      <c r="L887" t="n">
        <v>44</v>
      </c>
      <c r="M887" t="n">
        <v>16.75</v>
      </c>
      <c r="N887" t="n">
        <v>2771.62</v>
      </c>
      <c r="O887" t="n">
        <v>3.62</v>
      </c>
      <c r="P887" t="n">
        <v>5</v>
      </c>
      <c r="Q887" t="n">
        <v>2</v>
      </c>
      <c r="R887" t="n">
        <v>2022.12</v>
      </c>
      <c r="S887" t="b">
        <v>0</v>
      </c>
      <c r="T887" t="n">
        <v>1930070</v>
      </c>
      <c r="U887" t="n">
        <v>3</v>
      </c>
      <c r="V887" t="n">
        <v>0.025</v>
      </c>
      <c r="W887" t="n">
        <v>2.16</v>
      </c>
      <c r="X887" t="n">
        <v>86.98</v>
      </c>
      <c r="Y887">
        <f>VLOOKUP(D887,$AB$2:$AC$7,2,FALSE)</f>
        <v/>
      </c>
      <c r="Z887">
        <f>IF(A887&lt;Y887,"Yes","No")</f>
        <v/>
      </c>
    </row>
    <row r="888">
      <c r="A888" t="n">
        <v>2012</v>
      </c>
      <c r="B888" t="inlineStr">
        <is>
          <t>Q1</t>
        </is>
      </c>
      <c r="C888" t="inlineStr">
        <is>
          <t>Europe</t>
        </is>
      </c>
      <c r="D888" t="inlineStr">
        <is>
          <t>Model Y</t>
        </is>
      </c>
      <c r="E888" t="n">
        <v>1096</v>
      </c>
      <c r="F888" t="n">
        <v>90965.02</v>
      </c>
      <c r="G888" t="n">
        <v>60</v>
      </c>
      <c r="H888" t="inlineStr">
        <is>
          <t>Standard</t>
        </is>
      </c>
      <c r="I888" t="inlineStr">
        <is>
          <t>AWD</t>
        </is>
      </c>
      <c r="J888" t="inlineStr">
        <is>
          <t>Green</t>
        </is>
      </c>
      <c r="K888" t="n">
        <v>591</v>
      </c>
      <c r="L888" t="n">
        <v>45</v>
      </c>
      <c r="M888" t="n">
        <v>24.08</v>
      </c>
      <c r="N888" t="n">
        <v>1951.08</v>
      </c>
      <c r="O888" t="n">
        <v>4.45</v>
      </c>
      <c r="P888" t="n">
        <v>8</v>
      </c>
      <c r="Q888" t="n">
        <v>3</v>
      </c>
      <c r="R888" t="n">
        <v>2021.7</v>
      </c>
      <c r="S888" t="b">
        <v>0</v>
      </c>
      <c r="T888" t="n">
        <v>4596895</v>
      </c>
      <c r="U888" t="n">
        <v>12</v>
      </c>
      <c r="V888" t="n">
        <v>0.0591</v>
      </c>
      <c r="W888" t="n">
        <v>0.99</v>
      </c>
      <c r="X888" t="n">
        <v>70.40000000000001</v>
      </c>
      <c r="Y888">
        <f>VLOOKUP(D888,$AB$2:$AC$7,2,FALSE)</f>
        <v/>
      </c>
      <c r="Z888">
        <f>IF(A888&lt;Y888,"Yes","No")</f>
        <v/>
      </c>
    </row>
    <row r="889">
      <c r="A889" t="n">
        <v>2017</v>
      </c>
      <c r="B889" t="inlineStr">
        <is>
          <t>Q3</t>
        </is>
      </c>
      <c r="C889" t="inlineStr">
        <is>
          <t>South America</t>
        </is>
      </c>
      <c r="D889" t="inlineStr">
        <is>
          <t>Model X</t>
        </is>
      </c>
      <c r="E889" t="n">
        <v>1450</v>
      </c>
      <c r="F889" t="n">
        <v>50380.29</v>
      </c>
      <c r="G889" t="n">
        <v>42</v>
      </c>
      <c r="H889" t="inlineStr">
        <is>
          <t>Long Range</t>
        </is>
      </c>
      <c r="I889" t="inlineStr">
        <is>
          <t>AWD</t>
        </is>
      </c>
      <c r="J889" t="inlineStr">
        <is>
          <t>Green</t>
        </is>
      </c>
      <c r="K889" t="n">
        <v>527</v>
      </c>
      <c r="L889" t="n">
        <v>38</v>
      </c>
      <c r="M889" t="n">
        <v>21.55</v>
      </c>
      <c r="N889" t="n">
        <v>1631.62</v>
      </c>
      <c r="O889" t="n">
        <v>4.11</v>
      </c>
      <c r="P889" t="n">
        <v>6</v>
      </c>
      <c r="Q889" t="n">
        <v>3</v>
      </c>
      <c r="R889" t="n">
        <v>2022.1</v>
      </c>
      <c r="S889" t="b">
        <v>1</v>
      </c>
      <c r="T889" t="n">
        <v>3863353</v>
      </c>
      <c r="U889" t="n">
        <v>3</v>
      </c>
      <c r="V889" t="n">
        <v>0.0149</v>
      </c>
      <c r="W889" t="n">
        <v>2.33</v>
      </c>
      <c r="X889" t="n">
        <v>75.87</v>
      </c>
      <c r="Y889">
        <f>VLOOKUP(D889,$AB$2:$AC$7,2,FALSE)</f>
        <v/>
      </c>
      <c r="Z889">
        <f>IF(A889&lt;Y889,"Yes","No")</f>
        <v/>
      </c>
    </row>
    <row r="890">
      <c r="A890" t="n">
        <v>2022</v>
      </c>
      <c r="B890" t="inlineStr">
        <is>
          <t>Q1</t>
        </is>
      </c>
      <c r="C890" t="inlineStr">
        <is>
          <t>Asia</t>
        </is>
      </c>
      <c r="D890" t="inlineStr">
        <is>
          <t>Model X</t>
        </is>
      </c>
      <c r="E890" t="n">
        <v>4959</v>
      </c>
      <c r="F890" t="n">
        <v>42883.42</v>
      </c>
      <c r="G890" t="n">
        <v>28</v>
      </c>
      <c r="H890" t="inlineStr">
        <is>
          <t>Long Range</t>
        </is>
      </c>
      <c r="I890" t="inlineStr">
        <is>
          <t>RWD</t>
        </is>
      </c>
      <c r="J890" t="inlineStr">
        <is>
          <t>White</t>
        </is>
      </c>
      <c r="K890" t="n">
        <v>591</v>
      </c>
      <c r="L890" t="n">
        <v>44</v>
      </c>
      <c r="M890" t="n">
        <v>22.18</v>
      </c>
      <c r="N890" t="n">
        <v>8813.42</v>
      </c>
      <c r="O890" t="n">
        <v>4.03</v>
      </c>
      <c r="P890" t="n">
        <v>5</v>
      </c>
      <c r="Q890" t="n">
        <v>2</v>
      </c>
      <c r="R890" t="n">
        <v>2023.9</v>
      </c>
      <c r="S890" t="b">
        <v>0</v>
      </c>
      <c r="T890" t="n">
        <v>1040656</v>
      </c>
      <c r="U890" t="n">
        <v>9</v>
      </c>
      <c r="V890" t="n">
        <v>0.0207</v>
      </c>
      <c r="W890" t="n">
        <v>1.66</v>
      </c>
      <c r="X890" t="n">
        <v>81.06999999999999</v>
      </c>
      <c r="Y890">
        <f>VLOOKUP(D890,$AB$2:$AC$7,2,FALSE)</f>
        <v/>
      </c>
      <c r="Z890">
        <f>IF(A890&lt;Y890,"Yes","No")</f>
        <v/>
      </c>
    </row>
    <row r="891">
      <c r="A891" t="n">
        <v>2021</v>
      </c>
      <c r="B891" t="inlineStr">
        <is>
          <t>Q4</t>
        </is>
      </c>
      <c r="C891" t="inlineStr">
        <is>
          <t>Europe</t>
        </is>
      </c>
      <c r="D891" t="inlineStr">
        <is>
          <t>Model X</t>
        </is>
      </c>
      <c r="E891" t="n">
        <v>2420</v>
      </c>
      <c r="F891" t="n">
        <v>107029.46</v>
      </c>
      <c r="G891" t="n">
        <v>38</v>
      </c>
      <c r="H891" t="inlineStr">
        <is>
          <t>Standard</t>
        </is>
      </c>
      <c r="I891" t="inlineStr">
        <is>
          <t>AWD</t>
        </is>
      </c>
      <c r="J891" t="inlineStr">
        <is>
          <t>White</t>
        </is>
      </c>
      <c r="K891" t="n">
        <v>468</v>
      </c>
      <c r="L891" t="n">
        <v>61</v>
      </c>
      <c r="M891" t="n">
        <v>19.13</v>
      </c>
      <c r="N891" t="n">
        <v>1356.58</v>
      </c>
      <c r="O891" t="n">
        <v>3.79</v>
      </c>
      <c r="P891" t="n">
        <v>5</v>
      </c>
      <c r="Q891" t="n">
        <v>3</v>
      </c>
      <c r="R891" t="n">
        <v>2020.2</v>
      </c>
      <c r="S891" t="b">
        <v>1</v>
      </c>
      <c r="T891" t="n">
        <v>2110295</v>
      </c>
      <c r="U891" t="n">
        <v>12</v>
      </c>
      <c r="V891" t="n">
        <v>0.0569</v>
      </c>
      <c r="W891" t="n">
        <v>1.7</v>
      </c>
      <c r="X891" t="n">
        <v>65.47</v>
      </c>
      <c r="Y891">
        <f>VLOOKUP(D891,$AB$2:$AC$7,2,FALSE)</f>
        <v/>
      </c>
      <c r="Z891">
        <f>IF(A891&lt;Y891,"Yes","No")</f>
        <v/>
      </c>
    </row>
    <row r="892">
      <c r="A892" t="n">
        <v>2012</v>
      </c>
      <c r="B892" t="inlineStr">
        <is>
          <t>Q4</t>
        </is>
      </c>
      <c r="C892" t="inlineStr">
        <is>
          <t>South America</t>
        </is>
      </c>
      <c r="D892" t="inlineStr">
        <is>
          <t>Cybertruck</t>
        </is>
      </c>
      <c r="E892" t="n">
        <v>1484</v>
      </c>
      <c r="F892" t="n">
        <v>104027.23</v>
      </c>
      <c r="G892" t="n">
        <v>35</v>
      </c>
      <c r="H892" t="inlineStr">
        <is>
          <t>Standard</t>
        </is>
      </c>
      <c r="I892" t="inlineStr">
        <is>
          <t>RWD</t>
        </is>
      </c>
      <c r="J892" t="inlineStr">
        <is>
          <t>Black</t>
        </is>
      </c>
      <c r="K892" t="n">
        <v>595</v>
      </c>
      <c r="L892" t="n">
        <v>64</v>
      </c>
      <c r="M892" t="n">
        <v>18.7</v>
      </c>
      <c r="N892" t="n">
        <v>770.62</v>
      </c>
      <c r="O892" t="n">
        <v>4.74</v>
      </c>
      <c r="P892" t="n">
        <v>8</v>
      </c>
      <c r="Q892" t="n">
        <v>1</v>
      </c>
      <c r="R892" t="n">
        <v>2022.11</v>
      </c>
      <c r="S892" t="b">
        <v>1</v>
      </c>
      <c r="T892" t="n">
        <v>2729500</v>
      </c>
      <c r="U892" t="n">
        <v>4</v>
      </c>
      <c r="V892" t="n">
        <v>0.021</v>
      </c>
      <c r="W892" t="n">
        <v>1.88</v>
      </c>
      <c r="X892" t="n">
        <v>72.26000000000001</v>
      </c>
      <c r="Y892">
        <f>VLOOKUP(D892,$AB$2:$AC$7,2,FALSE)</f>
        <v/>
      </c>
      <c r="Z892">
        <f>IF(A892&lt;Y892,"Yes","No")</f>
        <v/>
      </c>
    </row>
    <row r="893">
      <c r="A893" t="n">
        <v>2022</v>
      </c>
      <c r="B893" t="inlineStr">
        <is>
          <t>Q2</t>
        </is>
      </c>
      <c r="C893" t="inlineStr">
        <is>
          <t>Asia</t>
        </is>
      </c>
      <c r="D893" t="inlineStr">
        <is>
          <t>Semi</t>
        </is>
      </c>
      <c r="E893" t="n">
        <v>1904</v>
      </c>
      <c r="F893" t="n">
        <v>76023.63</v>
      </c>
      <c r="G893" t="n">
        <v>51</v>
      </c>
      <c r="H893" t="inlineStr">
        <is>
          <t>Performance</t>
        </is>
      </c>
      <c r="I893" t="inlineStr">
        <is>
          <t>AWD</t>
        </is>
      </c>
      <c r="J893" t="inlineStr">
        <is>
          <t>Red</t>
        </is>
      </c>
      <c r="K893" t="n">
        <v>612</v>
      </c>
      <c r="L893" t="n">
        <v>66</v>
      </c>
      <c r="M893" t="n">
        <v>23.36</v>
      </c>
      <c r="N893" t="n">
        <v>2308.56</v>
      </c>
      <c r="O893" t="n">
        <v>4.53</v>
      </c>
      <c r="P893" t="n">
        <v>5</v>
      </c>
      <c r="Q893" t="n">
        <v>2</v>
      </c>
      <c r="R893" t="n">
        <v>2022.7</v>
      </c>
      <c r="S893" t="b">
        <v>0</v>
      </c>
      <c r="T893" t="n">
        <v>835029</v>
      </c>
      <c r="U893" t="n">
        <v>9</v>
      </c>
      <c r="V893" t="n">
        <v>0.0498</v>
      </c>
      <c r="W893" t="n">
        <v>1.26</v>
      </c>
      <c r="X893" t="n">
        <v>64.88</v>
      </c>
      <c r="Y893">
        <f>VLOOKUP(D893,$AB$2:$AC$7,2,FALSE)</f>
        <v/>
      </c>
      <c r="Z893">
        <f>IF(A893&lt;Y893,"Yes","No")</f>
        <v/>
      </c>
    </row>
    <row r="894">
      <c r="A894" t="n">
        <v>2024</v>
      </c>
      <c r="B894" t="inlineStr">
        <is>
          <t>Q4</t>
        </is>
      </c>
      <c r="C894" t="inlineStr">
        <is>
          <t>South America</t>
        </is>
      </c>
      <c r="D894" t="inlineStr">
        <is>
          <t>Model S</t>
        </is>
      </c>
      <c r="E894" t="n">
        <v>2592</v>
      </c>
      <c r="F894" t="n">
        <v>54081.13</v>
      </c>
      <c r="G894" t="n">
        <v>52</v>
      </c>
      <c r="H894" t="inlineStr">
        <is>
          <t>Long Range</t>
        </is>
      </c>
      <c r="I894" t="inlineStr">
        <is>
          <t>AWD</t>
        </is>
      </c>
      <c r="J894" t="inlineStr">
        <is>
          <t>Silver</t>
        </is>
      </c>
      <c r="K894" t="n">
        <v>659</v>
      </c>
      <c r="L894" t="n">
        <v>66</v>
      </c>
      <c r="M894" t="n">
        <v>16.08</v>
      </c>
      <c r="N894" t="n">
        <v>3245.55</v>
      </c>
      <c r="O894" t="n">
        <v>4.69</v>
      </c>
      <c r="P894" t="n">
        <v>6</v>
      </c>
      <c r="Q894" t="n">
        <v>2</v>
      </c>
      <c r="R894" t="n">
        <v>2020.1</v>
      </c>
      <c r="S894" t="b">
        <v>1</v>
      </c>
      <c r="T894" t="n">
        <v>409801</v>
      </c>
      <c r="U894" t="n">
        <v>3</v>
      </c>
      <c r="V894" t="n">
        <v>0.0143</v>
      </c>
      <c r="W894" t="n">
        <v>1.69</v>
      </c>
      <c r="X894" t="n">
        <v>70.20999999999999</v>
      </c>
      <c r="Y894">
        <f>VLOOKUP(D894,$AB$2:$AC$7,2,FALSE)</f>
        <v/>
      </c>
      <c r="Z894">
        <f>IF(A894&lt;Y894,"Yes","No")</f>
        <v/>
      </c>
    </row>
    <row r="895">
      <c r="A895" t="n">
        <v>2015</v>
      </c>
      <c r="B895" t="inlineStr">
        <is>
          <t>Q1</t>
        </is>
      </c>
      <c r="C895" t="inlineStr">
        <is>
          <t>South America</t>
        </is>
      </c>
      <c r="D895" t="inlineStr">
        <is>
          <t>Model 3</t>
        </is>
      </c>
      <c r="E895" t="n">
        <v>2838</v>
      </c>
      <c r="F895" t="n">
        <v>48916.7</v>
      </c>
      <c r="G895" t="n">
        <v>45</v>
      </c>
      <c r="H895" t="inlineStr">
        <is>
          <t>Standard</t>
        </is>
      </c>
      <c r="I895" t="inlineStr">
        <is>
          <t>RWD</t>
        </is>
      </c>
      <c r="J895" t="inlineStr">
        <is>
          <t>Green</t>
        </is>
      </c>
      <c r="K895" t="n">
        <v>617</v>
      </c>
      <c r="L895" t="n">
        <v>48</v>
      </c>
      <c r="M895" t="n">
        <v>23.86</v>
      </c>
      <c r="N895" t="n">
        <v>2385.06</v>
      </c>
      <c r="O895" t="n">
        <v>3.94</v>
      </c>
      <c r="P895" t="n">
        <v>6</v>
      </c>
      <c r="Q895" t="n">
        <v>2</v>
      </c>
      <c r="R895" t="n">
        <v>2024.11</v>
      </c>
      <c r="S895" t="b">
        <v>0</v>
      </c>
      <c r="T895" t="n">
        <v>4989207</v>
      </c>
      <c r="U895" t="n">
        <v>7</v>
      </c>
      <c r="V895" t="n">
        <v>0.0494</v>
      </c>
      <c r="W895" t="n">
        <v>1.62</v>
      </c>
      <c r="X895" t="n">
        <v>86.31</v>
      </c>
      <c r="Y895">
        <f>VLOOKUP(D895,$AB$2:$AC$7,2,FALSE)</f>
        <v/>
      </c>
      <c r="Z895">
        <f>IF(A895&lt;Y895,"Yes","No")</f>
        <v/>
      </c>
    </row>
    <row r="896">
      <c r="A896" t="n">
        <v>2024</v>
      </c>
      <c r="B896" t="inlineStr">
        <is>
          <t>Q4</t>
        </is>
      </c>
      <c r="C896" t="inlineStr">
        <is>
          <t>Asia</t>
        </is>
      </c>
      <c r="D896" t="inlineStr">
        <is>
          <t>Semi</t>
        </is>
      </c>
      <c r="E896" t="n">
        <v>4727</v>
      </c>
      <c r="F896" t="n">
        <v>64625.01</v>
      </c>
      <c r="G896" t="n">
        <v>33</v>
      </c>
      <c r="H896" t="inlineStr">
        <is>
          <t>Standard</t>
        </is>
      </c>
      <c r="I896" t="inlineStr">
        <is>
          <t>AWD</t>
        </is>
      </c>
      <c r="J896" t="inlineStr">
        <is>
          <t>Silver</t>
        </is>
      </c>
      <c r="K896" t="n">
        <v>376</v>
      </c>
      <c r="L896" t="n">
        <v>41</v>
      </c>
      <c r="M896" t="n">
        <v>14.72</v>
      </c>
      <c r="N896" t="n">
        <v>6533.73</v>
      </c>
      <c r="O896" t="n">
        <v>4.38</v>
      </c>
      <c r="P896" t="n">
        <v>4</v>
      </c>
      <c r="Q896" t="n">
        <v>1</v>
      </c>
      <c r="R896" t="n">
        <v>2022.9</v>
      </c>
      <c r="S896" t="b">
        <v>1</v>
      </c>
      <c r="T896" t="n">
        <v>3890419</v>
      </c>
      <c r="U896" t="n">
        <v>3</v>
      </c>
      <c r="V896" t="n">
        <v>0.0516</v>
      </c>
      <c r="W896" t="n">
        <v>2.35</v>
      </c>
      <c r="X896" t="n">
        <v>82.52</v>
      </c>
      <c r="Y896">
        <f>VLOOKUP(D896,$AB$2:$AC$7,2,FALSE)</f>
        <v/>
      </c>
      <c r="Z896">
        <f>IF(A896&lt;Y896,"Yes","No")</f>
        <v/>
      </c>
    </row>
    <row r="897">
      <c r="A897" t="n">
        <v>2020</v>
      </c>
      <c r="B897" t="inlineStr">
        <is>
          <t>Q3</t>
        </is>
      </c>
      <c r="C897" t="inlineStr">
        <is>
          <t>Asia</t>
        </is>
      </c>
      <c r="D897" t="inlineStr">
        <is>
          <t>Model X</t>
        </is>
      </c>
      <c r="E897" t="n">
        <v>860</v>
      </c>
      <c r="F897" t="n">
        <v>102142.14</v>
      </c>
      <c r="G897" t="n">
        <v>50</v>
      </c>
      <c r="H897" t="inlineStr">
        <is>
          <t>Standard</t>
        </is>
      </c>
      <c r="I897" t="inlineStr">
        <is>
          <t>RWD</t>
        </is>
      </c>
      <c r="J897" t="inlineStr">
        <is>
          <t>Blue</t>
        </is>
      </c>
      <c r="K897" t="n">
        <v>431</v>
      </c>
      <c r="L897" t="n">
        <v>63</v>
      </c>
      <c r="M897" t="n">
        <v>24.94</v>
      </c>
      <c r="N897" t="n">
        <v>2119.11</v>
      </c>
      <c r="O897" t="n">
        <v>3.66</v>
      </c>
      <c r="P897" t="n">
        <v>5</v>
      </c>
      <c r="Q897" t="n">
        <v>1</v>
      </c>
      <c r="R897" t="n">
        <v>2020.4</v>
      </c>
      <c r="S897" t="b">
        <v>0</v>
      </c>
      <c r="T897" t="n">
        <v>3744157</v>
      </c>
      <c r="U897" t="n">
        <v>10</v>
      </c>
      <c r="V897" t="n">
        <v>0.0203</v>
      </c>
      <c r="W897" t="n">
        <v>0.66</v>
      </c>
      <c r="X897" t="n">
        <v>67.37</v>
      </c>
      <c r="Y897">
        <f>VLOOKUP(D897,$AB$2:$AC$7,2,FALSE)</f>
        <v/>
      </c>
      <c r="Z897">
        <f>IF(A897&lt;Y897,"Yes","No")</f>
        <v/>
      </c>
    </row>
    <row r="898">
      <c r="A898" t="n">
        <v>2019</v>
      </c>
      <c r="B898" t="inlineStr">
        <is>
          <t>Q1</t>
        </is>
      </c>
      <c r="C898" t="inlineStr">
        <is>
          <t>Asia</t>
        </is>
      </c>
      <c r="D898" t="inlineStr">
        <is>
          <t>Model X</t>
        </is>
      </c>
      <c r="E898" t="n">
        <v>4772</v>
      </c>
      <c r="F898" t="n">
        <v>35965.3</v>
      </c>
      <c r="G898" t="n">
        <v>52</v>
      </c>
      <c r="H898" t="inlineStr">
        <is>
          <t>Standard</t>
        </is>
      </c>
      <c r="I898" t="inlineStr">
        <is>
          <t>AWD</t>
        </is>
      </c>
      <c r="J898" t="inlineStr">
        <is>
          <t>Red</t>
        </is>
      </c>
      <c r="K898" t="n">
        <v>577</v>
      </c>
      <c r="L898" t="n">
        <v>59</v>
      </c>
      <c r="M898" t="n">
        <v>19.93</v>
      </c>
      <c r="N898" t="n">
        <v>5921.16</v>
      </c>
      <c r="O898" t="n">
        <v>3.72</v>
      </c>
      <c r="P898" t="n">
        <v>8</v>
      </c>
      <c r="Q898" t="n">
        <v>3</v>
      </c>
      <c r="R898" t="n">
        <v>2024.4</v>
      </c>
      <c r="S898" t="b">
        <v>1</v>
      </c>
      <c r="T898" t="n">
        <v>3234561</v>
      </c>
      <c r="U898" t="n">
        <v>3</v>
      </c>
      <c r="V898" t="n">
        <v>0.0665</v>
      </c>
      <c r="W898" t="n">
        <v>1.81</v>
      </c>
      <c r="X898" t="n">
        <v>82.34</v>
      </c>
      <c r="Y898">
        <f>VLOOKUP(D898,$AB$2:$AC$7,2,FALSE)</f>
        <v/>
      </c>
      <c r="Z898">
        <f>IF(A898&lt;Y898,"Yes","No")</f>
        <v/>
      </c>
    </row>
    <row r="899">
      <c r="A899" t="n">
        <v>2020</v>
      </c>
      <c r="B899" t="inlineStr">
        <is>
          <t>Q1</t>
        </is>
      </c>
      <c r="C899" t="inlineStr">
        <is>
          <t>Australia</t>
        </is>
      </c>
      <c r="D899" t="inlineStr">
        <is>
          <t>Semi</t>
        </is>
      </c>
      <c r="E899" t="n">
        <v>147</v>
      </c>
      <c r="F899" t="n">
        <v>100348.19</v>
      </c>
      <c r="G899" t="n">
        <v>42</v>
      </c>
      <c r="H899" t="inlineStr">
        <is>
          <t>Long Range</t>
        </is>
      </c>
      <c r="I899" t="inlineStr">
        <is>
          <t>AWD</t>
        </is>
      </c>
      <c r="J899" t="inlineStr">
        <is>
          <t>Black</t>
        </is>
      </c>
      <c r="K899" t="n">
        <v>694</v>
      </c>
      <c r="L899" t="n">
        <v>55</v>
      </c>
      <c r="M899" t="n">
        <v>13.24</v>
      </c>
      <c r="N899" t="n">
        <v>292.36</v>
      </c>
      <c r="O899" t="n">
        <v>3.68</v>
      </c>
      <c r="P899" t="n">
        <v>5</v>
      </c>
      <c r="Q899" t="n">
        <v>0</v>
      </c>
      <c r="R899" t="n">
        <v>2020.4</v>
      </c>
      <c r="S899" t="b">
        <v>1</v>
      </c>
      <c r="T899" t="n">
        <v>4910910</v>
      </c>
      <c r="U899" t="n">
        <v>9</v>
      </c>
      <c r="V899" t="n">
        <v>0.0377</v>
      </c>
      <c r="W899" t="n">
        <v>1.79</v>
      </c>
      <c r="X899" t="n">
        <v>69.45</v>
      </c>
      <c r="Y899">
        <f>VLOOKUP(D899,$AB$2:$AC$7,2,FALSE)</f>
        <v/>
      </c>
      <c r="Z899">
        <f>IF(A899&lt;Y899,"Yes","No")</f>
        <v/>
      </c>
    </row>
    <row r="900">
      <c r="A900" t="n">
        <v>2013</v>
      </c>
      <c r="B900" t="inlineStr">
        <is>
          <t>Q2</t>
        </is>
      </c>
      <c r="C900" t="inlineStr">
        <is>
          <t>Australia</t>
        </is>
      </c>
      <c r="D900" t="inlineStr">
        <is>
          <t>Model S</t>
        </is>
      </c>
      <c r="E900" t="n">
        <v>4751</v>
      </c>
      <c r="F900" t="n">
        <v>40021.02</v>
      </c>
      <c r="G900" t="n">
        <v>33</v>
      </c>
      <c r="H900" t="inlineStr">
        <is>
          <t>Long Range</t>
        </is>
      </c>
      <c r="I900" t="inlineStr">
        <is>
          <t>AWD</t>
        </is>
      </c>
      <c r="J900" t="inlineStr">
        <is>
          <t>Silver</t>
        </is>
      </c>
      <c r="K900" t="n">
        <v>412</v>
      </c>
      <c r="L900" t="n">
        <v>32</v>
      </c>
      <c r="M900" t="n">
        <v>16.4</v>
      </c>
      <c r="N900" t="n">
        <v>2955.09</v>
      </c>
      <c r="O900" t="n">
        <v>3.7</v>
      </c>
      <c r="P900" t="n">
        <v>5</v>
      </c>
      <c r="Q900" t="n">
        <v>3</v>
      </c>
      <c r="R900" t="n">
        <v>2021.7</v>
      </c>
      <c r="S900" t="b">
        <v>1</v>
      </c>
      <c r="T900" t="n">
        <v>2979398</v>
      </c>
      <c r="U900" t="n">
        <v>10</v>
      </c>
      <c r="V900" t="n">
        <v>0.0547</v>
      </c>
      <c r="W900" t="n">
        <v>1.26</v>
      </c>
      <c r="X900" t="n">
        <v>72.06</v>
      </c>
      <c r="Y900">
        <f>VLOOKUP(D900,$AB$2:$AC$7,2,FALSE)</f>
        <v/>
      </c>
      <c r="Z900">
        <f>IF(A900&lt;Y900,"Yes","No")</f>
        <v/>
      </c>
    </row>
    <row r="901">
      <c r="A901" t="n">
        <v>2019</v>
      </c>
      <c r="B901" t="inlineStr">
        <is>
          <t>Q1</t>
        </is>
      </c>
      <c r="C901" t="inlineStr">
        <is>
          <t>Europe</t>
        </is>
      </c>
      <c r="D901" t="inlineStr">
        <is>
          <t>Semi</t>
        </is>
      </c>
      <c r="E901" t="n">
        <v>2906</v>
      </c>
      <c r="F901" t="n">
        <v>78320.85000000001</v>
      </c>
      <c r="G901" t="n">
        <v>38</v>
      </c>
      <c r="H901" t="inlineStr">
        <is>
          <t>Long Range</t>
        </is>
      </c>
      <c r="I901" t="inlineStr">
        <is>
          <t>AWD</t>
        </is>
      </c>
      <c r="J901" t="inlineStr">
        <is>
          <t>Black</t>
        </is>
      </c>
      <c r="K901" t="n">
        <v>530</v>
      </c>
      <c r="L901" t="n">
        <v>45</v>
      </c>
      <c r="M901" t="n">
        <v>22.58</v>
      </c>
      <c r="N901" t="n">
        <v>1803.78</v>
      </c>
      <c r="O901" t="n">
        <v>3.51</v>
      </c>
      <c r="P901" t="n">
        <v>6</v>
      </c>
      <c r="Q901" t="n">
        <v>2</v>
      </c>
      <c r="R901" t="n">
        <v>2023.2</v>
      </c>
      <c r="S901" t="b">
        <v>0</v>
      </c>
      <c r="T901" t="n">
        <v>2548624</v>
      </c>
      <c r="U901" t="n">
        <v>9</v>
      </c>
      <c r="V901" t="n">
        <v>0.0699</v>
      </c>
      <c r="W901" t="n">
        <v>0.67</v>
      </c>
      <c r="X901" t="n">
        <v>70.03</v>
      </c>
      <c r="Y901">
        <f>VLOOKUP(D901,$AB$2:$AC$7,2,FALSE)</f>
        <v/>
      </c>
      <c r="Z901">
        <f>IF(A901&lt;Y901,"Yes","No")</f>
        <v/>
      </c>
    </row>
    <row r="902">
      <c r="A902" t="n">
        <v>2018</v>
      </c>
      <c r="B902" t="inlineStr">
        <is>
          <t>Q4</t>
        </is>
      </c>
      <c r="C902" t="inlineStr">
        <is>
          <t>Europe</t>
        </is>
      </c>
      <c r="D902" t="inlineStr">
        <is>
          <t>Cybertruck</t>
        </is>
      </c>
      <c r="E902" t="n">
        <v>4042</v>
      </c>
      <c r="F902" t="n">
        <v>83288.48</v>
      </c>
      <c r="G902" t="n">
        <v>22</v>
      </c>
      <c r="H902" t="inlineStr">
        <is>
          <t>Long Range</t>
        </is>
      </c>
      <c r="I902" t="inlineStr">
        <is>
          <t>AWD</t>
        </is>
      </c>
      <c r="J902" t="inlineStr">
        <is>
          <t>Red</t>
        </is>
      </c>
      <c r="K902" t="n">
        <v>544</v>
      </c>
      <c r="L902" t="n">
        <v>48</v>
      </c>
      <c r="M902" t="n">
        <v>15.95</v>
      </c>
      <c r="N902" t="n">
        <v>9753.5</v>
      </c>
      <c r="O902" t="n">
        <v>4.42</v>
      </c>
      <c r="P902" t="n">
        <v>5</v>
      </c>
      <c r="Q902" t="n">
        <v>1</v>
      </c>
      <c r="R902" t="n">
        <v>2023.8</v>
      </c>
      <c r="S902" t="b">
        <v>1</v>
      </c>
      <c r="T902" t="n">
        <v>3933054</v>
      </c>
      <c r="U902" t="n">
        <v>2</v>
      </c>
      <c r="V902" t="n">
        <v>0.08699999999999999</v>
      </c>
      <c r="W902" t="n">
        <v>1.59</v>
      </c>
      <c r="X902" t="n">
        <v>72.65000000000001</v>
      </c>
      <c r="Y902">
        <f>VLOOKUP(D902,$AB$2:$AC$7,2,FALSE)</f>
        <v/>
      </c>
      <c r="Z902">
        <f>IF(A902&lt;Y902,"Yes","No")</f>
        <v/>
      </c>
    </row>
    <row r="903">
      <c r="A903" t="n">
        <v>2024</v>
      </c>
      <c r="B903" t="inlineStr">
        <is>
          <t>Q4</t>
        </is>
      </c>
      <c r="C903" t="inlineStr">
        <is>
          <t>Australia</t>
        </is>
      </c>
      <c r="D903" t="inlineStr">
        <is>
          <t>Model S</t>
        </is>
      </c>
      <c r="E903" t="n">
        <v>2860</v>
      </c>
      <c r="F903" t="n">
        <v>112699.57</v>
      </c>
      <c r="G903" t="n">
        <v>18</v>
      </c>
      <c r="H903" t="inlineStr">
        <is>
          <t>Standard</t>
        </is>
      </c>
      <c r="I903" t="inlineStr">
        <is>
          <t>AWD</t>
        </is>
      </c>
      <c r="J903" t="inlineStr">
        <is>
          <t>Blue</t>
        </is>
      </c>
      <c r="K903" t="n">
        <v>480</v>
      </c>
      <c r="L903" t="n">
        <v>46</v>
      </c>
      <c r="M903" t="n">
        <v>13.82</v>
      </c>
      <c r="N903" t="n">
        <v>5461.43</v>
      </c>
      <c r="O903" t="n">
        <v>4.12</v>
      </c>
      <c r="P903" t="n">
        <v>4</v>
      </c>
      <c r="Q903" t="n">
        <v>0</v>
      </c>
      <c r="R903" t="n">
        <v>2024.12</v>
      </c>
      <c r="S903" t="b">
        <v>0</v>
      </c>
      <c r="T903" t="n">
        <v>2812287</v>
      </c>
      <c r="U903" t="n">
        <v>12</v>
      </c>
      <c r="V903" t="n">
        <v>0.0902</v>
      </c>
      <c r="W903" t="n">
        <v>1.17</v>
      </c>
      <c r="X903" t="n">
        <v>86.17</v>
      </c>
      <c r="Y903">
        <f>VLOOKUP(D903,$AB$2:$AC$7,2,FALSE)</f>
        <v/>
      </c>
      <c r="Z903">
        <f>IF(A903&lt;Y903,"Yes","No")</f>
        <v/>
      </c>
    </row>
    <row r="904">
      <c r="A904" t="n">
        <v>2022</v>
      </c>
      <c r="B904" t="inlineStr">
        <is>
          <t>Q3</t>
        </is>
      </c>
      <c r="C904" t="inlineStr">
        <is>
          <t>Australia</t>
        </is>
      </c>
      <c r="D904" t="inlineStr">
        <is>
          <t>Model X</t>
        </is>
      </c>
      <c r="E904" t="n">
        <v>401</v>
      </c>
      <c r="F904" t="n">
        <v>117901.6</v>
      </c>
      <c r="G904" t="n">
        <v>7</v>
      </c>
      <c r="H904" t="inlineStr">
        <is>
          <t>Standard</t>
        </is>
      </c>
      <c r="I904" t="inlineStr">
        <is>
          <t>AWD</t>
        </is>
      </c>
      <c r="J904" t="inlineStr">
        <is>
          <t>Green</t>
        </is>
      </c>
      <c r="K904" t="n">
        <v>636</v>
      </c>
      <c r="L904" t="n">
        <v>64</v>
      </c>
      <c r="M904" t="n">
        <v>13.01</v>
      </c>
      <c r="N904" t="n">
        <v>593.8099999999999</v>
      </c>
      <c r="O904" t="n">
        <v>3.82</v>
      </c>
      <c r="P904" t="n">
        <v>6</v>
      </c>
      <c r="Q904" t="n">
        <v>1</v>
      </c>
      <c r="R904" t="n">
        <v>2023.7</v>
      </c>
      <c r="S904" t="b">
        <v>1</v>
      </c>
      <c r="T904" t="n">
        <v>3641843</v>
      </c>
      <c r="U904" t="n">
        <v>4</v>
      </c>
      <c r="V904" t="n">
        <v>0.094</v>
      </c>
      <c r="W904" t="n">
        <v>1.52</v>
      </c>
      <c r="X904" t="n">
        <v>63.07</v>
      </c>
      <c r="Y904">
        <f>VLOOKUP(D904,$AB$2:$AC$7,2,FALSE)</f>
        <v/>
      </c>
      <c r="Z904">
        <f>IF(A904&lt;Y904,"Yes","No")</f>
        <v/>
      </c>
    </row>
    <row r="905">
      <c r="A905" t="n">
        <v>2022</v>
      </c>
      <c r="B905" t="inlineStr">
        <is>
          <t>Q3</t>
        </is>
      </c>
      <c r="C905" t="inlineStr">
        <is>
          <t>Asia</t>
        </is>
      </c>
      <c r="D905" t="inlineStr">
        <is>
          <t>Model Y</t>
        </is>
      </c>
      <c r="E905" t="n">
        <v>1000</v>
      </c>
      <c r="F905" t="n">
        <v>79953.83</v>
      </c>
      <c r="G905" t="n">
        <v>37</v>
      </c>
      <c r="H905" t="inlineStr">
        <is>
          <t>Standard</t>
        </is>
      </c>
      <c r="I905" t="inlineStr">
        <is>
          <t>RWD</t>
        </is>
      </c>
      <c r="J905" t="inlineStr">
        <is>
          <t>Black</t>
        </is>
      </c>
      <c r="K905" t="n">
        <v>361</v>
      </c>
      <c r="L905" t="n">
        <v>66</v>
      </c>
      <c r="M905" t="n">
        <v>17.94</v>
      </c>
      <c r="N905" t="n">
        <v>2094.58</v>
      </c>
      <c r="O905" t="n">
        <v>4.13</v>
      </c>
      <c r="P905" t="n">
        <v>8</v>
      </c>
      <c r="Q905" t="n">
        <v>2</v>
      </c>
      <c r="R905" t="n">
        <v>2024.11</v>
      </c>
      <c r="S905" t="b">
        <v>1</v>
      </c>
      <c r="T905" t="n">
        <v>4878719</v>
      </c>
      <c r="U905" t="n">
        <v>4</v>
      </c>
      <c r="V905" t="n">
        <v>0.0256</v>
      </c>
      <c r="W905" t="n">
        <v>1.57</v>
      </c>
      <c r="X905" t="n">
        <v>85.75</v>
      </c>
      <c r="Y905">
        <f>VLOOKUP(D905,$AB$2:$AC$7,2,FALSE)</f>
        <v/>
      </c>
      <c r="Z905">
        <f>IF(A905&lt;Y905,"Yes","No")</f>
        <v/>
      </c>
    </row>
    <row r="906">
      <c r="A906" t="n">
        <v>2021</v>
      </c>
      <c r="B906" t="inlineStr">
        <is>
          <t>Q4</t>
        </is>
      </c>
      <c r="C906" t="inlineStr">
        <is>
          <t>Asia</t>
        </is>
      </c>
      <c r="D906" t="inlineStr">
        <is>
          <t>Model X</t>
        </is>
      </c>
      <c r="E906" t="n">
        <v>2922</v>
      </c>
      <c r="F906" t="n">
        <v>44510.3</v>
      </c>
      <c r="G906" t="n">
        <v>45</v>
      </c>
      <c r="H906" t="inlineStr">
        <is>
          <t>Standard</t>
        </is>
      </c>
      <c r="I906" t="inlineStr">
        <is>
          <t>RWD</t>
        </is>
      </c>
      <c r="J906" t="inlineStr">
        <is>
          <t>Silver</t>
        </is>
      </c>
      <c r="K906" t="n">
        <v>582</v>
      </c>
      <c r="L906" t="n">
        <v>38</v>
      </c>
      <c r="M906" t="n">
        <v>23.15</v>
      </c>
      <c r="N906" t="n">
        <v>2181.48</v>
      </c>
      <c r="O906" t="n">
        <v>3.9</v>
      </c>
      <c r="P906" t="n">
        <v>5</v>
      </c>
      <c r="Q906" t="n">
        <v>0</v>
      </c>
      <c r="R906" t="n">
        <v>2023.9</v>
      </c>
      <c r="S906" t="b">
        <v>1</v>
      </c>
      <c r="T906" t="n">
        <v>986326</v>
      </c>
      <c r="U906" t="n">
        <v>8</v>
      </c>
      <c r="V906" t="n">
        <v>0.08550000000000001</v>
      </c>
      <c r="W906" t="n">
        <v>2.14</v>
      </c>
      <c r="X906" t="n">
        <v>83.27</v>
      </c>
      <c r="Y906">
        <f>VLOOKUP(D906,$AB$2:$AC$7,2,FALSE)</f>
        <v/>
      </c>
      <c r="Z906">
        <f>IF(A906&lt;Y906,"Yes","No")</f>
        <v/>
      </c>
    </row>
    <row r="907">
      <c r="A907" t="n">
        <v>2024</v>
      </c>
      <c r="B907" t="inlineStr">
        <is>
          <t>Q1</t>
        </is>
      </c>
      <c r="C907" t="inlineStr">
        <is>
          <t>Europe</t>
        </is>
      </c>
      <c r="D907" t="inlineStr">
        <is>
          <t>Model X</t>
        </is>
      </c>
      <c r="E907" t="n">
        <v>1756</v>
      </c>
      <c r="F907" t="n">
        <v>85205.05</v>
      </c>
      <c r="G907" t="n">
        <v>48</v>
      </c>
      <c r="H907" t="inlineStr">
        <is>
          <t>Performance</t>
        </is>
      </c>
      <c r="I907" t="inlineStr">
        <is>
          <t>AWD</t>
        </is>
      </c>
      <c r="J907" t="inlineStr">
        <is>
          <t>Silver</t>
        </is>
      </c>
      <c r="K907" t="n">
        <v>602</v>
      </c>
      <c r="L907" t="n">
        <v>43</v>
      </c>
      <c r="M907" t="n">
        <v>19.58</v>
      </c>
      <c r="N907" t="n">
        <v>2434.47</v>
      </c>
      <c r="O907" t="n">
        <v>4.62</v>
      </c>
      <c r="P907" t="n">
        <v>5</v>
      </c>
      <c r="Q907" t="n">
        <v>1</v>
      </c>
      <c r="R907" t="n">
        <v>2021.7</v>
      </c>
      <c r="S907" t="b">
        <v>0</v>
      </c>
      <c r="T907" t="n">
        <v>4083719</v>
      </c>
      <c r="U907" t="n">
        <v>9</v>
      </c>
      <c r="V907" t="n">
        <v>0.0113</v>
      </c>
      <c r="W907" t="n">
        <v>1</v>
      </c>
      <c r="X907" t="n">
        <v>66.98</v>
      </c>
      <c r="Y907">
        <f>VLOOKUP(D907,$AB$2:$AC$7,2,FALSE)</f>
        <v/>
      </c>
      <c r="Z907">
        <f>IF(A907&lt;Y907,"Yes","No")</f>
        <v/>
      </c>
    </row>
    <row r="908">
      <c r="A908" t="n">
        <v>2012</v>
      </c>
      <c r="B908" t="inlineStr">
        <is>
          <t>Q1</t>
        </is>
      </c>
      <c r="C908" t="inlineStr">
        <is>
          <t>South America</t>
        </is>
      </c>
      <c r="D908" t="inlineStr">
        <is>
          <t>Model S</t>
        </is>
      </c>
      <c r="E908" t="n">
        <v>2909</v>
      </c>
      <c r="F908" t="n">
        <v>51405.12</v>
      </c>
      <c r="G908" t="n">
        <v>52</v>
      </c>
      <c r="H908" t="inlineStr">
        <is>
          <t>Performance</t>
        </is>
      </c>
      <c r="I908" t="inlineStr">
        <is>
          <t>RWD</t>
        </is>
      </c>
      <c r="J908" t="inlineStr">
        <is>
          <t>Red</t>
        </is>
      </c>
      <c r="K908" t="n">
        <v>445</v>
      </c>
      <c r="L908" t="n">
        <v>64</v>
      </c>
      <c r="M908" t="n">
        <v>14.53</v>
      </c>
      <c r="N908" t="n">
        <v>2229.69</v>
      </c>
      <c r="O908" t="n">
        <v>3.9</v>
      </c>
      <c r="P908" t="n">
        <v>5</v>
      </c>
      <c r="Q908" t="n">
        <v>0</v>
      </c>
      <c r="R908" t="n">
        <v>2022.2</v>
      </c>
      <c r="S908" t="b">
        <v>1</v>
      </c>
      <c r="T908" t="n">
        <v>2051557</v>
      </c>
      <c r="U908" t="n">
        <v>3</v>
      </c>
      <c r="V908" t="n">
        <v>0.065</v>
      </c>
      <c r="W908" t="n">
        <v>1.95</v>
      </c>
      <c r="X908" t="n">
        <v>70.68000000000001</v>
      </c>
      <c r="Y908">
        <f>VLOOKUP(D908,$AB$2:$AC$7,2,FALSE)</f>
        <v/>
      </c>
      <c r="Z908">
        <f>IF(A908&lt;Y908,"Yes","No")</f>
        <v/>
      </c>
    </row>
    <row r="909">
      <c r="A909" t="n">
        <v>2019</v>
      </c>
      <c r="B909" t="inlineStr">
        <is>
          <t>Q2</t>
        </is>
      </c>
      <c r="C909" t="inlineStr">
        <is>
          <t>North America</t>
        </is>
      </c>
      <c r="D909" t="inlineStr">
        <is>
          <t>Model X</t>
        </is>
      </c>
      <c r="E909" t="n">
        <v>2339</v>
      </c>
      <c r="F909" t="n">
        <v>40634.2</v>
      </c>
      <c r="G909" t="n">
        <v>3</v>
      </c>
      <c r="H909" t="inlineStr">
        <is>
          <t>Performance</t>
        </is>
      </c>
      <c r="I909" t="inlineStr">
        <is>
          <t>RWD</t>
        </is>
      </c>
      <c r="J909" t="inlineStr">
        <is>
          <t>Green</t>
        </is>
      </c>
      <c r="K909" t="n">
        <v>652</v>
      </c>
      <c r="L909" t="n">
        <v>83</v>
      </c>
      <c r="M909" t="n">
        <v>21.45</v>
      </c>
      <c r="N909" t="n">
        <v>1635.92</v>
      </c>
      <c r="O909" t="n">
        <v>3.82</v>
      </c>
      <c r="P909" t="n">
        <v>6</v>
      </c>
      <c r="Q909" t="n">
        <v>2</v>
      </c>
      <c r="R909" t="n">
        <v>2021.9</v>
      </c>
      <c r="S909" t="b">
        <v>1</v>
      </c>
      <c r="T909" t="n">
        <v>599098</v>
      </c>
      <c r="U909" t="n">
        <v>11</v>
      </c>
      <c r="V909" t="n">
        <v>0.0534</v>
      </c>
      <c r="W909" t="n">
        <v>1.73</v>
      </c>
      <c r="X909" t="n">
        <v>62.96</v>
      </c>
      <c r="Y909">
        <f>VLOOKUP(D909,$AB$2:$AC$7,2,FALSE)</f>
        <v/>
      </c>
      <c r="Z909">
        <f>IF(A909&lt;Y909,"Yes","No")</f>
        <v/>
      </c>
    </row>
    <row r="910">
      <c r="A910" t="n">
        <v>2022</v>
      </c>
      <c r="B910" t="inlineStr">
        <is>
          <t>Q2</t>
        </is>
      </c>
      <c r="C910" t="inlineStr">
        <is>
          <t>Europe</t>
        </is>
      </c>
      <c r="D910" t="inlineStr">
        <is>
          <t>Model X</t>
        </is>
      </c>
      <c r="E910" t="n">
        <v>4506</v>
      </c>
      <c r="F910" t="n">
        <v>115930.03</v>
      </c>
      <c r="G910" t="n">
        <v>1</v>
      </c>
      <c r="H910" t="inlineStr">
        <is>
          <t>Performance</t>
        </is>
      </c>
      <c r="I910" t="inlineStr">
        <is>
          <t>RWD</t>
        </is>
      </c>
      <c r="J910" t="inlineStr">
        <is>
          <t>Black</t>
        </is>
      </c>
      <c r="K910" t="n">
        <v>549</v>
      </c>
      <c r="L910" t="n">
        <v>46</v>
      </c>
      <c r="M910" t="n">
        <v>23.39</v>
      </c>
      <c r="N910" t="n">
        <v>7428.92</v>
      </c>
      <c r="O910" t="n">
        <v>3.81</v>
      </c>
      <c r="P910" t="n">
        <v>5</v>
      </c>
      <c r="Q910" t="n">
        <v>2</v>
      </c>
      <c r="R910" t="n">
        <v>2020.8</v>
      </c>
      <c r="S910" t="b">
        <v>0</v>
      </c>
      <c r="T910" t="n">
        <v>1309243</v>
      </c>
      <c r="U910" t="n">
        <v>4</v>
      </c>
      <c r="V910" t="n">
        <v>0.0361</v>
      </c>
      <c r="W910" t="n">
        <v>1.03</v>
      </c>
      <c r="X910" t="n">
        <v>86.7</v>
      </c>
      <c r="Y910">
        <f>VLOOKUP(D910,$AB$2:$AC$7,2,FALSE)</f>
        <v/>
      </c>
      <c r="Z910">
        <f>IF(A910&lt;Y910,"Yes","No")</f>
        <v/>
      </c>
    </row>
    <row r="911">
      <c r="A911" t="n">
        <v>2022</v>
      </c>
      <c r="B911" t="inlineStr">
        <is>
          <t>Q2</t>
        </is>
      </c>
      <c r="C911" t="inlineStr">
        <is>
          <t>Europe</t>
        </is>
      </c>
      <c r="D911" t="inlineStr">
        <is>
          <t>Model Y</t>
        </is>
      </c>
      <c r="E911" t="n">
        <v>866</v>
      </c>
      <c r="F911" t="n">
        <v>44170</v>
      </c>
      <c r="G911" t="n">
        <v>53</v>
      </c>
      <c r="H911" t="inlineStr">
        <is>
          <t>Performance</t>
        </is>
      </c>
      <c r="I911" t="inlineStr">
        <is>
          <t>AWD</t>
        </is>
      </c>
      <c r="J911" t="inlineStr">
        <is>
          <t>Red</t>
        </is>
      </c>
      <c r="K911" t="n">
        <v>448</v>
      </c>
      <c r="L911" t="n">
        <v>49</v>
      </c>
      <c r="M911" t="n">
        <v>17.59</v>
      </c>
      <c r="N911" t="n">
        <v>1180.57</v>
      </c>
      <c r="O911" t="n">
        <v>4.53</v>
      </c>
      <c r="P911" t="n">
        <v>5</v>
      </c>
      <c r="Q911" t="n">
        <v>0</v>
      </c>
      <c r="R911" t="n">
        <v>2023.1</v>
      </c>
      <c r="S911" t="b">
        <v>1</v>
      </c>
      <c r="T911" t="n">
        <v>4681483</v>
      </c>
      <c r="U911" t="n">
        <v>8</v>
      </c>
      <c r="V911" t="n">
        <v>0.0504</v>
      </c>
      <c r="W911" t="n">
        <v>1.81</v>
      </c>
      <c r="X911" t="n">
        <v>61.68</v>
      </c>
      <c r="Y911">
        <f>VLOOKUP(D911,$AB$2:$AC$7,2,FALSE)</f>
        <v/>
      </c>
      <c r="Z911">
        <f>IF(A911&lt;Y911,"Yes","No")</f>
        <v/>
      </c>
    </row>
    <row r="912">
      <c r="A912" t="n">
        <v>2014</v>
      </c>
      <c r="B912" t="inlineStr">
        <is>
          <t>Q1</t>
        </is>
      </c>
      <c r="C912" t="inlineStr">
        <is>
          <t>North America</t>
        </is>
      </c>
      <c r="D912" t="inlineStr">
        <is>
          <t>Cybertruck</t>
        </is>
      </c>
      <c r="E912" t="n">
        <v>2796</v>
      </c>
      <c r="F912" t="n">
        <v>101251.79</v>
      </c>
      <c r="G912" t="n">
        <v>15</v>
      </c>
      <c r="H912" t="inlineStr">
        <is>
          <t>Long Range</t>
        </is>
      </c>
      <c r="I912" t="inlineStr">
        <is>
          <t>RWD</t>
        </is>
      </c>
      <c r="J912" t="inlineStr">
        <is>
          <t>Green</t>
        </is>
      </c>
      <c r="K912" t="n">
        <v>419</v>
      </c>
      <c r="L912" t="n">
        <v>34</v>
      </c>
      <c r="M912" t="n">
        <v>19.85</v>
      </c>
      <c r="N912" t="n">
        <v>2497.35</v>
      </c>
      <c r="O912" t="n">
        <v>4.94</v>
      </c>
      <c r="P912" t="n">
        <v>4</v>
      </c>
      <c r="Q912" t="n">
        <v>0</v>
      </c>
      <c r="R912" t="n">
        <v>2022.8</v>
      </c>
      <c r="S912" t="b">
        <v>0</v>
      </c>
      <c r="T912" t="n">
        <v>2725537</v>
      </c>
      <c r="U912" t="n">
        <v>2</v>
      </c>
      <c r="V912" t="n">
        <v>0.0154</v>
      </c>
      <c r="W912" t="n">
        <v>1.49</v>
      </c>
      <c r="X912" t="n">
        <v>64.09999999999999</v>
      </c>
      <c r="Y912">
        <f>VLOOKUP(D912,$AB$2:$AC$7,2,FALSE)</f>
        <v/>
      </c>
      <c r="Z912">
        <f>IF(A912&lt;Y912,"Yes","No")</f>
        <v/>
      </c>
    </row>
    <row r="913">
      <c r="A913" t="n">
        <v>2024</v>
      </c>
      <c r="B913" t="inlineStr">
        <is>
          <t>Q1</t>
        </is>
      </c>
      <c r="C913" t="inlineStr">
        <is>
          <t>North America</t>
        </is>
      </c>
      <c r="D913" t="inlineStr">
        <is>
          <t>Model Y</t>
        </is>
      </c>
      <c r="E913" t="n">
        <v>1821</v>
      </c>
      <c r="F913" t="n">
        <v>87303.55</v>
      </c>
      <c r="G913" t="n">
        <v>5</v>
      </c>
      <c r="H913" t="inlineStr">
        <is>
          <t>Standard</t>
        </is>
      </c>
      <c r="I913" t="inlineStr">
        <is>
          <t>AWD</t>
        </is>
      </c>
      <c r="J913" t="inlineStr">
        <is>
          <t>Green</t>
        </is>
      </c>
      <c r="K913" t="n">
        <v>581</v>
      </c>
      <c r="L913" t="n">
        <v>40</v>
      </c>
      <c r="M913" t="n">
        <v>14.92</v>
      </c>
      <c r="N913" t="n">
        <v>1308.05</v>
      </c>
      <c r="O913" t="n">
        <v>4.31</v>
      </c>
      <c r="P913" t="n">
        <v>8</v>
      </c>
      <c r="Q913" t="n">
        <v>0</v>
      </c>
      <c r="R913" t="n">
        <v>2024.8</v>
      </c>
      <c r="S913" t="b">
        <v>1</v>
      </c>
      <c r="T913" t="n">
        <v>3370278</v>
      </c>
      <c r="U913" t="n">
        <v>9</v>
      </c>
      <c r="V913" t="n">
        <v>0.0228</v>
      </c>
      <c r="W913" t="n">
        <v>0.74</v>
      </c>
      <c r="X913" t="n">
        <v>84.13</v>
      </c>
      <c r="Y913">
        <f>VLOOKUP(D913,$AB$2:$AC$7,2,FALSE)</f>
        <v/>
      </c>
      <c r="Z913">
        <f>IF(A913&lt;Y913,"Yes","No")</f>
        <v/>
      </c>
    </row>
    <row r="914">
      <c r="A914" t="n">
        <v>2016</v>
      </c>
      <c r="B914" t="inlineStr">
        <is>
          <t>Q3</t>
        </is>
      </c>
      <c r="C914" t="inlineStr">
        <is>
          <t>Asia</t>
        </is>
      </c>
      <c r="D914" t="inlineStr">
        <is>
          <t>Semi</t>
        </is>
      </c>
      <c r="E914" t="n">
        <v>3388</v>
      </c>
      <c r="F914" t="n">
        <v>102349.51</v>
      </c>
      <c r="G914" t="n">
        <v>31</v>
      </c>
      <c r="H914" t="inlineStr">
        <is>
          <t>Standard</t>
        </is>
      </c>
      <c r="I914" t="inlineStr">
        <is>
          <t>AWD</t>
        </is>
      </c>
      <c r="J914" t="inlineStr">
        <is>
          <t>Silver</t>
        </is>
      </c>
      <c r="K914" t="n">
        <v>385</v>
      </c>
      <c r="L914" t="n">
        <v>60</v>
      </c>
      <c r="M914" t="n">
        <v>23.01</v>
      </c>
      <c r="N914" t="n">
        <v>4775.64</v>
      </c>
      <c r="O914" t="n">
        <v>3.96</v>
      </c>
      <c r="P914" t="n">
        <v>8</v>
      </c>
      <c r="Q914" t="n">
        <v>0</v>
      </c>
      <c r="R914" t="n">
        <v>2021.4</v>
      </c>
      <c r="S914" t="b">
        <v>0</v>
      </c>
      <c r="T914" t="n">
        <v>2559000</v>
      </c>
      <c r="U914" t="n">
        <v>4</v>
      </c>
      <c r="V914" t="n">
        <v>0.0265</v>
      </c>
      <c r="W914" t="n">
        <v>0.79</v>
      </c>
      <c r="X914" t="n">
        <v>79.44</v>
      </c>
      <c r="Y914">
        <f>VLOOKUP(D914,$AB$2:$AC$7,2,FALSE)</f>
        <v/>
      </c>
      <c r="Z914">
        <f>IF(A914&lt;Y914,"Yes","No")</f>
        <v/>
      </c>
    </row>
    <row r="915">
      <c r="A915" t="n">
        <v>2012</v>
      </c>
      <c r="B915" t="inlineStr">
        <is>
          <t>Q2</t>
        </is>
      </c>
      <c r="C915" t="inlineStr">
        <is>
          <t>Asia</t>
        </is>
      </c>
      <c r="D915" t="inlineStr">
        <is>
          <t>Model 3</t>
        </is>
      </c>
      <c r="E915" t="n">
        <v>1808</v>
      </c>
      <c r="F915" t="n">
        <v>112466.41</v>
      </c>
      <c r="G915" t="n">
        <v>17</v>
      </c>
      <c r="H915" t="inlineStr">
        <is>
          <t>Standard</t>
        </is>
      </c>
      <c r="I915" t="inlineStr">
        <is>
          <t>AWD</t>
        </is>
      </c>
      <c r="J915" t="inlineStr">
        <is>
          <t>Green</t>
        </is>
      </c>
      <c r="K915" t="n">
        <v>690</v>
      </c>
      <c r="L915" t="n">
        <v>76</v>
      </c>
      <c r="M915" t="n">
        <v>13.2</v>
      </c>
      <c r="N915" t="n">
        <v>1886.1</v>
      </c>
      <c r="O915" t="n">
        <v>4.61</v>
      </c>
      <c r="P915" t="n">
        <v>8</v>
      </c>
      <c r="Q915" t="n">
        <v>3</v>
      </c>
      <c r="R915" t="n">
        <v>2021.7</v>
      </c>
      <c r="S915" t="b">
        <v>1</v>
      </c>
      <c r="T915" t="n">
        <v>1846878</v>
      </c>
      <c r="U915" t="n">
        <v>12</v>
      </c>
      <c r="V915" t="n">
        <v>0.0264</v>
      </c>
      <c r="W915" t="n">
        <v>1.78</v>
      </c>
      <c r="X915" t="n">
        <v>70.59</v>
      </c>
      <c r="Y915">
        <f>VLOOKUP(D915,$AB$2:$AC$7,2,FALSE)</f>
        <v/>
      </c>
      <c r="Z915">
        <f>IF(A915&lt;Y915,"Yes","No")</f>
        <v/>
      </c>
    </row>
    <row r="916">
      <c r="A916" t="n">
        <v>2013</v>
      </c>
      <c r="B916" t="inlineStr">
        <is>
          <t>Q2</t>
        </is>
      </c>
      <c r="C916" t="inlineStr">
        <is>
          <t>Europe</t>
        </is>
      </c>
      <c r="D916" t="inlineStr">
        <is>
          <t>Model Y</t>
        </is>
      </c>
      <c r="E916" t="n">
        <v>3400</v>
      </c>
      <c r="F916" t="n">
        <v>41706.74</v>
      </c>
      <c r="G916" t="n">
        <v>29</v>
      </c>
      <c r="H916" t="inlineStr">
        <is>
          <t>Performance</t>
        </is>
      </c>
      <c r="I916" t="inlineStr">
        <is>
          <t>RWD</t>
        </is>
      </c>
      <c r="J916" t="inlineStr">
        <is>
          <t>Green</t>
        </is>
      </c>
      <c r="K916" t="n">
        <v>635</v>
      </c>
      <c r="L916" t="n">
        <v>31</v>
      </c>
      <c r="M916" t="n">
        <v>24.65</v>
      </c>
      <c r="N916" t="n">
        <v>6304.47</v>
      </c>
      <c r="O916" t="n">
        <v>3.91</v>
      </c>
      <c r="P916" t="n">
        <v>6</v>
      </c>
      <c r="Q916" t="n">
        <v>2</v>
      </c>
      <c r="R916" t="n">
        <v>2024.9</v>
      </c>
      <c r="S916" t="b">
        <v>0</v>
      </c>
      <c r="T916" t="n">
        <v>1039077</v>
      </c>
      <c r="U916" t="n">
        <v>8</v>
      </c>
      <c r="V916" t="n">
        <v>0.0133</v>
      </c>
      <c r="W916" t="n">
        <v>0.71</v>
      </c>
      <c r="X916" t="n">
        <v>77.25</v>
      </c>
      <c r="Y916">
        <f>VLOOKUP(D916,$AB$2:$AC$7,2,FALSE)</f>
        <v/>
      </c>
      <c r="Z916">
        <f>IF(A916&lt;Y916,"Yes","No")</f>
        <v/>
      </c>
    </row>
    <row r="917">
      <c r="A917" t="n">
        <v>2013</v>
      </c>
      <c r="B917" t="inlineStr">
        <is>
          <t>Q3</t>
        </is>
      </c>
      <c r="C917" t="inlineStr">
        <is>
          <t>South America</t>
        </is>
      </c>
      <c r="D917" t="inlineStr">
        <is>
          <t>Cybertruck</t>
        </is>
      </c>
      <c r="E917" t="n">
        <v>794</v>
      </c>
      <c r="F917" t="n">
        <v>49512.01</v>
      </c>
      <c r="G917" t="n">
        <v>27</v>
      </c>
      <c r="H917" t="inlineStr">
        <is>
          <t>Performance</t>
        </is>
      </c>
      <c r="I917" t="inlineStr">
        <is>
          <t>RWD</t>
        </is>
      </c>
      <c r="J917" t="inlineStr">
        <is>
          <t>Green</t>
        </is>
      </c>
      <c r="K917" t="n">
        <v>496</v>
      </c>
      <c r="L917" t="n">
        <v>76</v>
      </c>
      <c r="M917" t="n">
        <v>20.28</v>
      </c>
      <c r="N917" t="n">
        <v>1247.95</v>
      </c>
      <c r="O917" t="n">
        <v>4.12</v>
      </c>
      <c r="P917" t="n">
        <v>8</v>
      </c>
      <c r="Q917" t="n">
        <v>3</v>
      </c>
      <c r="R917" t="n">
        <v>2024.11</v>
      </c>
      <c r="S917" t="b">
        <v>0</v>
      </c>
      <c r="T917" t="n">
        <v>1164528</v>
      </c>
      <c r="U917" t="n">
        <v>5</v>
      </c>
      <c r="V917" t="n">
        <v>0.0517</v>
      </c>
      <c r="W917" t="n">
        <v>2.5</v>
      </c>
      <c r="X917" t="n">
        <v>87.23999999999999</v>
      </c>
      <c r="Y917">
        <f>VLOOKUP(D917,$AB$2:$AC$7,2,FALSE)</f>
        <v/>
      </c>
      <c r="Z917">
        <f>IF(A917&lt;Y917,"Yes","No")</f>
        <v/>
      </c>
    </row>
    <row r="918">
      <c r="A918" t="n">
        <v>2020</v>
      </c>
      <c r="B918" t="inlineStr">
        <is>
          <t>Q3</t>
        </is>
      </c>
      <c r="C918" t="inlineStr">
        <is>
          <t>Asia</t>
        </is>
      </c>
      <c r="D918" t="inlineStr">
        <is>
          <t>Model Y</t>
        </is>
      </c>
      <c r="E918" t="n">
        <v>2170</v>
      </c>
      <c r="F918" t="n">
        <v>37009.03</v>
      </c>
      <c r="G918" t="n">
        <v>47</v>
      </c>
      <c r="H918" t="inlineStr">
        <is>
          <t>Standard</t>
        </is>
      </c>
      <c r="I918" t="inlineStr">
        <is>
          <t>RWD</t>
        </is>
      </c>
      <c r="J918" t="inlineStr">
        <is>
          <t>Green</t>
        </is>
      </c>
      <c r="K918" t="n">
        <v>635</v>
      </c>
      <c r="L918" t="n">
        <v>35</v>
      </c>
      <c r="M918" t="n">
        <v>24.72</v>
      </c>
      <c r="N918" t="n">
        <v>1560.38</v>
      </c>
      <c r="O918" t="n">
        <v>3.55</v>
      </c>
      <c r="P918" t="n">
        <v>6</v>
      </c>
      <c r="Q918" t="n">
        <v>1</v>
      </c>
      <c r="R918" t="n">
        <v>2020.7</v>
      </c>
      <c r="S918" t="b">
        <v>0</v>
      </c>
      <c r="T918" t="n">
        <v>465844</v>
      </c>
      <c r="U918" t="n">
        <v>2</v>
      </c>
      <c r="V918" t="n">
        <v>0.0463</v>
      </c>
      <c r="W918" t="n">
        <v>1.97</v>
      </c>
      <c r="X918" t="n">
        <v>82.92</v>
      </c>
      <c r="Y918">
        <f>VLOOKUP(D918,$AB$2:$AC$7,2,FALSE)</f>
        <v/>
      </c>
      <c r="Z918">
        <f>IF(A918&lt;Y918,"Yes","No")</f>
        <v/>
      </c>
    </row>
    <row r="919">
      <c r="A919" t="n">
        <v>2024</v>
      </c>
      <c r="B919" t="inlineStr">
        <is>
          <t>Q2</t>
        </is>
      </c>
      <c r="C919" t="inlineStr">
        <is>
          <t>Australia</t>
        </is>
      </c>
      <c r="D919" t="inlineStr">
        <is>
          <t>Cybertruck</t>
        </is>
      </c>
      <c r="E919" t="n">
        <v>1097</v>
      </c>
      <c r="F919" t="n">
        <v>105856.49</v>
      </c>
      <c r="G919" t="n">
        <v>50</v>
      </c>
      <c r="H919" t="inlineStr">
        <is>
          <t>Long Range</t>
        </is>
      </c>
      <c r="I919" t="inlineStr">
        <is>
          <t>AWD</t>
        </is>
      </c>
      <c r="J919" t="inlineStr">
        <is>
          <t>White</t>
        </is>
      </c>
      <c r="K919" t="n">
        <v>626</v>
      </c>
      <c r="L919" t="n">
        <v>47</v>
      </c>
      <c r="M919" t="n">
        <v>19.12</v>
      </c>
      <c r="N919" t="n">
        <v>1141.8</v>
      </c>
      <c r="O919" t="n">
        <v>4.92</v>
      </c>
      <c r="P919" t="n">
        <v>4</v>
      </c>
      <c r="Q919" t="n">
        <v>1</v>
      </c>
      <c r="R919" t="n">
        <v>2020.4</v>
      </c>
      <c r="S919" t="b">
        <v>0</v>
      </c>
      <c r="T919" t="n">
        <v>2772284</v>
      </c>
      <c r="U919" t="n">
        <v>6</v>
      </c>
      <c r="V919" t="n">
        <v>0.0489</v>
      </c>
      <c r="W919" t="n">
        <v>0.8</v>
      </c>
      <c r="X919" t="n">
        <v>85.67</v>
      </c>
      <c r="Y919">
        <f>VLOOKUP(D919,$AB$2:$AC$7,2,FALSE)</f>
        <v/>
      </c>
      <c r="Z919">
        <f>IF(A919&lt;Y919,"Yes","No")</f>
        <v/>
      </c>
    </row>
    <row r="920">
      <c r="A920" t="n">
        <v>2014</v>
      </c>
      <c r="B920" t="inlineStr">
        <is>
          <t>Q1</t>
        </is>
      </c>
      <c r="C920" t="inlineStr">
        <is>
          <t>Europe</t>
        </is>
      </c>
      <c r="D920" t="inlineStr">
        <is>
          <t>Model 3</t>
        </is>
      </c>
      <c r="E920" t="n">
        <v>4077</v>
      </c>
      <c r="F920" t="n">
        <v>93337.13</v>
      </c>
      <c r="G920" t="n">
        <v>47</v>
      </c>
      <c r="H920" t="inlineStr">
        <is>
          <t>Standard</t>
        </is>
      </c>
      <c r="I920" t="inlineStr">
        <is>
          <t>AWD</t>
        </is>
      </c>
      <c r="J920" t="inlineStr">
        <is>
          <t>White</t>
        </is>
      </c>
      <c r="K920" t="n">
        <v>518</v>
      </c>
      <c r="L920" t="n">
        <v>30</v>
      </c>
      <c r="M920" t="n">
        <v>23.54</v>
      </c>
      <c r="N920" t="n">
        <v>8246.65</v>
      </c>
      <c r="O920" t="n">
        <v>3.5</v>
      </c>
      <c r="P920" t="n">
        <v>4</v>
      </c>
      <c r="Q920" t="n">
        <v>0</v>
      </c>
      <c r="R920" t="n">
        <v>2024.9</v>
      </c>
      <c r="S920" t="b">
        <v>0</v>
      </c>
      <c r="T920" t="n">
        <v>2185968</v>
      </c>
      <c r="U920" t="n">
        <v>6</v>
      </c>
      <c r="V920" t="n">
        <v>0.0769</v>
      </c>
      <c r="W920" t="n">
        <v>2.49</v>
      </c>
      <c r="X920" t="n">
        <v>73.59999999999999</v>
      </c>
      <c r="Y920">
        <f>VLOOKUP(D920,$AB$2:$AC$7,2,FALSE)</f>
        <v/>
      </c>
      <c r="Z920">
        <f>IF(A920&lt;Y920,"Yes","No")</f>
        <v/>
      </c>
    </row>
    <row r="921">
      <c r="A921" t="n">
        <v>2021</v>
      </c>
      <c r="B921" t="inlineStr">
        <is>
          <t>Q1</t>
        </is>
      </c>
      <c r="C921" t="inlineStr">
        <is>
          <t>South America</t>
        </is>
      </c>
      <c r="D921" t="inlineStr">
        <is>
          <t>Model S</t>
        </is>
      </c>
      <c r="E921" t="n">
        <v>77</v>
      </c>
      <c r="F921" t="n">
        <v>78873.42999999999</v>
      </c>
      <c r="G921" t="n">
        <v>36</v>
      </c>
      <c r="H921" t="inlineStr">
        <is>
          <t>Performance</t>
        </is>
      </c>
      <c r="I921" t="inlineStr">
        <is>
          <t>AWD</t>
        </is>
      </c>
      <c r="J921" t="inlineStr">
        <is>
          <t>Red</t>
        </is>
      </c>
      <c r="K921" t="n">
        <v>479</v>
      </c>
      <c r="L921" t="n">
        <v>37</v>
      </c>
      <c r="M921" t="n">
        <v>17.87</v>
      </c>
      <c r="N921" t="n">
        <v>38.91</v>
      </c>
      <c r="O921" t="n">
        <v>4.37</v>
      </c>
      <c r="P921" t="n">
        <v>4</v>
      </c>
      <c r="Q921" t="n">
        <v>3</v>
      </c>
      <c r="R921" t="n">
        <v>2024.12</v>
      </c>
      <c r="S921" t="b">
        <v>1</v>
      </c>
      <c r="T921" t="n">
        <v>2072136</v>
      </c>
      <c r="U921" t="n">
        <v>4</v>
      </c>
      <c r="V921" t="n">
        <v>0.0717</v>
      </c>
      <c r="W921" t="n">
        <v>0.9</v>
      </c>
      <c r="X921" t="n">
        <v>73.7</v>
      </c>
      <c r="Y921">
        <f>VLOOKUP(D921,$AB$2:$AC$7,2,FALSE)</f>
        <v/>
      </c>
      <c r="Z921">
        <f>IF(A921&lt;Y921,"Yes","No")</f>
        <v/>
      </c>
    </row>
    <row r="922">
      <c r="A922" t="n">
        <v>2021</v>
      </c>
      <c r="B922" t="inlineStr">
        <is>
          <t>Q4</t>
        </is>
      </c>
      <c r="C922" t="inlineStr">
        <is>
          <t>South America</t>
        </is>
      </c>
      <c r="D922" t="inlineStr">
        <is>
          <t>Model S</t>
        </is>
      </c>
      <c r="E922" t="n">
        <v>3230</v>
      </c>
      <c r="F922" t="n">
        <v>35757.04</v>
      </c>
      <c r="G922" t="n">
        <v>50</v>
      </c>
      <c r="H922" t="inlineStr">
        <is>
          <t>Performance</t>
        </is>
      </c>
      <c r="I922" t="inlineStr">
        <is>
          <t>RWD</t>
        </is>
      </c>
      <c r="J922" t="inlineStr">
        <is>
          <t>White</t>
        </is>
      </c>
      <c r="K922" t="n">
        <v>628</v>
      </c>
      <c r="L922" t="n">
        <v>83</v>
      </c>
      <c r="M922" t="n">
        <v>24.41</v>
      </c>
      <c r="N922" t="n">
        <v>7705.51</v>
      </c>
      <c r="O922" t="n">
        <v>4.8</v>
      </c>
      <c r="P922" t="n">
        <v>8</v>
      </c>
      <c r="Q922" t="n">
        <v>3</v>
      </c>
      <c r="R922" t="n">
        <v>2022.7</v>
      </c>
      <c r="S922" t="b">
        <v>1</v>
      </c>
      <c r="T922" t="n">
        <v>440833</v>
      </c>
      <c r="U922" t="n">
        <v>2</v>
      </c>
      <c r="V922" t="n">
        <v>0.0121</v>
      </c>
      <c r="W922" t="n">
        <v>1.69</v>
      </c>
      <c r="X922" t="n">
        <v>85.23</v>
      </c>
      <c r="Y922">
        <f>VLOOKUP(D922,$AB$2:$AC$7,2,FALSE)</f>
        <v/>
      </c>
      <c r="Z922">
        <f>IF(A922&lt;Y922,"Yes","No")</f>
        <v/>
      </c>
    </row>
    <row r="923">
      <c r="A923" t="n">
        <v>2021</v>
      </c>
      <c r="B923" t="inlineStr">
        <is>
          <t>Q3</t>
        </is>
      </c>
      <c r="C923" t="inlineStr">
        <is>
          <t>Europe</t>
        </is>
      </c>
      <c r="D923" t="inlineStr">
        <is>
          <t>Model 3</t>
        </is>
      </c>
      <c r="E923" t="n">
        <v>3609</v>
      </c>
      <c r="F923" t="n">
        <v>45092.96</v>
      </c>
      <c r="G923" t="n">
        <v>6</v>
      </c>
      <c r="H923" t="inlineStr">
        <is>
          <t>Performance</t>
        </is>
      </c>
      <c r="I923" t="inlineStr">
        <is>
          <t>AWD</t>
        </is>
      </c>
      <c r="J923" t="inlineStr">
        <is>
          <t>Blue</t>
        </is>
      </c>
      <c r="K923" t="n">
        <v>392</v>
      </c>
      <c r="L923" t="n">
        <v>89</v>
      </c>
      <c r="M923" t="n">
        <v>14.15</v>
      </c>
      <c r="N923" t="n">
        <v>8173.52</v>
      </c>
      <c r="O923" t="n">
        <v>3.98</v>
      </c>
      <c r="P923" t="n">
        <v>6</v>
      </c>
      <c r="Q923" t="n">
        <v>2</v>
      </c>
      <c r="R923" t="n">
        <v>2022.9</v>
      </c>
      <c r="S923" t="b">
        <v>1</v>
      </c>
      <c r="T923" t="n">
        <v>4909449</v>
      </c>
      <c r="U923" t="n">
        <v>6</v>
      </c>
      <c r="V923" t="n">
        <v>0.0235</v>
      </c>
      <c r="W923" t="n">
        <v>0.54</v>
      </c>
      <c r="X923" t="n">
        <v>79.08</v>
      </c>
      <c r="Y923">
        <f>VLOOKUP(D923,$AB$2:$AC$7,2,FALSE)</f>
        <v/>
      </c>
      <c r="Z923">
        <f>IF(A923&lt;Y923,"Yes","No")</f>
        <v/>
      </c>
    </row>
    <row r="924">
      <c r="A924" t="n">
        <v>2024</v>
      </c>
      <c r="B924" t="inlineStr">
        <is>
          <t>Q1</t>
        </is>
      </c>
      <c r="C924" t="inlineStr">
        <is>
          <t>North America</t>
        </is>
      </c>
      <c r="D924" t="inlineStr">
        <is>
          <t>Model X</t>
        </is>
      </c>
      <c r="E924" t="n">
        <v>1716</v>
      </c>
      <c r="F924" t="n">
        <v>62535.06</v>
      </c>
      <c r="G924" t="n">
        <v>15</v>
      </c>
      <c r="H924" t="inlineStr">
        <is>
          <t>Long Range</t>
        </is>
      </c>
      <c r="I924" t="inlineStr">
        <is>
          <t>RWD</t>
        </is>
      </c>
      <c r="J924" t="inlineStr">
        <is>
          <t>Blue</t>
        </is>
      </c>
      <c r="K924" t="n">
        <v>365</v>
      </c>
      <c r="L924" t="n">
        <v>58</v>
      </c>
      <c r="M924" t="n">
        <v>16.86</v>
      </c>
      <c r="N924" t="n">
        <v>4095.92</v>
      </c>
      <c r="O924" t="n">
        <v>4.41</v>
      </c>
      <c r="P924" t="n">
        <v>6</v>
      </c>
      <c r="Q924" t="n">
        <v>2</v>
      </c>
      <c r="R924" t="n">
        <v>2024.12</v>
      </c>
      <c r="S924" t="b">
        <v>0</v>
      </c>
      <c r="T924" t="n">
        <v>3492537</v>
      </c>
      <c r="U924" t="n">
        <v>8</v>
      </c>
      <c r="V924" t="n">
        <v>0.0497</v>
      </c>
      <c r="W924" t="n">
        <v>1.93</v>
      </c>
      <c r="X924" t="n">
        <v>62.86</v>
      </c>
      <c r="Y924">
        <f>VLOOKUP(D924,$AB$2:$AC$7,2,FALSE)</f>
        <v/>
      </c>
      <c r="Z924">
        <f>IF(A924&lt;Y924,"Yes","No")</f>
        <v/>
      </c>
    </row>
    <row r="925">
      <c r="A925" t="n">
        <v>2020</v>
      </c>
      <c r="B925" t="inlineStr">
        <is>
          <t>Q2</t>
        </is>
      </c>
      <c r="C925" t="inlineStr">
        <is>
          <t>Asia</t>
        </is>
      </c>
      <c r="D925" t="inlineStr">
        <is>
          <t>Semi</t>
        </is>
      </c>
      <c r="E925" t="n">
        <v>181</v>
      </c>
      <c r="F925" t="n">
        <v>103859.63</v>
      </c>
      <c r="G925" t="n">
        <v>45</v>
      </c>
      <c r="H925" t="inlineStr">
        <is>
          <t>Performance</t>
        </is>
      </c>
      <c r="I925" t="inlineStr">
        <is>
          <t>AWD</t>
        </is>
      </c>
      <c r="J925" t="inlineStr">
        <is>
          <t>Green</t>
        </is>
      </c>
      <c r="K925" t="n">
        <v>609</v>
      </c>
      <c r="L925" t="n">
        <v>39</v>
      </c>
      <c r="M925" t="n">
        <v>24.05</v>
      </c>
      <c r="N925" t="n">
        <v>326.75</v>
      </c>
      <c r="O925" t="n">
        <v>4.27</v>
      </c>
      <c r="P925" t="n">
        <v>6</v>
      </c>
      <c r="Q925" t="n">
        <v>0</v>
      </c>
      <c r="R925" t="n">
        <v>2021.7</v>
      </c>
      <c r="S925" t="b">
        <v>1</v>
      </c>
      <c r="T925" t="n">
        <v>382534</v>
      </c>
      <c r="U925" t="n">
        <v>10</v>
      </c>
      <c r="V925" t="n">
        <v>0.0412</v>
      </c>
      <c r="W925" t="n">
        <v>2.27</v>
      </c>
      <c r="X925" t="n">
        <v>74.91</v>
      </c>
      <c r="Y925">
        <f>VLOOKUP(D925,$AB$2:$AC$7,2,FALSE)</f>
        <v/>
      </c>
      <c r="Z925">
        <f>IF(A925&lt;Y925,"Yes","No")</f>
        <v/>
      </c>
    </row>
    <row r="926">
      <c r="A926" t="n">
        <v>2023</v>
      </c>
      <c r="B926" t="inlineStr">
        <is>
          <t>Q3</t>
        </is>
      </c>
      <c r="C926" t="inlineStr">
        <is>
          <t>Europe</t>
        </is>
      </c>
      <c r="D926" t="inlineStr">
        <is>
          <t>Model Y</t>
        </is>
      </c>
      <c r="E926" t="n">
        <v>1912</v>
      </c>
      <c r="F926" t="n">
        <v>102121.83</v>
      </c>
      <c r="G926" t="n">
        <v>22</v>
      </c>
      <c r="H926" t="inlineStr">
        <is>
          <t>Performance</t>
        </is>
      </c>
      <c r="I926" t="inlineStr">
        <is>
          <t>AWD</t>
        </is>
      </c>
      <c r="J926" t="inlineStr">
        <is>
          <t>Blue</t>
        </is>
      </c>
      <c r="K926" t="n">
        <v>509</v>
      </c>
      <c r="L926" t="n">
        <v>40</v>
      </c>
      <c r="M926" t="n">
        <v>24.41</v>
      </c>
      <c r="N926" t="n">
        <v>1805.96</v>
      </c>
      <c r="O926" t="n">
        <v>4.99</v>
      </c>
      <c r="P926" t="n">
        <v>4</v>
      </c>
      <c r="Q926" t="n">
        <v>0</v>
      </c>
      <c r="R926" t="n">
        <v>2022.2</v>
      </c>
      <c r="S926" t="b">
        <v>1</v>
      </c>
      <c r="T926" t="n">
        <v>894411</v>
      </c>
      <c r="U926" t="n">
        <v>10</v>
      </c>
      <c r="V926" t="n">
        <v>0.0955</v>
      </c>
      <c r="W926" t="n">
        <v>1.6</v>
      </c>
      <c r="X926" t="n">
        <v>69.95999999999999</v>
      </c>
      <c r="Y926">
        <f>VLOOKUP(D926,$AB$2:$AC$7,2,FALSE)</f>
        <v/>
      </c>
      <c r="Z926">
        <f>IF(A926&lt;Y926,"Yes","No")</f>
        <v/>
      </c>
    </row>
    <row r="927">
      <c r="A927" t="n">
        <v>2020</v>
      </c>
      <c r="B927" t="inlineStr">
        <is>
          <t>Q1</t>
        </is>
      </c>
      <c r="C927" t="inlineStr">
        <is>
          <t>Australia</t>
        </is>
      </c>
      <c r="D927" t="inlineStr">
        <is>
          <t>Model S</t>
        </is>
      </c>
      <c r="E927" t="n">
        <v>1497</v>
      </c>
      <c r="F927" t="n">
        <v>101835.65</v>
      </c>
      <c r="G927" t="n">
        <v>20</v>
      </c>
      <c r="H927" t="inlineStr">
        <is>
          <t>Long Range</t>
        </is>
      </c>
      <c r="I927" t="inlineStr">
        <is>
          <t>AWD</t>
        </is>
      </c>
      <c r="J927" t="inlineStr">
        <is>
          <t>White</t>
        </is>
      </c>
      <c r="K927" t="n">
        <v>690</v>
      </c>
      <c r="L927" t="n">
        <v>85</v>
      </c>
      <c r="M927" t="n">
        <v>23.71</v>
      </c>
      <c r="N927" t="n">
        <v>1091.08</v>
      </c>
      <c r="O927" t="n">
        <v>3.55</v>
      </c>
      <c r="P927" t="n">
        <v>8</v>
      </c>
      <c r="Q927" t="n">
        <v>1</v>
      </c>
      <c r="R927" t="n">
        <v>2021.1</v>
      </c>
      <c r="S927" t="b">
        <v>0</v>
      </c>
      <c r="T927" t="n">
        <v>3677494</v>
      </c>
      <c r="U927" t="n">
        <v>8</v>
      </c>
      <c r="V927" t="n">
        <v>0.0121</v>
      </c>
      <c r="W927" t="n">
        <v>0.67</v>
      </c>
      <c r="X927" t="n">
        <v>76.84999999999999</v>
      </c>
      <c r="Y927">
        <f>VLOOKUP(D927,$AB$2:$AC$7,2,FALSE)</f>
        <v/>
      </c>
      <c r="Z927">
        <f>IF(A927&lt;Y927,"Yes","No")</f>
        <v/>
      </c>
    </row>
    <row r="928">
      <c r="A928" t="n">
        <v>2020</v>
      </c>
      <c r="B928" t="inlineStr">
        <is>
          <t>Q2</t>
        </is>
      </c>
      <c r="C928" t="inlineStr">
        <is>
          <t>Australia</t>
        </is>
      </c>
      <c r="D928" t="inlineStr">
        <is>
          <t>Model S</t>
        </is>
      </c>
      <c r="E928" t="n">
        <v>292</v>
      </c>
      <c r="F928" t="n">
        <v>42627.14</v>
      </c>
      <c r="G928" t="n">
        <v>56</v>
      </c>
      <c r="H928" t="inlineStr">
        <is>
          <t>Performance</t>
        </is>
      </c>
      <c r="I928" t="inlineStr">
        <is>
          <t>AWD</t>
        </is>
      </c>
      <c r="J928" t="inlineStr">
        <is>
          <t>Black</t>
        </is>
      </c>
      <c r="K928" t="n">
        <v>415</v>
      </c>
      <c r="L928" t="n">
        <v>66</v>
      </c>
      <c r="M928" t="n">
        <v>21.82</v>
      </c>
      <c r="N928" t="n">
        <v>686.33</v>
      </c>
      <c r="O928" t="n">
        <v>4.14</v>
      </c>
      <c r="P928" t="n">
        <v>6</v>
      </c>
      <c r="Q928" t="n">
        <v>0</v>
      </c>
      <c r="R928" t="n">
        <v>2021.1</v>
      </c>
      <c r="S928" t="b">
        <v>0</v>
      </c>
      <c r="T928" t="n">
        <v>4565688</v>
      </c>
      <c r="U928" t="n">
        <v>7</v>
      </c>
      <c r="V928" t="n">
        <v>0.011</v>
      </c>
      <c r="W928" t="n">
        <v>1.97</v>
      </c>
      <c r="X928" t="n">
        <v>73.06</v>
      </c>
      <c r="Y928">
        <f>VLOOKUP(D928,$AB$2:$AC$7,2,FALSE)</f>
        <v/>
      </c>
      <c r="Z928">
        <f>IF(A928&lt;Y928,"Yes","No")</f>
        <v/>
      </c>
    </row>
    <row r="929">
      <c r="A929" t="n">
        <v>2017</v>
      </c>
      <c r="B929" t="inlineStr">
        <is>
          <t>Q2</t>
        </is>
      </c>
      <c r="C929" t="inlineStr">
        <is>
          <t>Asia</t>
        </is>
      </c>
      <c r="D929" t="inlineStr">
        <is>
          <t>Model X</t>
        </is>
      </c>
      <c r="E929" t="n">
        <v>3177</v>
      </c>
      <c r="F929" t="n">
        <v>96659.52</v>
      </c>
      <c r="G929" t="n">
        <v>56</v>
      </c>
      <c r="H929" t="inlineStr">
        <is>
          <t>Long Range</t>
        </is>
      </c>
      <c r="I929" t="inlineStr">
        <is>
          <t>AWD</t>
        </is>
      </c>
      <c r="J929" t="inlineStr">
        <is>
          <t>Black</t>
        </is>
      </c>
      <c r="K929" t="n">
        <v>575</v>
      </c>
      <c r="L929" t="n">
        <v>56</v>
      </c>
      <c r="M929" t="n">
        <v>24.85</v>
      </c>
      <c r="N929" t="n">
        <v>7002.94</v>
      </c>
      <c r="O929" t="n">
        <v>3.95</v>
      </c>
      <c r="P929" t="n">
        <v>4</v>
      </c>
      <c r="Q929" t="n">
        <v>0</v>
      </c>
      <c r="R929" t="n">
        <v>2024.2</v>
      </c>
      <c r="S929" t="b">
        <v>0</v>
      </c>
      <c r="T929" t="n">
        <v>2084726</v>
      </c>
      <c r="U929" t="n">
        <v>2</v>
      </c>
      <c r="V929" t="n">
        <v>0.0429</v>
      </c>
      <c r="W929" t="n">
        <v>1.94</v>
      </c>
      <c r="X929" t="n">
        <v>83.95999999999999</v>
      </c>
      <c r="Y929">
        <f>VLOOKUP(D929,$AB$2:$AC$7,2,FALSE)</f>
        <v/>
      </c>
      <c r="Z929">
        <f>IF(A929&lt;Y929,"Yes","No")</f>
        <v/>
      </c>
    </row>
    <row r="930">
      <c r="A930" t="n">
        <v>2015</v>
      </c>
      <c r="B930" t="inlineStr">
        <is>
          <t>Q3</t>
        </is>
      </c>
      <c r="C930" t="inlineStr">
        <is>
          <t>Australia</t>
        </is>
      </c>
      <c r="D930" t="inlineStr">
        <is>
          <t>Model 3</t>
        </is>
      </c>
      <c r="E930" t="n">
        <v>2175</v>
      </c>
      <c r="F930" t="n">
        <v>54964.67</v>
      </c>
      <c r="G930" t="n">
        <v>35</v>
      </c>
      <c r="H930" t="inlineStr">
        <is>
          <t>Long Range</t>
        </is>
      </c>
      <c r="I930" t="inlineStr">
        <is>
          <t>AWD</t>
        </is>
      </c>
      <c r="J930" t="inlineStr">
        <is>
          <t>Blue</t>
        </is>
      </c>
      <c r="K930" t="n">
        <v>559</v>
      </c>
      <c r="L930" t="n">
        <v>64</v>
      </c>
      <c r="M930" t="n">
        <v>15.03</v>
      </c>
      <c r="N930" t="n">
        <v>5177.38</v>
      </c>
      <c r="O930" t="n">
        <v>4.64</v>
      </c>
      <c r="P930" t="n">
        <v>5</v>
      </c>
      <c r="Q930" t="n">
        <v>3</v>
      </c>
      <c r="R930" t="n">
        <v>2021.7</v>
      </c>
      <c r="S930" t="b">
        <v>0</v>
      </c>
      <c r="T930" t="n">
        <v>131820</v>
      </c>
      <c r="U930" t="n">
        <v>10</v>
      </c>
      <c r="V930" t="n">
        <v>0.0453</v>
      </c>
      <c r="W930" t="n">
        <v>1.34</v>
      </c>
      <c r="X930" t="n">
        <v>84.28</v>
      </c>
      <c r="Y930">
        <f>VLOOKUP(D930,$AB$2:$AC$7,2,FALSE)</f>
        <v/>
      </c>
      <c r="Z930">
        <f>IF(A930&lt;Y930,"Yes","No")</f>
        <v/>
      </c>
    </row>
    <row r="931">
      <c r="A931" t="n">
        <v>2017</v>
      </c>
      <c r="B931" t="inlineStr">
        <is>
          <t>Q4</t>
        </is>
      </c>
      <c r="C931" t="inlineStr">
        <is>
          <t>Europe</t>
        </is>
      </c>
      <c r="D931" t="inlineStr">
        <is>
          <t>Model 3</t>
        </is>
      </c>
      <c r="E931" t="n">
        <v>2311</v>
      </c>
      <c r="F931" t="n">
        <v>118603.03</v>
      </c>
      <c r="G931" t="n">
        <v>59</v>
      </c>
      <c r="H931" t="inlineStr">
        <is>
          <t>Performance</t>
        </is>
      </c>
      <c r="I931" t="inlineStr">
        <is>
          <t>RWD</t>
        </is>
      </c>
      <c r="J931" t="inlineStr">
        <is>
          <t>Blue</t>
        </is>
      </c>
      <c r="K931" t="n">
        <v>629</v>
      </c>
      <c r="L931" t="n">
        <v>58</v>
      </c>
      <c r="M931" t="n">
        <v>19.13</v>
      </c>
      <c r="N931" t="n">
        <v>5057.9</v>
      </c>
      <c r="O931" t="n">
        <v>4.69</v>
      </c>
      <c r="P931" t="n">
        <v>6</v>
      </c>
      <c r="Q931" t="n">
        <v>3</v>
      </c>
      <c r="R931" t="n">
        <v>2023.2</v>
      </c>
      <c r="S931" t="b">
        <v>1</v>
      </c>
      <c r="T931" t="n">
        <v>4950134</v>
      </c>
      <c r="U931" t="n">
        <v>2</v>
      </c>
      <c r="V931" t="n">
        <v>0.0675</v>
      </c>
      <c r="W931" t="n">
        <v>1.22</v>
      </c>
      <c r="X931" t="n">
        <v>61.09</v>
      </c>
      <c r="Y931">
        <f>VLOOKUP(D931,$AB$2:$AC$7,2,FALSE)</f>
        <v/>
      </c>
      <c r="Z931">
        <f>IF(A931&lt;Y931,"Yes","No")</f>
        <v/>
      </c>
    </row>
    <row r="932">
      <c r="A932" t="n">
        <v>2013</v>
      </c>
      <c r="B932" t="inlineStr">
        <is>
          <t>Q3</t>
        </is>
      </c>
      <c r="C932" t="inlineStr">
        <is>
          <t>South America</t>
        </is>
      </c>
      <c r="D932" t="inlineStr">
        <is>
          <t>Cybertruck</t>
        </is>
      </c>
      <c r="E932" t="n">
        <v>4009</v>
      </c>
      <c r="F932" t="n">
        <v>119440.85</v>
      </c>
      <c r="G932" t="n">
        <v>9</v>
      </c>
      <c r="H932" t="inlineStr">
        <is>
          <t>Standard</t>
        </is>
      </c>
      <c r="I932" t="inlineStr">
        <is>
          <t>AWD</t>
        </is>
      </c>
      <c r="J932" t="inlineStr">
        <is>
          <t>White</t>
        </is>
      </c>
      <c r="K932" t="n">
        <v>489</v>
      </c>
      <c r="L932" t="n">
        <v>81</v>
      </c>
      <c r="M932" t="n">
        <v>15.51</v>
      </c>
      <c r="N932" t="n">
        <v>2434.65</v>
      </c>
      <c r="O932" t="n">
        <v>4.59</v>
      </c>
      <c r="P932" t="n">
        <v>8</v>
      </c>
      <c r="Q932" t="n">
        <v>1</v>
      </c>
      <c r="R932" t="n">
        <v>2020.3</v>
      </c>
      <c r="S932" t="b">
        <v>1</v>
      </c>
      <c r="T932" t="n">
        <v>2920907</v>
      </c>
      <c r="U932" t="n">
        <v>12</v>
      </c>
      <c r="V932" t="n">
        <v>0.049</v>
      </c>
      <c r="W932" t="n">
        <v>1.01</v>
      </c>
      <c r="X932" t="n">
        <v>82.15000000000001</v>
      </c>
      <c r="Y932">
        <f>VLOOKUP(D932,$AB$2:$AC$7,2,FALSE)</f>
        <v/>
      </c>
      <c r="Z932">
        <f>IF(A932&lt;Y932,"Yes","No")</f>
        <v/>
      </c>
    </row>
    <row r="933">
      <c r="A933" t="n">
        <v>2017</v>
      </c>
      <c r="B933" t="inlineStr">
        <is>
          <t>Q2</t>
        </is>
      </c>
      <c r="C933" t="inlineStr">
        <is>
          <t>Asia</t>
        </is>
      </c>
      <c r="D933" t="inlineStr">
        <is>
          <t>Model X</t>
        </is>
      </c>
      <c r="E933" t="n">
        <v>4759</v>
      </c>
      <c r="F933" t="n">
        <v>101780.65</v>
      </c>
      <c r="G933" t="n">
        <v>1</v>
      </c>
      <c r="H933" t="inlineStr">
        <is>
          <t>Long Range</t>
        </is>
      </c>
      <c r="I933" t="inlineStr">
        <is>
          <t>RWD</t>
        </is>
      </c>
      <c r="J933" t="inlineStr">
        <is>
          <t>White</t>
        </is>
      </c>
      <c r="K933" t="n">
        <v>679</v>
      </c>
      <c r="L933" t="n">
        <v>82</v>
      </c>
      <c r="M933" t="n">
        <v>14.06</v>
      </c>
      <c r="N933" t="n">
        <v>3557.11</v>
      </c>
      <c r="O933" t="n">
        <v>4.51</v>
      </c>
      <c r="P933" t="n">
        <v>8</v>
      </c>
      <c r="Q933" t="n">
        <v>1</v>
      </c>
      <c r="R933" t="n">
        <v>2024.9</v>
      </c>
      <c r="S933" t="b">
        <v>1</v>
      </c>
      <c r="T933" t="n">
        <v>4555998</v>
      </c>
      <c r="U933" t="n">
        <v>4</v>
      </c>
      <c r="V933" t="n">
        <v>0.0517</v>
      </c>
      <c r="W933" t="n">
        <v>0.51</v>
      </c>
      <c r="X933" t="n">
        <v>80.06</v>
      </c>
      <c r="Y933">
        <f>VLOOKUP(D933,$AB$2:$AC$7,2,FALSE)</f>
        <v/>
      </c>
      <c r="Z933">
        <f>IF(A933&lt;Y933,"Yes","No")</f>
        <v/>
      </c>
    </row>
    <row r="934">
      <c r="A934" t="n">
        <v>2015</v>
      </c>
      <c r="B934" t="inlineStr">
        <is>
          <t>Q3</t>
        </is>
      </c>
      <c r="C934" t="inlineStr">
        <is>
          <t>Europe</t>
        </is>
      </c>
      <c r="D934" t="inlineStr">
        <is>
          <t>Model X</t>
        </is>
      </c>
      <c r="E934" t="n">
        <v>4856</v>
      </c>
      <c r="F934" t="n">
        <v>102061.18</v>
      </c>
      <c r="G934" t="n">
        <v>32</v>
      </c>
      <c r="H934" t="inlineStr">
        <is>
          <t>Performance</t>
        </is>
      </c>
      <c r="I934" t="inlineStr">
        <is>
          <t>AWD</t>
        </is>
      </c>
      <c r="J934" t="inlineStr">
        <is>
          <t>Green</t>
        </is>
      </c>
      <c r="K934" t="n">
        <v>383</v>
      </c>
      <c r="L934" t="n">
        <v>63</v>
      </c>
      <c r="M934" t="n">
        <v>19.2</v>
      </c>
      <c r="N934" t="n">
        <v>8125.9</v>
      </c>
      <c r="O934" t="n">
        <v>4.13</v>
      </c>
      <c r="P934" t="n">
        <v>4</v>
      </c>
      <c r="Q934" t="n">
        <v>3</v>
      </c>
      <c r="R934" t="n">
        <v>2023.5</v>
      </c>
      <c r="S934" t="b">
        <v>1</v>
      </c>
      <c r="T934" t="n">
        <v>3013503</v>
      </c>
      <c r="U934" t="n">
        <v>3</v>
      </c>
      <c r="V934" t="n">
        <v>0.0835</v>
      </c>
      <c r="W934" t="n">
        <v>2.49</v>
      </c>
      <c r="X934" t="n">
        <v>65.45</v>
      </c>
      <c r="Y934">
        <f>VLOOKUP(D934,$AB$2:$AC$7,2,FALSE)</f>
        <v/>
      </c>
      <c r="Z934">
        <f>IF(A934&lt;Y934,"Yes","No")</f>
        <v/>
      </c>
    </row>
    <row r="935">
      <c r="A935" t="n">
        <v>2014</v>
      </c>
      <c r="B935" t="inlineStr">
        <is>
          <t>Q3</t>
        </is>
      </c>
      <c r="C935" t="inlineStr">
        <is>
          <t>Asia</t>
        </is>
      </c>
      <c r="D935" t="inlineStr">
        <is>
          <t>Model 3</t>
        </is>
      </c>
      <c r="E935" t="n">
        <v>2335</v>
      </c>
      <c r="F935" t="n">
        <v>41992.25</v>
      </c>
      <c r="G935" t="n">
        <v>46</v>
      </c>
      <c r="H935" t="inlineStr">
        <is>
          <t>Standard</t>
        </is>
      </c>
      <c r="I935" t="inlineStr">
        <is>
          <t>AWD</t>
        </is>
      </c>
      <c r="J935" t="inlineStr">
        <is>
          <t>Red</t>
        </is>
      </c>
      <c r="K935" t="n">
        <v>410</v>
      </c>
      <c r="L935" t="n">
        <v>75</v>
      </c>
      <c r="M935" t="n">
        <v>17.82</v>
      </c>
      <c r="N935" t="n">
        <v>2619.66</v>
      </c>
      <c r="O935" t="n">
        <v>4.62</v>
      </c>
      <c r="P935" t="n">
        <v>8</v>
      </c>
      <c r="Q935" t="n">
        <v>0</v>
      </c>
      <c r="R935" t="n">
        <v>2021.8</v>
      </c>
      <c r="S935" t="b">
        <v>1</v>
      </c>
      <c r="T935" t="n">
        <v>942888</v>
      </c>
      <c r="U935" t="n">
        <v>12</v>
      </c>
      <c r="V935" t="n">
        <v>0.0885</v>
      </c>
      <c r="W935" t="n">
        <v>1.27</v>
      </c>
      <c r="X935" t="n">
        <v>89.62</v>
      </c>
      <c r="Y935">
        <f>VLOOKUP(D935,$AB$2:$AC$7,2,FALSE)</f>
        <v/>
      </c>
      <c r="Z935">
        <f>IF(A935&lt;Y935,"Yes","No")</f>
        <v/>
      </c>
    </row>
    <row r="936">
      <c r="A936" t="n">
        <v>2015</v>
      </c>
      <c r="B936" t="inlineStr">
        <is>
          <t>Q2</t>
        </is>
      </c>
      <c r="C936" t="inlineStr">
        <is>
          <t>North America</t>
        </is>
      </c>
      <c r="D936" t="inlineStr">
        <is>
          <t>Semi</t>
        </is>
      </c>
      <c r="E936" t="n">
        <v>1701</v>
      </c>
      <c r="F936" t="n">
        <v>43927.94</v>
      </c>
      <c r="G936" t="n">
        <v>28</v>
      </c>
      <c r="H936" t="inlineStr">
        <is>
          <t>Performance</t>
        </is>
      </c>
      <c r="I936" t="inlineStr">
        <is>
          <t>AWD</t>
        </is>
      </c>
      <c r="J936" t="inlineStr">
        <is>
          <t>Red</t>
        </is>
      </c>
      <c r="K936" t="n">
        <v>395</v>
      </c>
      <c r="L936" t="n">
        <v>81</v>
      </c>
      <c r="M936" t="n">
        <v>16.31</v>
      </c>
      <c r="N936" t="n">
        <v>4042.8</v>
      </c>
      <c r="O936" t="n">
        <v>3.81</v>
      </c>
      <c r="P936" t="n">
        <v>8</v>
      </c>
      <c r="Q936" t="n">
        <v>0</v>
      </c>
      <c r="R936" t="n">
        <v>2021.2</v>
      </c>
      <c r="S936" t="b">
        <v>0</v>
      </c>
      <c r="T936" t="n">
        <v>929645</v>
      </c>
      <c r="U936" t="n">
        <v>11</v>
      </c>
      <c r="V936" t="n">
        <v>0.08400000000000001</v>
      </c>
      <c r="W936" t="n">
        <v>2.02</v>
      </c>
      <c r="X936" t="n">
        <v>76.64</v>
      </c>
      <c r="Y936">
        <f>VLOOKUP(D936,$AB$2:$AC$7,2,FALSE)</f>
        <v/>
      </c>
      <c r="Z936">
        <f>IF(A936&lt;Y936,"Yes","No")</f>
        <v/>
      </c>
    </row>
    <row r="937">
      <c r="A937" t="n">
        <v>2012</v>
      </c>
      <c r="B937" t="inlineStr">
        <is>
          <t>Q1</t>
        </is>
      </c>
      <c r="C937" t="inlineStr">
        <is>
          <t>Australia</t>
        </is>
      </c>
      <c r="D937" t="inlineStr">
        <is>
          <t>Model 3</t>
        </is>
      </c>
      <c r="E937" t="n">
        <v>2956</v>
      </c>
      <c r="F937" t="n">
        <v>93118.14999999999</v>
      </c>
      <c r="G937" t="n">
        <v>39</v>
      </c>
      <c r="H937" t="inlineStr">
        <is>
          <t>Standard</t>
        </is>
      </c>
      <c r="I937" t="inlineStr">
        <is>
          <t>RWD</t>
        </is>
      </c>
      <c r="J937" t="inlineStr">
        <is>
          <t>Red</t>
        </is>
      </c>
      <c r="K937" t="n">
        <v>647</v>
      </c>
      <c r="L937" t="n">
        <v>71</v>
      </c>
      <c r="M937" t="n">
        <v>16.42</v>
      </c>
      <c r="N937" t="n">
        <v>7261.02</v>
      </c>
      <c r="O937" t="n">
        <v>4.2</v>
      </c>
      <c r="P937" t="n">
        <v>6</v>
      </c>
      <c r="Q937" t="n">
        <v>2</v>
      </c>
      <c r="R937" t="n">
        <v>2020.11</v>
      </c>
      <c r="S937" t="b">
        <v>1</v>
      </c>
      <c r="T937" t="n">
        <v>746269</v>
      </c>
      <c r="U937" t="n">
        <v>5</v>
      </c>
      <c r="V937" t="n">
        <v>0.09619999999999999</v>
      </c>
      <c r="W937" t="n">
        <v>1.18</v>
      </c>
      <c r="X937" t="n">
        <v>70.13</v>
      </c>
      <c r="Y937">
        <f>VLOOKUP(D937,$AB$2:$AC$7,2,FALSE)</f>
        <v/>
      </c>
      <c r="Z937">
        <f>IF(A937&lt;Y937,"Yes","No")</f>
        <v/>
      </c>
    </row>
    <row r="938">
      <c r="A938" t="n">
        <v>2014</v>
      </c>
      <c r="B938" t="inlineStr">
        <is>
          <t>Q1</t>
        </is>
      </c>
      <c r="C938" t="inlineStr">
        <is>
          <t>North America</t>
        </is>
      </c>
      <c r="D938" t="inlineStr">
        <is>
          <t>Model Y</t>
        </is>
      </c>
      <c r="E938" t="n">
        <v>1413</v>
      </c>
      <c r="F938" t="n">
        <v>82439.5</v>
      </c>
      <c r="G938" t="n">
        <v>43</v>
      </c>
      <c r="H938" t="inlineStr">
        <is>
          <t>Long Range</t>
        </is>
      </c>
      <c r="I938" t="inlineStr">
        <is>
          <t>AWD</t>
        </is>
      </c>
      <c r="J938" t="inlineStr">
        <is>
          <t>Blue</t>
        </is>
      </c>
      <c r="K938" t="n">
        <v>420</v>
      </c>
      <c r="L938" t="n">
        <v>79</v>
      </c>
      <c r="M938" t="n">
        <v>18.62</v>
      </c>
      <c r="N938" t="n">
        <v>2855.54</v>
      </c>
      <c r="O938" t="n">
        <v>4.57</v>
      </c>
      <c r="P938" t="n">
        <v>8</v>
      </c>
      <c r="Q938" t="n">
        <v>0</v>
      </c>
      <c r="R938" t="n">
        <v>2023.2</v>
      </c>
      <c r="S938" t="b">
        <v>0</v>
      </c>
      <c r="T938" t="n">
        <v>330605</v>
      </c>
      <c r="U938" t="n">
        <v>10</v>
      </c>
      <c r="V938" t="n">
        <v>0.0721</v>
      </c>
      <c r="W938" t="n">
        <v>0.72</v>
      </c>
      <c r="X938" t="n">
        <v>78.47</v>
      </c>
      <c r="Y938">
        <f>VLOOKUP(D938,$AB$2:$AC$7,2,FALSE)</f>
        <v/>
      </c>
      <c r="Z938">
        <f>IF(A938&lt;Y938,"Yes","No")</f>
        <v/>
      </c>
    </row>
    <row r="939">
      <c r="A939" t="n">
        <v>2014</v>
      </c>
      <c r="B939" t="inlineStr">
        <is>
          <t>Q2</t>
        </is>
      </c>
      <c r="C939" t="inlineStr">
        <is>
          <t>Europe</t>
        </is>
      </c>
      <c r="D939" t="inlineStr">
        <is>
          <t>Semi</t>
        </is>
      </c>
      <c r="E939" t="n">
        <v>4930</v>
      </c>
      <c r="F939" t="n">
        <v>109724.8</v>
      </c>
      <c r="G939" t="n">
        <v>37</v>
      </c>
      <c r="H939" t="inlineStr">
        <is>
          <t>Performance</t>
        </is>
      </c>
      <c r="I939" t="inlineStr">
        <is>
          <t>RWD</t>
        </is>
      </c>
      <c r="J939" t="inlineStr">
        <is>
          <t>White</t>
        </is>
      </c>
      <c r="K939" t="n">
        <v>596</v>
      </c>
      <c r="L939" t="n">
        <v>61</v>
      </c>
      <c r="M939" t="n">
        <v>22.3</v>
      </c>
      <c r="N939" t="n">
        <v>7744.77</v>
      </c>
      <c r="O939" t="n">
        <v>4.23</v>
      </c>
      <c r="P939" t="n">
        <v>5</v>
      </c>
      <c r="Q939" t="n">
        <v>0</v>
      </c>
      <c r="R939" t="n">
        <v>2023.7</v>
      </c>
      <c r="S939" t="b">
        <v>1</v>
      </c>
      <c r="T939" t="n">
        <v>158503</v>
      </c>
      <c r="U939" t="n">
        <v>4</v>
      </c>
      <c r="V939" t="n">
        <v>0.0818</v>
      </c>
      <c r="W939" t="n">
        <v>1.59</v>
      </c>
      <c r="X939" t="n">
        <v>80.20999999999999</v>
      </c>
      <c r="Y939">
        <f>VLOOKUP(D939,$AB$2:$AC$7,2,FALSE)</f>
        <v/>
      </c>
      <c r="Z939">
        <f>IF(A939&lt;Y939,"Yes","No")</f>
        <v/>
      </c>
    </row>
    <row r="940">
      <c r="A940" t="n">
        <v>2023</v>
      </c>
      <c r="B940" t="inlineStr">
        <is>
          <t>Q3</t>
        </is>
      </c>
      <c r="C940" t="inlineStr">
        <is>
          <t>Asia</t>
        </is>
      </c>
      <c r="D940" t="inlineStr">
        <is>
          <t>Model Y</t>
        </is>
      </c>
      <c r="E940" t="n">
        <v>4150</v>
      </c>
      <c r="F940" t="n">
        <v>37675.62</v>
      </c>
      <c r="G940" t="n">
        <v>10</v>
      </c>
      <c r="H940" t="inlineStr">
        <is>
          <t>Performance</t>
        </is>
      </c>
      <c r="I940" t="inlineStr">
        <is>
          <t>RWD</t>
        </is>
      </c>
      <c r="J940" t="inlineStr">
        <is>
          <t>Green</t>
        </is>
      </c>
      <c r="K940" t="n">
        <v>500</v>
      </c>
      <c r="L940" t="n">
        <v>42</v>
      </c>
      <c r="M940" t="n">
        <v>22.58</v>
      </c>
      <c r="N940" t="n">
        <v>3195.11</v>
      </c>
      <c r="O940" t="n">
        <v>4.81</v>
      </c>
      <c r="P940" t="n">
        <v>5</v>
      </c>
      <c r="Q940" t="n">
        <v>1</v>
      </c>
      <c r="R940" t="n">
        <v>2020.7</v>
      </c>
      <c r="S940" t="b">
        <v>1</v>
      </c>
      <c r="T940" t="n">
        <v>3325015</v>
      </c>
      <c r="U940" t="n">
        <v>11</v>
      </c>
      <c r="V940" t="n">
        <v>0.0702</v>
      </c>
      <c r="W940" t="n">
        <v>1.26</v>
      </c>
      <c r="X940" t="n">
        <v>70.56999999999999</v>
      </c>
      <c r="Y940">
        <f>VLOOKUP(D940,$AB$2:$AC$7,2,FALSE)</f>
        <v/>
      </c>
      <c r="Z940">
        <f>IF(A940&lt;Y940,"Yes","No")</f>
        <v/>
      </c>
    </row>
    <row r="941">
      <c r="A941" t="n">
        <v>2019</v>
      </c>
      <c r="B941" t="inlineStr">
        <is>
          <t>Q3</t>
        </is>
      </c>
      <c r="C941" t="inlineStr">
        <is>
          <t>Australia</t>
        </is>
      </c>
      <c r="D941" t="inlineStr">
        <is>
          <t>Semi</t>
        </is>
      </c>
      <c r="E941" t="n">
        <v>3917</v>
      </c>
      <c r="F941" t="n">
        <v>36693.46</v>
      </c>
      <c r="G941" t="n">
        <v>51</v>
      </c>
      <c r="H941" t="inlineStr">
        <is>
          <t>Long Range</t>
        </is>
      </c>
      <c r="I941" t="inlineStr">
        <is>
          <t>RWD</t>
        </is>
      </c>
      <c r="J941" t="inlineStr">
        <is>
          <t>Red</t>
        </is>
      </c>
      <c r="K941" t="n">
        <v>573</v>
      </c>
      <c r="L941" t="n">
        <v>69</v>
      </c>
      <c r="M941" t="n">
        <v>21.28</v>
      </c>
      <c r="N941" t="n">
        <v>3884.94</v>
      </c>
      <c r="O941" t="n">
        <v>4.77</v>
      </c>
      <c r="P941" t="n">
        <v>6</v>
      </c>
      <c r="Q941" t="n">
        <v>1</v>
      </c>
      <c r="R941" t="n">
        <v>2020.6</v>
      </c>
      <c r="S941" t="b">
        <v>1</v>
      </c>
      <c r="T941" t="n">
        <v>1068381</v>
      </c>
      <c r="U941" t="n">
        <v>8</v>
      </c>
      <c r="V941" t="n">
        <v>0.0905</v>
      </c>
      <c r="W941" t="n">
        <v>2.15</v>
      </c>
      <c r="X941" t="n">
        <v>71.65000000000001</v>
      </c>
      <c r="Y941">
        <f>VLOOKUP(D941,$AB$2:$AC$7,2,FALSE)</f>
        <v/>
      </c>
      <c r="Z941">
        <f>IF(A941&lt;Y941,"Yes","No")</f>
        <v/>
      </c>
    </row>
    <row r="942">
      <c r="A942" t="n">
        <v>2012</v>
      </c>
      <c r="B942" t="inlineStr">
        <is>
          <t>Q4</t>
        </is>
      </c>
      <c r="C942" t="inlineStr">
        <is>
          <t>North America</t>
        </is>
      </c>
      <c r="D942" t="inlineStr">
        <is>
          <t>Model 3</t>
        </is>
      </c>
      <c r="E942" t="n">
        <v>1668</v>
      </c>
      <c r="F942" t="n">
        <v>65938.19</v>
      </c>
      <c r="G942" t="n">
        <v>60</v>
      </c>
      <c r="H942" t="inlineStr">
        <is>
          <t>Performance</t>
        </is>
      </c>
      <c r="I942" t="inlineStr">
        <is>
          <t>RWD</t>
        </is>
      </c>
      <c r="J942" t="inlineStr">
        <is>
          <t>Black</t>
        </is>
      </c>
      <c r="K942" t="n">
        <v>494</v>
      </c>
      <c r="L942" t="n">
        <v>84</v>
      </c>
      <c r="M942" t="n">
        <v>15.54</v>
      </c>
      <c r="N942" t="n">
        <v>3329.52</v>
      </c>
      <c r="O942" t="n">
        <v>3.67</v>
      </c>
      <c r="P942" t="n">
        <v>5</v>
      </c>
      <c r="Q942" t="n">
        <v>1</v>
      </c>
      <c r="R942" t="n">
        <v>2022.9</v>
      </c>
      <c r="S942" t="b">
        <v>0</v>
      </c>
      <c r="T942" t="n">
        <v>4322734</v>
      </c>
      <c r="U942" t="n">
        <v>3</v>
      </c>
      <c r="V942" t="n">
        <v>0.0298</v>
      </c>
      <c r="W942" t="n">
        <v>0.52</v>
      </c>
      <c r="X942" t="n">
        <v>87.39</v>
      </c>
      <c r="Y942">
        <f>VLOOKUP(D942,$AB$2:$AC$7,2,FALSE)</f>
        <v/>
      </c>
      <c r="Z942">
        <f>IF(A942&lt;Y942,"Yes","No")</f>
        <v/>
      </c>
    </row>
    <row r="943">
      <c r="A943" t="n">
        <v>2023</v>
      </c>
      <c r="B943" t="inlineStr">
        <is>
          <t>Q4</t>
        </is>
      </c>
      <c r="C943" t="inlineStr">
        <is>
          <t>South America</t>
        </is>
      </c>
      <c r="D943" t="inlineStr">
        <is>
          <t>Model S</t>
        </is>
      </c>
      <c r="E943" t="n">
        <v>176</v>
      </c>
      <c r="F943" t="n">
        <v>61893.39</v>
      </c>
      <c r="G943" t="n">
        <v>14</v>
      </c>
      <c r="H943" t="inlineStr">
        <is>
          <t>Standard</t>
        </is>
      </c>
      <c r="I943" t="inlineStr">
        <is>
          <t>AWD</t>
        </is>
      </c>
      <c r="J943" t="inlineStr">
        <is>
          <t>Red</t>
        </is>
      </c>
      <c r="K943" t="n">
        <v>538</v>
      </c>
      <c r="L943" t="n">
        <v>88</v>
      </c>
      <c r="M943" t="n">
        <v>13.86</v>
      </c>
      <c r="N943" t="n">
        <v>255.65</v>
      </c>
      <c r="O943" t="n">
        <v>4.05</v>
      </c>
      <c r="P943" t="n">
        <v>8</v>
      </c>
      <c r="Q943" t="n">
        <v>2</v>
      </c>
      <c r="R943" t="n">
        <v>2023.12</v>
      </c>
      <c r="S943" t="b">
        <v>1</v>
      </c>
      <c r="T943" t="n">
        <v>2038509</v>
      </c>
      <c r="U943" t="n">
        <v>12</v>
      </c>
      <c r="V943" t="n">
        <v>0.0881</v>
      </c>
      <c r="W943" t="n">
        <v>1.73</v>
      </c>
      <c r="X943" t="n">
        <v>69.90000000000001</v>
      </c>
      <c r="Y943">
        <f>VLOOKUP(D943,$AB$2:$AC$7,2,FALSE)</f>
        <v/>
      </c>
      <c r="Z943">
        <f>IF(A943&lt;Y943,"Yes","No")</f>
        <v/>
      </c>
    </row>
    <row r="944">
      <c r="A944" t="n">
        <v>2016</v>
      </c>
      <c r="B944" t="inlineStr">
        <is>
          <t>Q1</t>
        </is>
      </c>
      <c r="C944" t="inlineStr">
        <is>
          <t>North America</t>
        </is>
      </c>
      <c r="D944" t="inlineStr">
        <is>
          <t>Model S</t>
        </is>
      </c>
      <c r="E944" t="n">
        <v>2719</v>
      </c>
      <c r="F944" t="n">
        <v>36451.46</v>
      </c>
      <c r="G944" t="n">
        <v>7</v>
      </c>
      <c r="H944" t="inlineStr">
        <is>
          <t>Long Range</t>
        </is>
      </c>
      <c r="I944" t="inlineStr">
        <is>
          <t>RWD</t>
        </is>
      </c>
      <c r="J944" t="inlineStr">
        <is>
          <t>Blue</t>
        </is>
      </c>
      <c r="K944" t="n">
        <v>482</v>
      </c>
      <c r="L944" t="n">
        <v>79</v>
      </c>
      <c r="M944" t="n">
        <v>24.92</v>
      </c>
      <c r="N944" t="n">
        <v>4027.3</v>
      </c>
      <c r="O944" t="n">
        <v>4.73</v>
      </c>
      <c r="P944" t="n">
        <v>8</v>
      </c>
      <c r="Q944" t="n">
        <v>0</v>
      </c>
      <c r="R944" t="n">
        <v>2022.8</v>
      </c>
      <c r="S944" t="b">
        <v>1</v>
      </c>
      <c r="T944" t="n">
        <v>4728913</v>
      </c>
      <c r="U944" t="n">
        <v>7</v>
      </c>
      <c r="V944" t="n">
        <v>0.0389</v>
      </c>
      <c r="W944" t="n">
        <v>2.03</v>
      </c>
      <c r="X944" t="n">
        <v>85.93000000000001</v>
      </c>
      <c r="Y944">
        <f>VLOOKUP(D944,$AB$2:$AC$7,2,FALSE)</f>
        <v/>
      </c>
      <c r="Z944">
        <f>IF(A944&lt;Y944,"Yes","No")</f>
        <v/>
      </c>
    </row>
    <row r="945">
      <c r="A945" t="n">
        <v>2014</v>
      </c>
      <c r="B945" t="inlineStr">
        <is>
          <t>Q1</t>
        </is>
      </c>
      <c r="C945" t="inlineStr">
        <is>
          <t>Australia</t>
        </is>
      </c>
      <c r="D945" t="inlineStr">
        <is>
          <t>Model Y</t>
        </is>
      </c>
      <c r="E945" t="n">
        <v>2749</v>
      </c>
      <c r="F945" t="n">
        <v>103610.3</v>
      </c>
      <c r="G945" t="n">
        <v>8</v>
      </c>
      <c r="H945" t="inlineStr">
        <is>
          <t>Standard</t>
        </is>
      </c>
      <c r="I945" t="inlineStr">
        <is>
          <t>RWD</t>
        </is>
      </c>
      <c r="J945" t="inlineStr">
        <is>
          <t>Silver</t>
        </is>
      </c>
      <c r="K945" t="n">
        <v>604</v>
      </c>
      <c r="L945" t="n">
        <v>62</v>
      </c>
      <c r="M945" t="n">
        <v>14.18</v>
      </c>
      <c r="N945" t="n">
        <v>3366.32</v>
      </c>
      <c r="O945" t="n">
        <v>3.73</v>
      </c>
      <c r="P945" t="n">
        <v>4</v>
      </c>
      <c r="Q945" t="n">
        <v>3</v>
      </c>
      <c r="R945" t="n">
        <v>2021.4</v>
      </c>
      <c r="S945" t="b">
        <v>0</v>
      </c>
      <c r="T945" t="n">
        <v>258215</v>
      </c>
      <c r="U945" t="n">
        <v>4</v>
      </c>
      <c r="V945" t="n">
        <v>0.0366</v>
      </c>
      <c r="W945" t="n">
        <v>1.09</v>
      </c>
      <c r="X945" t="n">
        <v>82.75</v>
      </c>
      <c r="Y945">
        <f>VLOOKUP(D945,$AB$2:$AC$7,2,FALSE)</f>
        <v/>
      </c>
      <c r="Z945">
        <f>IF(A945&lt;Y945,"Yes","No")</f>
        <v/>
      </c>
    </row>
    <row r="946">
      <c r="A946" t="n">
        <v>2017</v>
      </c>
      <c r="B946" t="inlineStr">
        <is>
          <t>Q3</t>
        </is>
      </c>
      <c r="C946" t="inlineStr">
        <is>
          <t>Australia</t>
        </is>
      </c>
      <c r="D946" t="inlineStr">
        <is>
          <t>Model Y</t>
        </is>
      </c>
      <c r="E946" t="n">
        <v>3888</v>
      </c>
      <c r="F946" t="n">
        <v>47014.45</v>
      </c>
      <c r="G946" t="n">
        <v>22</v>
      </c>
      <c r="H946" t="inlineStr">
        <is>
          <t>Standard</t>
        </is>
      </c>
      <c r="I946" t="inlineStr">
        <is>
          <t>RWD</t>
        </is>
      </c>
      <c r="J946" t="inlineStr">
        <is>
          <t>Red</t>
        </is>
      </c>
      <c r="K946" t="n">
        <v>363</v>
      </c>
      <c r="L946" t="n">
        <v>59</v>
      </c>
      <c r="M946" t="n">
        <v>15.44</v>
      </c>
      <c r="N946" t="n">
        <v>8374.049999999999</v>
      </c>
      <c r="O946" t="n">
        <v>4.2</v>
      </c>
      <c r="P946" t="n">
        <v>6</v>
      </c>
      <c r="Q946" t="n">
        <v>3</v>
      </c>
      <c r="R946" t="n">
        <v>2022.11</v>
      </c>
      <c r="S946" t="b">
        <v>0</v>
      </c>
      <c r="T946" t="n">
        <v>4559037</v>
      </c>
      <c r="U946" t="n">
        <v>12</v>
      </c>
      <c r="V946" t="n">
        <v>0.07770000000000001</v>
      </c>
      <c r="W946" t="n">
        <v>1.46</v>
      </c>
      <c r="X946" t="n">
        <v>81.68000000000001</v>
      </c>
      <c r="Y946">
        <f>VLOOKUP(D946,$AB$2:$AC$7,2,FALSE)</f>
        <v/>
      </c>
      <c r="Z946">
        <f>IF(A946&lt;Y946,"Yes","No")</f>
        <v/>
      </c>
    </row>
    <row r="947">
      <c r="A947" t="n">
        <v>2015</v>
      </c>
      <c r="B947" t="inlineStr">
        <is>
          <t>Q1</t>
        </is>
      </c>
      <c r="C947" t="inlineStr">
        <is>
          <t>Australia</t>
        </is>
      </c>
      <c r="D947" t="inlineStr">
        <is>
          <t>Model X</t>
        </is>
      </c>
      <c r="E947" t="n">
        <v>2564</v>
      </c>
      <c r="F947" t="n">
        <v>118189.51</v>
      </c>
      <c r="G947" t="n">
        <v>33</v>
      </c>
      <c r="H947" t="inlineStr">
        <is>
          <t>Standard</t>
        </is>
      </c>
      <c r="I947" t="inlineStr">
        <is>
          <t>AWD</t>
        </is>
      </c>
      <c r="J947" t="inlineStr">
        <is>
          <t>Blue</t>
        </is>
      </c>
      <c r="K947" t="n">
        <v>501</v>
      </c>
      <c r="L947" t="n">
        <v>82</v>
      </c>
      <c r="M947" t="n">
        <v>13.87</v>
      </c>
      <c r="N947" t="n">
        <v>2829.19</v>
      </c>
      <c r="O947" t="n">
        <v>4.77</v>
      </c>
      <c r="P947" t="n">
        <v>8</v>
      </c>
      <c r="Q947" t="n">
        <v>1</v>
      </c>
      <c r="R947" t="n">
        <v>2023.1</v>
      </c>
      <c r="S947" t="b">
        <v>1</v>
      </c>
      <c r="T947" t="n">
        <v>4819619</v>
      </c>
      <c r="U947" t="n">
        <v>4</v>
      </c>
      <c r="V947" t="n">
        <v>0.0399</v>
      </c>
      <c r="W947" t="n">
        <v>2.04</v>
      </c>
      <c r="X947" t="n">
        <v>71.83</v>
      </c>
      <c r="Y947">
        <f>VLOOKUP(D947,$AB$2:$AC$7,2,FALSE)</f>
        <v/>
      </c>
      <c r="Z947">
        <f>IF(A947&lt;Y947,"Yes","No")</f>
        <v/>
      </c>
    </row>
    <row r="948">
      <c r="A948" t="n">
        <v>2020</v>
      </c>
      <c r="B948" t="inlineStr">
        <is>
          <t>Q4</t>
        </is>
      </c>
      <c r="C948" t="inlineStr">
        <is>
          <t>Europe</t>
        </is>
      </c>
      <c r="D948" t="inlineStr">
        <is>
          <t>Model Y</t>
        </is>
      </c>
      <c r="E948" t="n">
        <v>1573</v>
      </c>
      <c r="F948" t="n">
        <v>82175.05</v>
      </c>
      <c r="G948" t="n">
        <v>53</v>
      </c>
      <c r="H948" t="inlineStr">
        <is>
          <t>Long Range</t>
        </is>
      </c>
      <c r="I948" t="inlineStr">
        <is>
          <t>AWD</t>
        </is>
      </c>
      <c r="J948" t="inlineStr">
        <is>
          <t>Blue</t>
        </is>
      </c>
      <c r="K948" t="n">
        <v>563</v>
      </c>
      <c r="L948" t="n">
        <v>57</v>
      </c>
      <c r="M948" t="n">
        <v>16.01</v>
      </c>
      <c r="N948" t="n">
        <v>818.86</v>
      </c>
      <c r="O948" t="n">
        <v>4.48</v>
      </c>
      <c r="P948" t="n">
        <v>8</v>
      </c>
      <c r="Q948" t="n">
        <v>1</v>
      </c>
      <c r="R948" t="n">
        <v>2021.8</v>
      </c>
      <c r="S948" t="b">
        <v>1</v>
      </c>
      <c r="T948" t="n">
        <v>1832475</v>
      </c>
      <c r="U948" t="n">
        <v>7</v>
      </c>
      <c r="V948" t="n">
        <v>0.0287</v>
      </c>
      <c r="W948" t="n">
        <v>1.6</v>
      </c>
      <c r="X948" t="n">
        <v>87.63</v>
      </c>
      <c r="Y948">
        <f>VLOOKUP(D948,$AB$2:$AC$7,2,FALSE)</f>
        <v/>
      </c>
      <c r="Z948">
        <f>IF(A948&lt;Y948,"Yes","No")</f>
        <v/>
      </c>
    </row>
    <row r="949">
      <c r="A949" t="n">
        <v>2019</v>
      </c>
      <c r="B949" t="inlineStr">
        <is>
          <t>Q4</t>
        </is>
      </c>
      <c r="C949" t="inlineStr">
        <is>
          <t>Europe</t>
        </is>
      </c>
      <c r="D949" t="inlineStr">
        <is>
          <t>Model X</t>
        </is>
      </c>
      <c r="E949" t="n">
        <v>4995</v>
      </c>
      <c r="F949" t="n">
        <v>45657.33</v>
      </c>
      <c r="G949" t="n">
        <v>57</v>
      </c>
      <c r="H949" t="inlineStr">
        <is>
          <t>Performance</t>
        </is>
      </c>
      <c r="I949" t="inlineStr">
        <is>
          <t>RWD</t>
        </is>
      </c>
      <c r="J949" t="inlineStr">
        <is>
          <t>Green</t>
        </is>
      </c>
      <c r="K949" t="n">
        <v>608</v>
      </c>
      <c r="L949" t="n">
        <v>83</v>
      </c>
      <c r="M949" t="n">
        <v>18.7</v>
      </c>
      <c r="N949" t="n">
        <v>3018.16</v>
      </c>
      <c r="O949" t="n">
        <v>4.84</v>
      </c>
      <c r="P949" t="n">
        <v>4</v>
      </c>
      <c r="Q949" t="n">
        <v>2</v>
      </c>
      <c r="R949" t="n">
        <v>2024.9</v>
      </c>
      <c r="S949" t="b">
        <v>0</v>
      </c>
      <c r="T949" t="n">
        <v>2060887</v>
      </c>
      <c r="U949" t="n">
        <v>4</v>
      </c>
      <c r="V949" t="n">
        <v>0.0152</v>
      </c>
      <c r="W949" t="n">
        <v>1.17</v>
      </c>
      <c r="X949" t="n">
        <v>71.12</v>
      </c>
      <c r="Y949">
        <f>VLOOKUP(D949,$AB$2:$AC$7,2,FALSE)</f>
        <v/>
      </c>
      <c r="Z949">
        <f>IF(A949&lt;Y949,"Yes","No")</f>
        <v/>
      </c>
    </row>
    <row r="950">
      <c r="A950" t="n">
        <v>2015</v>
      </c>
      <c r="B950" t="inlineStr">
        <is>
          <t>Q3</t>
        </is>
      </c>
      <c r="C950" t="inlineStr">
        <is>
          <t>North America</t>
        </is>
      </c>
      <c r="D950" t="inlineStr">
        <is>
          <t>Model X</t>
        </is>
      </c>
      <c r="E950" t="n">
        <v>258</v>
      </c>
      <c r="F950" t="n">
        <v>93420.85000000001</v>
      </c>
      <c r="G950" t="n">
        <v>60</v>
      </c>
      <c r="H950" t="inlineStr">
        <is>
          <t>Performance</t>
        </is>
      </c>
      <c r="I950" t="inlineStr">
        <is>
          <t>AWD</t>
        </is>
      </c>
      <c r="J950" t="inlineStr">
        <is>
          <t>Blue</t>
        </is>
      </c>
      <c r="K950" t="n">
        <v>452</v>
      </c>
      <c r="L950" t="n">
        <v>66</v>
      </c>
      <c r="M950" t="n">
        <v>18.02</v>
      </c>
      <c r="N950" t="n">
        <v>172.24</v>
      </c>
      <c r="O950" t="n">
        <v>4.86</v>
      </c>
      <c r="P950" t="n">
        <v>8</v>
      </c>
      <c r="Q950" t="n">
        <v>3</v>
      </c>
      <c r="R950" t="n">
        <v>2022.1</v>
      </c>
      <c r="S950" t="b">
        <v>0</v>
      </c>
      <c r="T950" t="n">
        <v>1709371</v>
      </c>
      <c r="U950" t="n">
        <v>12</v>
      </c>
      <c r="V950" t="n">
        <v>0.06909999999999999</v>
      </c>
      <c r="W950" t="n">
        <v>1.14</v>
      </c>
      <c r="X950" t="n">
        <v>73.51000000000001</v>
      </c>
      <c r="Y950">
        <f>VLOOKUP(D950,$AB$2:$AC$7,2,FALSE)</f>
        <v/>
      </c>
      <c r="Z950">
        <f>IF(A950&lt;Y950,"Yes","No")</f>
        <v/>
      </c>
    </row>
    <row r="951">
      <c r="A951" t="n">
        <v>2023</v>
      </c>
      <c r="B951" t="inlineStr">
        <is>
          <t>Q4</t>
        </is>
      </c>
      <c r="C951" t="inlineStr">
        <is>
          <t>South America</t>
        </is>
      </c>
      <c r="D951" t="inlineStr">
        <is>
          <t>Cybertruck</t>
        </is>
      </c>
      <c r="E951" t="n">
        <v>3845</v>
      </c>
      <c r="F951" t="n">
        <v>77483.97</v>
      </c>
      <c r="G951" t="n">
        <v>21</v>
      </c>
      <c r="H951" t="inlineStr">
        <is>
          <t>Long Range</t>
        </is>
      </c>
      <c r="I951" t="inlineStr">
        <is>
          <t>RWD</t>
        </is>
      </c>
      <c r="J951" t="inlineStr">
        <is>
          <t>Black</t>
        </is>
      </c>
      <c r="K951" t="n">
        <v>573</v>
      </c>
      <c r="L951" t="n">
        <v>84</v>
      </c>
      <c r="M951" t="n">
        <v>13.92</v>
      </c>
      <c r="N951" t="n">
        <v>7339.83</v>
      </c>
      <c r="O951" t="n">
        <v>3.54</v>
      </c>
      <c r="P951" t="n">
        <v>6</v>
      </c>
      <c r="Q951" t="n">
        <v>1</v>
      </c>
      <c r="R951" t="n">
        <v>2021.8</v>
      </c>
      <c r="S951" t="b">
        <v>1</v>
      </c>
      <c r="T951" t="n">
        <v>3475921</v>
      </c>
      <c r="U951" t="n">
        <v>4</v>
      </c>
      <c r="V951" t="n">
        <v>0.051</v>
      </c>
      <c r="W951" t="n">
        <v>0.91</v>
      </c>
      <c r="X951" t="n">
        <v>61.79</v>
      </c>
      <c r="Y951">
        <f>VLOOKUP(D951,$AB$2:$AC$7,2,FALSE)</f>
        <v/>
      </c>
      <c r="Z951">
        <f>IF(A951&lt;Y951,"Yes","No")</f>
        <v/>
      </c>
    </row>
    <row r="952">
      <c r="A952" t="n">
        <v>2014</v>
      </c>
      <c r="B952" t="inlineStr">
        <is>
          <t>Q2</t>
        </is>
      </c>
      <c r="C952" t="inlineStr">
        <is>
          <t>Europe</t>
        </is>
      </c>
      <c r="D952" t="inlineStr">
        <is>
          <t>Model Y</t>
        </is>
      </c>
      <c r="E952" t="n">
        <v>896</v>
      </c>
      <c r="F952" t="n">
        <v>44045.43</v>
      </c>
      <c r="G952" t="n">
        <v>4</v>
      </c>
      <c r="H952" t="inlineStr">
        <is>
          <t>Long Range</t>
        </is>
      </c>
      <c r="I952" t="inlineStr">
        <is>
          <t>RWD</t>
        </is>
      </c>
      <c r="J952" t="inlineStr">
        <is>
          <t>Green</t>
        </is>
      </c>
      <c r="K952" t="n">
        <v>600</v>
      </c>
      <c r="L952" t="n">
        <v>57</v>
      </c>
      <c r="M952" t="n">
        <v>20.28</v>
      </c>
      <c r="N952" t="n">
        <v>2183.93</v>
      </c>
      <c r="O952" t="n">
        <v>3.66</v>
      </c>
      <c r="P952" t="n">
        <v>5</v>
      </c>
      <c r="Q952" t="n">
        <v>0</v>
      </c>
      <c r="R952" t="n">
        <v>2022.3</v>
      </c>
      <c r="S952" t="b">
        <v>0</v>
      </c>
      <c r="T952" t="n">
        <v>1056469</v>
      </c>
      <c r="U952" t="n">
        <v>6</v>
      </c>
      <c r="V952" t="n">
        <v>0.0341</v>
      </c>
      <c r="W952" t="n">
        <v>1.6</v>
      </c>
      <c r="X952" t="n">
        <v>77.31</v>
      </c>
      <c r="Y952">
        <f>VLOOKUP(D952,$AB$2:$AC$7,2,FALSE)</f>
        <v/>
      </c>
      <c r="Z952">
        <f>IF(A952&lt;Y952,"Yes","No")</f>
        <v/>
      </c>
    </row>
    <row r="953">
      <c r="A953" t="n">
        <v>2015</v>
      </c>
      <c r="B953" t="inlineStr">
        <is>
          <t>Q1</t>
        </is>
      </c>
      <c r="C953" t="inlineStr">
        <is>
          <t>Asia</t>
        </is>
      </c>
      <c r="D953" t="inlineStr">
        <is>
          <t>Model 3</t>
        </is>
      </c>
      <c r="E953" t="n">
        <v>898</v>
      </c>
      <c r="F953" t="n">
        <v>106021.38</v>
      </c>
      <c r="G953" t="n">
        <v>37</v>
      </c>
      <c r="H953" t="inlineStr">
        <is>
          <t>Standard</t>
        </is>
      </c>
      <c r="I953" t="inlineStr">
        <is>
          <t>AWD</t>
        </is>
      </c>
      <c r="J953" t="inlineStr">
        <is>
          <t>Silver</t>
        </is>
      </c>
      <c r="K953" t="n">
        <v>441</v>
      </c>
      <c r="L953" t="n">
        <v>41</v>
      </c>
      <c r="M953" t="n">
        <v>13.36</v>
      </c>
      <c r="N953" t="n">
        <v>772.61</v>
      </c>
      <c r="O953" t="n">
        <v>4.12</v>
      </c>
      <c r="P953" t="n">
        <v>4</v>
      </c>
      <c r="Q953" t="n">
        <v>0</v>
      </c>
      <c r="R953" t="n">
        <v>2022.3</v>
      </c>
      <c r="S953" t="b">
        <v>0</v>
      </c>
      <c r="T953" t="n">
        <v>2353495</v>
      </c>
      <c r="U953" t="n">
        <v>9</v>
      </c>
      <c r="V953" t="n">
        <v>0.08459999999999999</v>
      </c>
      <c r="W953" t="n">
        <v>0.62</v>
      </c>
      <c r="X953" t="n">
        <v>76.39</v>
      </c>
      <c r="Y953">
        <f>VLOOKUP(D953,$AB$2:$AC$7,2,FALSE)</f>
        <v/>
      </c>
      <c r="Z953">
        <f>IF(A953&lt;Y953,"Yes","No")</f>
        <v/>
      </c>
    </row>
    <row r="954">
      <c r="A954" t="n">
        <v>2013</v>
      </c>
      <c r="B954" t="inlineStr">
        <is>
          <t>Q4</t>
        </is>
      </c>
      <c r="C954" t="inlineStr">
        <is>
          <t>Australia</t>
        </is>
      </c>
      <c r="D954" t="inlineStr">
        <is>
          <t>Model S</t>
        </is>
      </c>
      <c r="E954" t="n">
        <v>1819</v>
      </c>
      <c r="F954" t="n">
        <v>103528.99</v>
      </c>
      <c r="G954" t="n">
        <v>5</v>
      </c>
      <c r="H954" t="inlineStr">
        <is>
          <t>Long Range</t>
        </is>
      </c>
      <c r="I954" t="inlineStr">
        <is>
          <t>AWD</t>
        </is>
      </c>
      <c r="J954" t="inlineStr">
        <is>
          <t>Blue</t>
        </is>
      </c>
      <c r="K954" t="n">
        <v>370</v>
      </c>
      <c r="L954" t="n">
        <v>86</v>
      </c>
      <c r="M954" t="n">
        <v>17.11</v>
      </c>
      <c r="N954" t="n">
        <v>948.72</v>
      </c>
      <c r="O954" t="n">
        <v>3.55</v>
      </c>
      <c r="P954" t="n">
        <v>5</v>
      </c>
      <c r="Q954" t="n">
        <v>1</v>
      </c>
      <c r="R954" t="n">
        <v>2021.7</v>
      </c>
      <c r="S954" t="b">
        <v>0</v>
      </c>
      <c r="T954" t="n">
        <v>1639643</v>
      </c>
      <c r="U954" t="n">
        <v>6</v>
      </c>
      <c r="V954" t="n">
        <v>0.0925</v>
      </c>
      <c r="W954" t="n">
        <v>1.25</v>
      </c>
      <c r="X954" t="n">
        <v>66.72</v>
      </c>
      <c r="Y954">
        <f>VLOOKUP(D954,$AB$2:$AC$7,2,FALSE)</f>
        <v/>
      </c>
      <c r="Z954">
        <f>IF(A954&lt;Y954,"Yes","No")</f>
        <v/>
      </c>
    </row>
    <row r="955">
      <c r="A955" t="n">
        <v>2013</v>
      </c>
      <c r="B955" t="inlineStr">
        <is>
          <t>Q4</t>
        </is>
      </c>
      <c r="C955" t="inlineStr">
        <is>
          <t>Europe</t>
        </is>
      </c>
      <c r="D955" t="inlineStr">
        <is>
          <t>Cybertruck</t>
        </is>
      </c>
      <c r="E955" t="n">
        <v>2332</v>
      </c>
      <c r="F955" t="n">
        <v>101514.18</v>
      </c>
      <c r="G955" t="n">
        <v>27</v>
      </c>
      <c r="H955" t="inlineStr">
        <is>
          <t>Standard</t>
        </is>
      </c>
      <c r="I955" t="inlineStr">
        <is>
          <t>AWD</t>
        </is>
      </c>
      <c r="J955" t="inlineStr">
        <is>
          <t>Silver</t>
        </is>
      </c>
      <c r="K955" t="n">
        <v>463</v>
      </c>
      <c r="L955" t="n">
        <v>66</v>
      </c>
      <c r="M955" t="n">
        <v>13.39</v>
      </c>
      <c r="N955" t="n">
        <v>3020.87</v>
      </c>
      <c r="O955" t="n">
        <v>4.89</v>
      </c>
      <c r="P955" t="n">
        <v>6</v>
      </c>
      <c r="Q955" t="n">
        <v>0</v>
      </c>
      <c r="R955" t="n">
        <v>2021.6</v>
      </c>
      <c r="S955" t="b">
        <v>0</v>
      </c>
      <c r="T955" t="n">
        <v>1012057</v>
      </c>
      <c r="U955" t="n">
        <v>11</v>
      </c>
      <c r="V955" t="n">
        <v>0.0297</v>
      </c>
      <c r="W955" t="n">
        <v>1.71</v>
      </c>
      <c r="X955" t="n">
        <v>63.82</v>
      </c>
      <c r="Y955">
        <f>VLOOKUP(D955,$AB$2:$AC$7,2,FALSE)</f>
        <v/>
      </c>
      <c r="Z955">
        <f>IF(A955&lt;Y955,"Yes","No")</f>
        <v/>
      </c>
    </row>
    <row r="956">
      <c r="A956" t="n">
        <v>2023</v>
      </c>
      <c r="B956" t="inlineStr">
        <is>
          <t>Q2</t>
        </is>
      </c>
      <c r="C956" t="inlineStr">
        <is>
          <t>Australia</t>
        </is>
      </c>
      <c r="D956" t="inlineStr">
        <is>
          <t>Model 3</t>
        </is>
      </c>
      <c r="E956" t="n">
        <v>4481</v>
      </c>
      <c r="F956" t="n">
        <v>108200.21</v>
      </c>
      <c r="G956" t="n">
        <v>10</v>
      </c>
      <c r="H956" t="inlineStr">
        <is>
          <t>Performance</t>
        </is>
      </c>
      <c r="I956" t="inlineStr">
        <is>
          <t>AWD</t>
        </is>
      </c>
      <c r="J956" t="inlineStr">
        <is>
          <t>Blue</t>
        </is>
      </c>
      <c r="K956" t="n">
        <v>463</v>
      </c>
      <c r="L956" t="n">
        <v>52</v>
      </c>
      <c r="M956" t="n">
        <v>20.83</v>
      </c>
      <c r="N956" t="n">
        <v>4915.34</v>
      </c>
      <c r="O956" t="n">
        <v>4.66</v>
      </c>
      <c r="P956" t="n">
        <v>8</v>
      </c>
      <c r="Q956" t="n">
        <v>0</v>
      </c>
      <c r="R956" t="n">
        <v>2021.7</v>
      </c>
      <c r="S956" t="b">
        <v>0</v>
      </c>
      <c r="T956" t="n">
        <v>3896369</v>
      </c>
      <c r="U956" t="n">
        <v>8</v>
      </c>
      <c r="V956" t="n">
        <v>0.06809999999999999</v>
      </c>
      <c r="W956" t="n">
        <v>2.15</v>
      </c>
      <c r="X956" t="n">
        <v>73.61</v>
      </c>
      <c r="Y956">
        <f>VLOOKUP(D956,$AB$2:$AC$7,2,FALSE)</f>
        <v/>
      </c>
      <c r="Z956">
        <f>IF(A956&lt;Y956,"Yes","No")</f>
        <v/>
      </c>
    </row>
    <row r="957">
      <c r="A957" t="n">
        <v>2014</v>
      </c>
      <c r="B957" t="inlineStr">
        <is>
          <t>Q3</t>
        </is>
      </c>
      <c r="C957" t="inlineStr">
        <is>
          <t>Asia</t>
        </is>
      </c>
      <c r="D957" t="inlineStr">
        <is>
          <t>Model 3</t>
        </is>
      </c>
      <c r="E957" t="n">
        <v>4867</v>
      </c>
      <c r="F957" t="n">
        <v>76586.42</v>
      </c>
      <c r="G957" t="n">
        <v>39</v>
      </c>
      <c r="H957" t="inlineStr">
        <is>
          <t>Performance</t>
        </is>
      </c>
      <c r="I957" t="inlineStr">
        <is>
          <t>RWD</t>
        </is>
      </c>
      <c r="J957" t="inlineStr">
        <is>
          <t>Red</t>
        </is>
      </c>
      <c r="K957" t="n">
        <v>581</v>
      </c>
      <c r="L957" t="n">
        <v>76</v>
      </c>
      <c r="M957" t="n">
        <v>13.01</v>
      </c>
      <c r="N957" t="n">
        <v>10796.59</v>
      </c>
      <c r="O957" t="n">
        <v>4.15</v>
      </c>
      <c r="P957" t="n">
        <v>4</v>
      </c>
      <c r="Q957" t="n">
        <v>3</v>
      </c>
      <c r="R957" t="n">
        <v>2023.6</v>
      </c>
      <c r="S957" t="b">
        <v>0</v>
      </c>
      <c r="T957" t="n">
        <v>282036</v>
      </c>
      <c r="U957" t="n">
        <v>4</v>
      </c>
      <c r="V957" t="n">
        <v>0.014</v>
      </c>
      <c r="W957" t="n">
        <v>0.52</v>
      </c>
      <c r="X957" t="n">
        <v>81.45</v>
      </c>
      <c r="Y957">
        <f>VLOOKUP(D957,$AB$2:$AC$7,2,FALSE)</f>
        <v/>
      </c>
      <c r="Z957">
        <f>IF(A957&lt;Y957,"Yes","No")</f>
        <v/>
      </c>
    </row>
    <row r="958">
      <c r="A958" t="n">
        <v>2013</v>
      </c>
      <c r="B958" t="inlineStr">
        <is>
          <t>Q2</t>
        </is>
      </c>
      <c r="C958" t="inlineStr">
        <is>
          <t>South America</t>
        </is>
      </c>
      <c r="D958" t="inlineStr">
        <is>
          <t>Model S</t>
        </is>
      </c>
      <c r="E958" t="n">
        <v>1409</v>
      </c>
      <c r="F958" t="n">
        <v>50824.52</v>
      </c>
      <c r="G958" t="n">
        <v>4</v>
      </c>
      <c r="H958" t="inlineStr">
        <is>
          <t>Long Range</t>
        </is>
      </c>
      <c r="I958" t="inlineStr">
        <is>
          <t>RWD</t>
        </is>
      </c>
      <c r="J958" t="inlineStr">
        <is>
          <t>Black</t>
        </is>
      </c>
      <c r="K958" t="n">
        <v>667</v>
      </c>
      <c r="L958" t="n">
        <v>32</v>
      </c>
      <c r="M958" t="n">
        <v>16.35</v>
      </c>
      <c r="N958" t="n">
        <v>2232.46</v>
      </c>
      <c r="O958" t="n">
        <v>4.87</v>
      </c>
      <c r="P958" t="n">
        <v>5</v>
      </c>
      <c r="Q958" t="n">
        <v>1</v>
      </c>
      <c r="R958" t="n">
        <v>2021.6</v>
      </c>
      <c r="S958" t="b">
        <v>1</v>
      </c>
      <c r="T958" t="n">
        <v>2174219</v>
      </c>
      <c r="U958" t="n">
        <v>5</v>
      </c>
      <c r="V958" t="n">
        <v>0.0256</v>
      </c>
      <c r="W958" t="n">
        <v>2.41</v>
      </c>
      <c r="X958" t="n">
        <v>67.34</v>
      </c>
      <c r="Y958">
        <f>VLOOKUP(D958,$AB$2:$AC$7,2,FALSE)</f>
        <v/>
      </c>
      <c r="Z958">
        <f>IF(A958&lt;Y958,"Yes","No")</f>
        <v/>
      </c>
    </row>
    <row r="959">
      <c r="A959" t="n">
        <v>2013</v>
      </c>
      <c r="B959" t="inlineStr">
        <is>
          <t>Q1</t>
        </is>
      </c>
      <c r="C959" t="inlineStr">
        <is>
          <t>Europe</t>
        </is>
      </c>
      <c r="D959" t="inlineStr">
        <is>
          <t>Model X</t>
        </is>
      </c>
      <c r="E959" t="n">
        <v>2764</v>
      </c>
      <c r="F959" t="n">
        <v>64244.46</v>
      </c>
      <c r="G959" t="n">
        <v>3</v>
      </c>
      <c r="H959" t="inlineStr">
        <is>
          <t>Standard</t>
        </is>
      </c>
      <c r="I959" t="inlineStr">
        <is>
          <t>AWD</t>
        </is>
      </c>
      <c r="J959" t="inlineStr">
        <is>
          <t>White</t>
        </is>
      </c>
      <c r="K959" t="n">
        <v>495</v>
      </c>
      <c r="L959" t="n">
        <v>51</v>
      </c>
      <c r="M959" t="n">
        <v>22.55</v>
      </c>
      <c r="N959" t="n">
        <v>5157.35</v>
      </c>
      <c r="O959" t="n">
        <v>3.55</v>
      </c>
      <c r="P959" t="n">
        <v>8</v>
      </c>
      <c r="Q959" t="n">
        <v>2</v>
      </c>
      <c r="R959" t="n">
        <v>2021.1</v>
      </c>
      <c r="S959" t="b">
        <v>1</v>
      </c>
      <c r="T959" t="n">
        <v>2160269</v>
      </c>
      <c r="U959" t="n">
        <v>5</v>
      </c>
      <c r="V959" t="n">
        <v>0.0888</v>
      </c>
      <c r="W959" t="n">
        <v>1.09</v>
      </c>
      <c r="X959" t="n">
        <v>67.39</v>
      </c>
      <c r="Y959">
        <f>VLOOKUP(D959,$AB$2:$AC$7,2,FALSE)</f>
        <v/>
      </c>
      <c r="Z959">
        <f>IF(A959&lt;Y959,"Yes","No")</f>
        <v/>
      </c>
    </row>
    <row r="960">
      <c r="A960" t="n">
        <v>2014</v>
      </c>
      <c r="B960" t="inlineStr">
        <is>
          <t>Q4</t>
        </is>
      </c>
      <c r="C960" t="inlineStr">
        <is>
          <t>Europe</t>
        </is>
      </c>
      <c r="D960" t="inlineStr">
        <is>
          <t>Model S</t>
        </is>
      </c>
      <c r="E960" t="n">
        <v>4452</v>
      </c>
      <c r="F960" t="n">
        <v>37265.44</v>
      </c>
      <c r="G960" t="n">
        <v>36</v>
      </c>
      <c r="H960" t="inlineStr">
        <is>
          <t>Performance</t>
        </is>
      </c>
      <c r="I960" t="inlineStr">
        <is>
          <t>AWD</t>
        </is>
      </c>
      <c r="J960" t="inlineStr">
        <is>
          <t>Red</t>
        </is>
      </c>
      <c r="K960" t="n">
        <v>414</v>
      </c>
      <c r="L960" t="n">
        <v>83</v>
      </c>
      <c r="M960" t="n">
        <v>24.59</v>
      </c>
      <c r="N960" t="n">
        <v>4625.32</v>
      </c>
      <c r="O960" t="n">
        <v>3.91</v>
      </c>
      <c r="P960" t="n">
        <v>5</v>
      </c>
      <c r="Q960" t="n">
        <v>0</v>
      </c>
      <c r="R960" t="n">
        <v>2023.6</v>
      </c>
      <c r="S960" t="b">
        <v>0</v>
      </c>
      <c r="T960" t="n">
        <v>2726111</v>
      </c>
      <c r="U960" t="n">
        <v>11</v>
      </c>
      <c r="V960" t="n">
        <v>0.0641</v>
      </c>
      <c r="W960" t="n">
        <v>0.77</v>
      </c>
      <c r="X960" t="n">
        <v>61.69</v>
      </c>
      <c r="Y960">
        <f>VLOOKUP(D960,$AB$2:$AC$7,2,FALSE)</f>
        <v/>
      </c>
      <c r="Z960">
        <f>IF(A960&lt;Y960,"Yes","No")</f>
        <v/>
      </c>
    </row>
    <row r="961">
      <c r="A961" t="n">
        <v>2014</v>
      </c>
      <c r="B961" t="inlineStr">
        <is>
          <t>Q2</t>
        </is>
      </c>
      <c r="C961" t="inlineStr">
        <is>
          <t>Australia</t>
        </is>
      </c>
      <c r="D961" t="inlineStr">
        <is>
          <t>Model Y</t>
        </is>
      </c>
      <c r="E961" t="n">
        <v>1672</v>
      </c>
      <c r="F961" t="n">
        <v>41396.59</v>
      </c>
      <c r="G961" t="n">
        <v>29</v>
      </c>
      <c r="H961" t="inlineStr">
        <is>
          <t>Long Range</t>
        </is>
      </c>
      <c r="I961" t="inlineStr">
        <is>
          <t>RWD</t>
        </is>
      </c>
      <c r="J961" t="inlineStr">
        <is>
          <t>White</t>
        </is>
      </c>
      <c r="K961" t="n">
        <v>431</v>
      </c>
      <c r="L961" t="n">
        <v>34</v>
      </c>
      <c r="M961" t="n">
        <v>23.88</v>
      </c>
      <c r="N961" t="n">
        <v>2119.86</v>
      </c>
      <c r="O961" t="n">
        <v>4.39</v>
      </c>
      <c r="P961" t="n">
        <v>6</v>
      </c>
      <c r="Q961" t="n">
        <v>0</v>
      </c>
      <c r="R961" t="n">
        <v>2024.4</v>
      </c>
      <c r="S961" t="b">
        <v>0</v>
      </c>
      <c r="T961" t="n">
        <v>2968046</v>
      </c>
      <c r="U961" t="n">
        <v>11</v>
      </c>
      <c r="V961" t="n">
        <v>0.0987</v>
      </c>
      <c r="W961" t="n">
        <v>0.7</v>
      </c>
      <c r="X961" t="n">
        <v>63.97</v>
      </c>
      <c r="Y961">
        <f>VLOOKUP(D961,$AB$2:$AC$7,2,FALSE)</f>
        <v/>
      </c>
      <c r="Z961">
        <f>IF(A961&lt;Y961,"Yes","No")</f>
        <v/>
      </c>
    </row>
    <row r="962">
      <c r="A962" t="n">
        <v>2018</v>
      </c>
      <c r="B962" t="inlineStr">
        <is>
          <t>Q4</t>
        </is>
      </c>
      <c r="C962" t="inlineStr">
        <is>
          <t>North America</t>
        </is>
      </c>
      <c r="D962" t="inlineStr">
        <is>
          <t>Semi</t>
        </is>
      </c>
      <c r="E962" t="n">
        <v>1926</v>
      </c>
      <c r="F962" t="n">
        <v>43489.34</v>
      </c>
      <c r="G962" t="n">
        <v>23</v>
      </c>
      <c r="H962" t="inlineStr">
        <is>
          <t>Standard</t>
        </is>
      </c>
      <c r="I962" t="inlineStr">
        <is>
          <t>RWD</t>
        </is>
      </c>
      <c r="J962" t="inlineStr">
        <is>
          <t>Black</t>
        </is>
      </c>
      <c r="K962" t="n">
        <v>566</v>
      </c>
      <c r="L962" t="n">
        <v>84</v>
      </c>
      <c r="M962" t="n">
        <v>24.41</v>
      </c>
      <c r="N962" t="n">
        <v>2786.74</v>
      </c>
      <c r="O962" t="n">
        <v>3.73</v>
      </c>
      <c r="P962" t="n">
        <v>8</v>
      </c>
      <c r="Q962" t="n">
        <v>2</v>
      </c>
      <c r="R962" t="n">
        <v>2023.2</v>
      </c>
      <c r="S962" t="b">
        <v>1</v>
      </c>
      <c r="T962" t="n">
        <v>313111</v>
      </c>
      <c r="U962" t="n">
        <v>11</v>
      </c>
      <c r="V962" t="n">
        <v>0.0483</v>
      </c>
      <c r="W962" t="n">
        <v>1.4</v>
      </c>
      <c r="X962" t="n">
        <v>82.98999999999999</v>
      </c>
      <c r="Y962">
        <f>VLOOKUP(D962,$AB$2:$AC$7,2,FALSE)</f>
        <v/>
      </c>
      <c r="Z962">
        <f>IF(A962&lt;Y962,"Yes","No")</f>
        <v/>
      </c>
    </row>
    <row r="963">
      <c r="A963" t="n">
        <v>2012</v>
      </c>
      <c r="B963" t="inlineStr">
        <is>
          <t>Q1</t>
        </is>
      </c>
      <c r="C963" t="inlineStr">
        <is>
          <t>South America</t>
        </is>
      </c>
      <c r="D963" t="inlineStr">
        <is>
          <t>Cybertruck</t>
        </is>
      </c>
      <c r="E963" t="n">
        <v>1347</v>
      </c>
      <c r="F963" t="n">
        <v>91086.81</v>
      </c>
      <c r="G963" t="n">
        <v>56</v>
      </c>
      <c r="H963" t="inlineStr">
        <is>
          <t>Performance</t>
        </is>
      </c>
      <c r="I963" t="inlineStr">
        <is>
          <t>RWD</t>
        </is>
      </c>
      <c r="J963" t="inlineStr">
        <is>
          <t>White</t>
        </is>
      </c>
      <c r="K963" t="n">
        <v>420</v>
      </c>
      <c r="L963" t="n">
        <v>47</v>
      </c>
      <c r="M963" t="n">
        <v>13.73</v>
      </c>
      <c r="N963" t="n">
        <v>1121.28</v>
      </c>
      <c r="O963" t="n">
        <v>3.66</v>
      </c>
      <c r="P963" t="n">
        <v>6</v>
      </c>
      <c r="Q963" t="n">
        <v>1</v>
      </c>
      <c r="R963" t="n">
        <v>2022.6</v>
      </c>
      <c r="S963" t="b">
        <v>1</v>
      </c>
      <c r="T963" t="n">
        <v>2765858</v>
      </c>
      <c r="U963" t="n">
        <v>3</v>
      </c>
      <c r="V963" t="n">
        <v>0.0344</v>
      </c>
      <c r="W963" t="n">
        <v>1.94</v>
      </c>
      <c r="X963" t="n">
        <v>64.19</v>
      </c>
      <c r="Y963">
        <f>VLOOKUP(D963,$AB$2:$AC$7,2,FALSE)</f>
        <v/>
      </c>
      <c r="Z963">
        <f>IF(A963&lt;Y963,"Yes","No")</f>
        <v/>
      </c>
    </row>
    <row r="964">
      <c r="A964" t="n">
        <v>2021</v>
      </c>
      <c r="B964" t="inlineStr">
        <is>
          <t>Q1</t>
        </is>
      </c>
      <c r="C964" t="inlineStr">
        <is>
          <t>Asia</t>
        </is>
      </c>
      <c r="D964" t="inlineStr">
        <is>
          <t>Model 3</t>
        </is>
      </c>
      <c r="E964" t="n">
        <v>454</v>
      </c>
      <c r="F964" t="n">
        <v>78981.10000000001</v>
      </c>
      <c r="G964" t="n">
        <v>28</v>
      </c>
      <c r="H964" t="inlineStr">
        <is>
          <t>Long Range</t>
        </is>
      </c>
      <c r="I964" t="inlineStr">
        <is>
          <t>RWD</t>
        </is>
      </c>
      <c r="J964" t="inlineStr">
        <is>
          <t>Green</t>
        </is>
      </c>
      <c r="K964" t="n">
        <v>421</v>
      </c>
      <c r="L964" t="n">
        <v>46</v>
      </c>
      <c r="M964" t="n">
        <v>18.59</v>
      </c>
      <c r="N964" t="n">
        <v>1111.23</v>
      </c>
      <c r="O964" t="n">
        <v>4.06</v>
      </c>
      <c r="P964" t="n">
        <v>6</v>
      </c>
      <c r="Q964" t="n">
        <v>1</v>
      </c>
      <c r="R964" t="n">
        <v>2021.2</v>
      </c>
      <c r="S964" t="b">
        <v>1</v>
      </c>
      <c r="T964" t="n">
        <v>2233829</v>
      </c>
      <c r="U964" t="n">
        <v>12</v>
      </c>
      <c r="V964" t="n">
        <v>0.0818</v>
      </c>
      <c r="W964" t="n">
        <v>1.14</v>
      </c>
      <c r="X964" t="n">
        <v>87.95</v>
      </c>
      <c r="Y964">
        <f>VLOOKUP(D964,$AB$2:$AC$7,2,FALSE)</f>
        <v/>
      </c>
      <c r="Z964">
        <f>IF(A964&lt;Y964,"Yes","No")</f>
        <v/>
      </c>
    </row>
    <row r="965">
      <c r="A965" t="n">
        <v>2024</v>
      </c>
      <c r="B965" t="inlineStr">
        <is>
          <t>Q1</t>
        </is>
      </c>
      <c r="C965" t="inlineStr">
        <is>
          <t>South America</t>
        </is>
      </c>
      <c r="D965" t="inlineStr">
        <is>
          <t>Model 3</t>
        </is>
      </c>
      <c r="E965" t="n">
        <v>110</v>
      </c>
      <c r="F965" t="n">
        <v>60713.44</v>
      </c>
      <c r="G965" t="n">
        <v>34</v>
      </c>
      <c r="H965" t="inlineStr">
        <is>
          <t>Long Range</t>
        </is>
      </c>
      <c r="I965" t="inlineStr">
        <is>
          <t>RWD</t>
        </is>
      </c>
      <c r="J965" t="inlineStr">
        <is>
          <t>Red</t>
        </is>
      </c>
      <c r="K965" t="n">
        <v>570</v>
      </c>
      <c r="L965" t="n">
        <v>61</v>
      </c>
      <c r="M965" t="n">
        <v>20.61</v>
      </c>
      <c r="N965" t="n">
        <v>237.49</v>
      </c>
      <c r="O965" t="n">
        <v>3.8</v>
      </c>
      <c r="P965" t="n">
        <v>5</v>
      </c>
      <c r="Q965" t="n">
        <v>1</v>
      </c>
      <c r="R965" t="n">
        <v>2021.1</v>
      </c>
      <c r="S965" t="b">
        <v>0</v>
      </c>
      <c r="T965" t="n">
        <v>3072001</v>
      </c>
      <c r="U965" t="n">
        <v>3</v>
      </c>
      <c r="V965" t="n">
        <v>0.0422</v>
      </c>
      <c r="W965" t="n">
        <v>1.74</v>
      </c>
      <c r="X965" t="n">
        <v>61.71</v>
      </c>
      <c r="Y965">
        <f>VLOOKUP(D965,$AB$2:$AC$7,2,FALSE)</f>
        <v/>
      </c>
      <c r="Z965">
        <f>IF(A965&lt;Y965,"Yes","No")</f>
        <v/>
      </c>
    </row>
    <row r="966">
      <c r="A966" t="n">
        <v>2017</v>
      </c>
      <c r="B966" t="inlineStr">
        <is>
          <t>Q4</t>
        </is>
      </c>
      <c r="C966" t="inlineStr">
        <is>
          <t>South America</t>
        </is>
      </c>
      <c r="D966" t="inlineStr">
        <is>
          <t>Semi</t>
        </is>
      </c>
      <c r="E966" t="n">
        <v>2424</v>
      </c>
      <c r="F966" t="n">
        <v>116602.98</v>
      </c>
      <c r="G966" t="n">
        <v>17</v>
      </c>
      <c r="H966" t="inlineStr">
        <is>
          <t>Standard</t>
        </is>
      </c>
      <c r="I966" t="inlineStr">
        <is>
          <t>RWD</t>
        </is>
      </c>
      <c r="J966" t="inlineStr">
        <is>
          <t>Green</t>
        </is>
      </c>
      <c r="K966" t="n">
        <v>607</v>
      </c>
      <c r="L966" t="n">
        <v>80</v>
      </c>
      <c r="M966" t="n">
        <v>22.41</v>
      </c>
      <c r="N966" t="n">
        <v>4776.45</v>
      </c>
      <c r="O966" t="n">
        <v>4.3</v>
      </c>
      <c r="P966" t="n">
        <v>5</v>
      </c>
      <c r="Q966" t="n">
        <v>2</v>
      </c>
      <c r="R966" t="n">
        <v>2023.12</v>
      </c>
      <c r="S966" t="b">
        <v>0</v>
      </c>
      <c r="T966" t="n">
        <v>1232258</v>
      </c>
      <c r="U966" t="n">
        <v>8</v>
      </c>
      <c r="V966" t="n">
        <v>0.081</v>
      </c>
      <c r="W966" t="n">
        <v>0.54</v>
      </c>
      <c r="X966" t="n">
        <v>75.23999999999999</v>
      </c>
      <c r="Y966">
        <f>VLOOKUP(D966,$AB$2:$AC$7,2,FALSE)</f>
        <v/>
      </c>
      <c r="Z966">
        <f>IF(A966&lt;Y966,"Yes","No")</f>
        <v/>
      </c>
    </row>
    <row r="967">
      <c r="A967" t="n">
        <v>2018</v>
      </c>
      <c r="B967" t="inlineStr">
        <is>
          <t>Q4</t>
        </is>
      </c>
      <c r="C967" t="inlineStr">
        <is>
          <t>Europe</t>
        </is>
      </c>
      <c r="D967" t="inlineStr">
        <is>
          <t>Semi</t>
        </is>
      </c>
      <c r="E967" t="n">
        <v>4838</v>
      </c>
      <c r="F967" t="n">
        <v>101208.08</v>
      </c>
      <c r="G967" t="n">
        <v>23</v>
      </c>
      <c r="H967" t="inlineStr">
        <is>
          <t>Long Range</t>
        </is>
      </c>
      <c r="I967" t="inlineStr">
        <is>
          <t>AWD</t>
        </is>
      </c>
      <c r="J967" t="inlineStr">
        <is>
          <t>Green</t>
        </is>
      </c>
      <c r="K967" t="n">
        <v>513</v>
      </c>
      <c r="L967" t="n">
        <v>77</v>
      </c>
      <c r="M967" t="n">
        <v>17.48</v>
      </c>
      <c r="N967" t="n">
        <v>10021.78</v>
      </c>
      <c r="O967" t="n">
        <v>4.09</v>
      </c>
      <c r="P967" t="n">
        <v>5</v>
      </c>
      <c r="Q967" t="n">
        <v>1</v>
      </c>
      <c r="R967" t="n">
        <v>2021.6</v>
      </c>
      <c r="S967" t="b">
        <v>1</v>
      </c>
      <c r="T967" t="n">
        <v>991621</v>
      </c>
      <c r="U967" t="n">
        <v>10</v>
      </c>
      <c r="V967" t="n">
        <v>0.0265</v>
      </c>
      <c r="W967" t="n">
        <v>1.96</v>
      </c>
      <c r="X967" t="n">
        <v>79.91</v>
      </c>
      <c r="Y967">
        <f>VLOOKUP(D967,$AB$2:$AC$7,2,FALSE)</f>
        <v/>
      </c>
      <c r="Z967">
        <f>IF(A967&lt;Y967,"Yes","No")</f>
        <v/>
      </c>
    </row>
    <row r="968">
      <c r="A968" t="n">
        <v>2022</v>
      </c>
      <c r="B968" t="inlineStr">
        <is>
          <t>Q4</t>
        </is>
      </c>
      <c r="C968" t="inlineStr">
        <is>
          <t>Europe</t>
        </is>
      </c>
      <c r="D968" t="inlineStr">
        <is>
          <t>Model X</t>
        </is>
      </c>
      <c r="E968" t="n">
        <v>3713</v>
      </c>
      <c r="F968" t="n">
        <v>49628.78</v>
      </c>
      <c r="G968" t="n">
        <v>26</v>
      </c>
      <c r="H968" t="inlineStr">
        <is>
          <t>Standard</t>
        </is>
      </c>
      <c r="I968" t="inlineStr">
        <is>
          <t>RWD</t>
        </is>
      </c>
      <c r="J968" t="inlineStr">
        <is>
          <t>Black</t>
        </is>
      </c>
      <c r="K968" t="n">
        <v>680</v>
      </c>
      <c r="L968" t="n">
        <v>30</v>
      </c>
      <c r="M968" t="n">
        <v>14.09</v>
      </c>
      <c r="N968" t="n">
        <v>8879.74</v>
      </c>
      <c r="O968" t="n">
        <v>4.69</v>
      </c>
      <c r="P968" t="n">
        <v>5</v>
      </c>
      <c r="Q968" t="n">
        <v>2</v>
      </c>
      <c r="R968" t="n">
        <v>2020.5</v>
      </c>
      <c r="S968" t="b">
        <v>1</v>
      </c>
      <c r="T968" t="n">
        <v>196004</v>
      </c>
      <c r="U968" t="n">
        <v>2</v>
      </c>
      <c r="V968" t="n">
        <v>0.0645</v>
      </c>
      <c r="W968" t="n">
        <v>1.81</v>
      </c>
      <c r="X968" t="n">
        <v>71.83</v>
      </c>
      <c r="Y968">
        <f>VLOOKUP(D968,$AB$2:$AC$7,2,FALSE)</f>
        <v/>
      </c>
      <c r="Z968">
        <f>IF(A968&lt;Y968,"Yes","No")</f>
        <v/>
      </c>
    </row>
    <row r="969">
      <c r="A969" t="n">
        <v>2023</v>
      </c>
      <c r="B969" t="inlineStr">
        <is>
          <t>Q4</t>
        </is>
      </c>
      <c r="C969" t="inlineStr">
        <is>
          <t>North America</t>
        </is>
      </c>
      <c r="D969" t="inlineStr">
        <is>
          <t>Model 3</t>
        </is>
      </c>
      <c r="E969" t="n">
        <v>3407</v>
      </c>
      <c r="F969" t="n">
        <v>68872.66</v>
      </c>
      <c r="G969" t="n">
        <v>16</v>
      </c>
      <c r="H969" t="inlineStr">
        <is>
          <t>Long Range</t>
        </is>
      </c>
      <c r="I969" t="inlineStr">
        <is>
          <t>AWD</t>
        </is>
      </c>
      <c r="J969" t="inlineStr">
        <is>
          <t>Silver</t>
        </is>
      </c>
      <c r="K969" t="n">
        <v>534</v>
      </c>
      <c r="L969" t="n">
        <v>57</v>
      </c>
      <c r="M969" t="n">
        <v>15.33</v>
      </c>
      <c r="N969" t="n">
        <v>2158.36</v>
      </c>
      <c r="O969" t="n">
        <v>4.75</v>
      </c>
      <c r="P969" t="n">
        <v>4</v>
      </c>
      <c r="Q969" t="n">
        <v>0</v>
      </c>
      <c r="R969" t="n">
        <v>2021.1</v>
      </c>
      <c r="S969" t="b">
        <v>1</v>
      </c>
      <c r="T969" t="n">
        <v>518610</v>
      </c>
      <c r="U969" t="n">
        <v>3</v>
      </c>
      <c r="V969" t="n">
        <v>0.0617</v>
      </c>
      <c r="W969" t="n">
        <v>0.99</v>
      </c>
      <c r="X969" t="n">
        <v>82.89</v>
      </c>
      <c r="Y969">
        <f>VLOOKUP(D969,$AB$2:$AC$7,2,FALSE)</f>
        <v/>
      </c>
      <c r="Z969">
        <f>IF(A969&lt;Y969,"Yes","No")</f>
        <v/>
      </c>
    </row>
    <row r="970">
      <c r="A970" t="n">
        <v>2020</v>
      </c>
      <c r="B970" t="inlineStr">
        <is>
          <t>Q2</t>
        </is>
      </c>
      <c r="C970" t="inlineStr">
        <is>
          <t>Europe</t>
        </is>
      </c>
      <c r="D970" t="inlineStr">
        <is>
          <t>Model 3</t>
        </is>
      </c>
      <c r="E970" t="n">
        <v>2490</v>
      </c>
      <c r="F970" t="n">
        <v>106090.08</v>
      </c>
      <c r="G970" t="n">
        <v>5</v>
      </c>
      <c r="H970" t="inlineStr">
        <is>
          <t>Standard</t>
        </is>
      </c>
      <c r="I970" t="inlineStr">
        <is>
          <t>AWD</t>
        </is>
      </c>
      <c r="J970" t="inlineStr">
        <is>
          <t>Blue</t>
        </is>
      </c>
      <c r="K970" t="n">
        <v>352</v>
      </c>
      <c r="L970" t="n">
        <v>74</v>
      </c>
      <c r="M970" t="n">
        <v>13.56</v>
      </c>
      <c r="N970" t="n">
        <v>6051.15</v>
      </c>
      <c r="O970" t="n">
        <v>4.9</v>
      </c>
      <c r="P970" t="n">
        <v>5</v>
      </c>
      <c r="Q970" t="n">
        <v>3</v>
      </c>
      <c r="R970" t="n">
        <v>2023.11</v>
      </c>
      <c r="S970" t="b">
        <v>1</v>
      </c>
      <c r="T970" t="n">
        <v>2787465</v>
      </c>
      <c r="U970" t="n">
        <v>8</v>
      </c>
      <c r="V970" t="n">
        <v>0.0353</v>
      </c>
      <c r="W970" t="n">
        <v>0.72</v>
      </c>
      <c r="X970" t="n">
        <v>80.55</v>
      </c>
      <c r="Y970">
        <f>VLOOKUP(D970,$AB$2:$AC$7,2,FALSE)</f>
        <v/>
      </c>
      <c r="Z970">
        <f>IF(A970&lt;Y970,"Yes","No")</f>
        <v/>
      </c>
    </row>
    <row r="971">
      <c r="A971" t="n">
        <v>2018</v>
      </c>
      <c r="B971" t="inlineStr">
        <is>
          <t>Q1</t>
        </is>
      </c>
      <c r="C971" t="inlineStr">
        <is>
          <t>Australia</t>
        </is>
      </c>
      <c r="D971" t="inlineStr">
        <is>
          <t>Model Y</t>
        </is>
      </c>
      <c r="E971" t="n">
        <v>1113</v>
      </c>
      <c r="F971" t="n">
        <v>68228.39999999999</v>
      </c>
      <c r="G971" t="n">
        <v>13</v>
      </c>
      <c r="H971" t="inlineStr">
        <is>
          <t>Performance</t>
        </is>
      </c>
      <c r="I971" t="inlineStr">
        <is>
          <t>RWD</t>
        </is>
      </c>
      <c r="J971" t="inlineStr">
        <is>
          <t>Red</t>
        </is>
      </c>
      <c r="K971" t="n">
        <v>357</v>
      </c>
      <c r="L971" t="n">
        <v>66</v>
      </c>
      <c r="M971" t="n">
        <v>16.91</v>
      </c>
      <c r="N971" t="n">
        <v>1587.2</v>
      </c>
      <c r="O971" t="n">
        <v>3.8</v>
      </c>
      <c r="P971" t="n">
        <v>8</v>
      </c>
      <c r="Q971" t="n">
        <v>0</v>
      </c>
      <c r="R971" t="n">
        <v>2023.7</v>
      </c>
      <c r="S971" t="b">
        <v>1</v>
      </c>
      <c r="T971" t="n">
        <v>1970084</v>
      </c>
      <c r="U971" t="n">
        <v>12</v>
      </c>
      <c r="V971" t="n">
        <v>0.02</v>
      </c>
      <c r="W971" t="n">
        <v>2.47</v>
      </c>
      <c r="X971" t="n">
        <v>86.58</v>
      </c>
      <c r="Y971">
        <f>VLOOKUP(D971,$AB$2:$AC$7,2,FALSE)</f>
        <v/>
      </c>
      <c r="Z971">
        <f>IF(A971&lt;Y971,"Yes","No")</f>
        <v/>
      </c>
    </row>
    <row r="972">
      <c r="A972" t="n">
        <v>2024</v>
      </c>
      <c r="B972" t="inlineStr">
        <is>
          <t>Q4</t>
        </is>
      </c>
      <c r="C972" t="inlineStr">
        <is>
          <t>North America</t>
        </is>
      </c>
      <c r="D972" t="inlineStr">
        <is>
          <t>Model S</t>
        </is>
      </c>
      <c r="E972" t="n">
        <v>2171</v>
      </c>
      <c r="F972" t="n">
        <v>59064.71</v>
      </c>
      <c r="G972" t="n">
        <v>5</v>
      </c>
      <c r="H972" t="inlineStr">
        <is>
          <t>Long Range</t>
        </is>
      </c>
      <c r="I972" t="inlineStr">
        <is>
          <t>RWD</t>
        </is>
      </c>
      <c r="J972" t="inlineStr">
        <is>
          <t>Black</t>
        </is>
      </c>
      <c r="K972" t="n">
        <v>452</v>
      </c>
      <c r="L972" t="n">
        <v>75</v>
      </c>
      <c r="M972" t="n">
        <v>14.19</v>
      </c>
      <c r="N972" t="n">
        <v>2600.71</v>
      </c>
      <c r="O972" t="n">
        <v>4.85</v>
      </c>
      <c r="P972" t="n">
        <v>6</v>
      </c>
      <c r="Q972" t="n">
        <v>0</v>
      </c>
      <c r="R972" t="n">
        <v>2021.8</v>
      </c>
      <c r="S972" t="b">
        <v>1</v>
      </c>
      <c r="T972" t="n">
        <v>3991659</v>
      </c>
      <c r="U972" t="n">
        <v>9</v>
      </c>
      <c r="V972" t="n">
        <v>0.0693</v>
      </c>
      <c r="W972" t="n">
        <v>1.28</v>
      </c>
      <c r="X972" t="n">
        <v>70.86</v>
      </c>
      <c r="Y972">
        <f>VLOOKUP(D972,$AB$2:$AC$7,2,FALSE)</f>
        <v/>
      </c>
      <c r="Z972">
        <f>IF(A972&lt;Y972,"Yes","No")</f>
        <v/>
      </c>
    </row>
    <row r="973">
      <c r="A973" t="n">
        <v>2018</v>
      </c>
      <c r="B973" t="inlineStr">
        <is>
          <t>Q1</t>
        </is>
      </c>
      <c r="C973" t="inlineStr">
        <is>
          <t>Australia</t>
        </is>
      </c>
      <c r="D973" t="inlineStr">
        <is>
          <t>Semi</t>
        </is>
      </c>
      <c r="E973" t="n">
        <v>1757</v>
      </c>
      <c r="F973" t="n">
        <v>102153.32</v>
      </c>
      <c r="G973" t="n">
        <v>38</v>
      </c>
      <c r="H973" t="inlineStr">
        <is>
          <t>Long Range</t>
        </is>
      </c>
      <c r="I973" t="inlineStr">
        <is>
          <t>AWD</t>
        </is>
      </c>
      <c r="J973" t="inlineStr">
        <is>
          <t>Silver</t>
        </is>
      </c>
      <c r="K973" t="n">
        <v>373</v>
      </c>
      <c r="L973" t="n">
        <v>82</v>
      </c>
      <c r="M973" t="n">
        <v>16.33</v>
      </c>
      <c r="N973" t="n">
        <v>2384.48</v>
      </c>
      <c r="O973" t="n">
        <v>3.6</v>
      </c>
      <c r="P973" t="n">
        <v>6</v>
      </c>
      <c r="Q973" t="n">
        <v>2</v>
      </c>
      <c r="R973" t="n">
        <v>2020.9</v>
      </c>
      <c r="S973" t="b">
        <v>0</v>
      </c>
      <c r="T973" t="n">
        <v>265866</v>
      </c>
      <c r="U973" t="n">
        <v>3</v>
      </c>
      <c r="V973" t="n">
        <v>0.0852</v>
      </c>
      <c r="W973" t="n">
        <v>1.49</v>
      </c>
      <c r="X973" t="n">
        <v>78.45999999999999</v>
      </c>
      <c r="Y973">
        <f>VLOOKUP(D973,$AB$2:$AC$7,2,FALSE)</f>
        <v/>
      </c>
      <c r="Z973">
        <f>IF(A973&lt;Y973,"Yes","No")</f>
        <v/>
      </c>
    </row>
    <row r="974">
      <c r="A974" t="n">
        <v>2015</v>
      </c>
      <c r="B974" t="inlineStr">
        <is>
          <t>Q2</t>
        </is>
      </c>
      <c r="C974" t="inlineStr">
        <is>
          <t>Asia</t>
        </is>
      </c>
      <c r="D974" t="inlineStr">
        <is>
          <t>Semi</t>
        </is>
      </c>
      <c r="E974" t="n">
        <v>1547</v>
      </c>
      <c r="F974" t="n">
        <v>38499.99</v>
      </c>
      <c r="G974" t="n">
        <v>10</v>
      </c>
      <c r="H974" t="inlineStr">
        <is>
          <t>Long Range</t>
        </is>
      </c>
      <c r="I974" t="inlineStr">
        <is>
          <t>AWD</t>
        </is>
      </c>
      <c r="J974" t="inlineStr">
        <is>
          <t>Blue</t>
        </is>
      </c>
      <c r="K974" t="n">
        <v>507</v>
      </c>
      <c r="L974" t="n">
        <v>47</v>
      </c>
      <c r="M974" t="n">
        <v>22.26</v>
      </c>
      <c r="N974" t="n">
        <v>1014.12</v>
      </c>
      <c r="O974" t="n">
        <v>4.24</v>
      </c>
      <c r="P974" t="n">
        <v>5</v>
      </c>
      <c r="Q974" t="n">
        <v>2</v>
      </c>
      <c r="R974" t="n">
        <v>2022.7</v>
      </c>
      <c r="S974" t="b">
        <v>0</v>
      </c>
      <c r="T974" t="n">
        <v>1747276</v>
      </c>
      <c r="U974" t="n">
        <v>10</v>
      </c>
      <c r="V974" t="n">
        <v>0.0842</v>
      </c>
      <c r="W974" t="n">
        <v>1.65</v>
      </c>
      <c r="X974" t="n">
        <v>73.45999999999999</v>
      </c>
      <c r="Y974">
        <f>VLOOKUP(D974,$AB$2:$AC$7,2,FALSE)</f>
        <v/>
      </c>
      <c r="Z974">
        <f>IF(A974&lt;Y974,"Yes","No")</f>
        <v/>
      </c>
    </row>
    <row r="975">
      <c r="A975" t="n">
        <v>2024</v>
      </c>
      <c r="B975" t="inlineStr">
        <is>
          <t>Q1</t>
        </is>
      </c>
      <c r="C975" t="inlineStr">
        <is>
          <t>Europe</t>
        </is>
      </c>
      <c r="D975" t="inlineStr">
        <is>
          <t>Model X</t>
        </is>
      </c>
      <c r="E975" t="n">
        <v>2453</v>
      </c>
      <c r="F975" t="n">
        <v>100680.42</v>
      </c>
      <c r="G975" t="n">
        <v>23</v>
      </c>
      <c r="H975" t="inlineStr">
        <is>
          <t>Performance</t>
        </is>
      </c>
      <c r="I975" t="inlineStr">
        <is>
          <t>AWD</t>
        </is>
      </c>
      <c r="J975" t="inlineStr">
        <is>
          <t>Blue</t>
        </is>
      </c>
      <c r="K975" t="n">
        <v>420</v>
      </c>
      <c r="L975" t="n">
        <v>56</v>
      </c>
      <c r="M975" t="n">
        <v>19.71</v>
      </c>
      <c r="N975" t="n">
        <v>1429.91</v>
      </c>
      <c r="O975" t="n">
        <v>4.53</v>
      </c>
      <c r="P975" t="n">
        <v>5</v>
      </c>
      <c r="Q975" t="n">
        <v>1</v>
      </c>
      <c r="R975" t="n">
        <v>2024.7</v>
      </c>
      <c r="S975" t="b">
        <v>0</v>
      </c>
      <c r="T975" t="n">
        <v>630321</v>
      </c>
      <c r="U975" t="n">
        <v>12</v>
      </c>
      <c r="V975" t="n">
        <v>0.0111</v>
      </c>
      <c r="W975" t="n">
        <v>2.41</v>
      </c>
      <c r="X975" t="n">
        <v>77.87</v>
      </c>
      <c r="Y975">
        <f>VLOOKUP(D975,$AB$2:$AC$7,2,FALSE)</f>
        <v/>
      </c>
      <c r="Z975">
        <f>IF(A975&lt;Y975,"Yes","No")</f>
        <v/>
      </c>
    </row>
    <row r="976">
      <c r="A976" t="n">
        <v>2015</v>
      </c>
      <c r="B976" t="inlineStr">
        <is>
          <t>Q3</t>
        </is>
      </c>
      <c r="C976" t="inlineStr">
        <is>
          <t>Asia</t>
        </is>
      </c>
      <c r="D976" t="inlineStr">
        <is>
          <t>Model Y</t>
        </is>
      </c>
      <c r="E976" t="n">
        <v>2244</v>
      </c>
      <c r="F976" t="n">
        <v>49822.39</v>
      </c>
      <c r="G976" t="n">
        <v>25</v>
      </c>
      <c r="H976" t="inlineStr">
        <is>
          <t>Performance</t>
        </is>
      </c>
      <c r="I976" t="inlineStr">
        <is>
          <t>RWD</t>
        </is>
      </c>
      <c r="J976" t="inlineStr">
        <is>
          <t>Black</t>
        </is>
      </c>
      <c r="K976" t="n">
        <v>514</v>
      </c>
      <c r="L976" t="n">
        <v>79</v>
      </c>
      <c r="M976" t="n">
        <v>20.08</v>
      </c>
      <c r="N976" t="n">
        <v>1193.82</v>
      </c>
      <c r="O976" t="n">
        <v>4.7</v>
      </c>
      <c r="P976" t="n">
        <v>5</v>
      </c>
      <c r="Q976" t="n">
        <v>3</v>
      </c>
      <c r="R976" t="n">
        <v>2024.2</v>
      </c>
      <c r="S976" t="b">
        <v>0</v>
      </c>
      <c r="T976" t="n">
        <v>3684796</v>
      </c>
      <c r="U976" t="n">
        <v>2</v>
      </c>
      <c r="V976" t="n">
        <v>0.0374</v>
      </c>
      <c r="W976" t="n">
        <v>2.19</v>
      </c>
      <c r="X976" t="n">
        <v>79.05</v>
      </c>
      <c r="Y976">
        <f>VLOOKUP(D976,$AB$2:$AC$7,2,FALSE)</f>
        <v/>
      </c>
      <c r="Z976">
        <f>IF(A976&lt;Y976,"Yes","No")</f>
        <v/>
      </c>
    </row>
    <row r="977">
      <c r="A977" t="n">
        <v>2023</v>
      </c>
      <c r="B977" t="inlineStr">
        <is>
          <t>Q1</t>
        </is>
      </c>
      <c r="C977" t="inlineStr">
        <is>
          <t>Asia</t>
        </is>
      </c>
      <c r="D977" t="inlineStr">
        <is>
          <t>Model 3</t>
        </is>
      </c>
      <c r="E977" t="n">
        <v>3782</v>
      </c>
      <c r="F977" t="n">
        <v>77941.05</v>
      </c>
      <c r="G977" t="n">
        <v>58</v>
      </c>
      <c r="H977" t="inlineStr">
        <is>
          <t>Performance</t>
        </is>
      </c>
      <c r="I977" t="inlineStr">
        <is>
          <t>RWD</t>
        </is>
      </c>
      <c r="J977" t="inlineStr">
        <is>
          <t>White</t>
        </is>
      </c>
      <c r="K977" t="n">
        <v>458</v>
      </c>
      <c r="L977" t="n">
        <v>59</v>
      </c>
      <c r="M977" t="n">
        <v>13.61</v>
      </c>
      <c r="N977" t="n">
        <v>7395.64</v>
      </c>
      <c r="O977" t="n">
        <v>3.62</v>
      </c>
      <c r="P977" t="n">
        <v>8</v>
      </c>
      <c r="Q977" t="n">
        <v>2</v>
      </c>
      <c r="R977" t="n">
        <v>2023.5</v>
      </c>
      <c r="S977" t="b">
        <v>0</v>
      </c>
      <c r="T977" t="n">
        <v>4020448</v>
      </c>
      <c r="U977" t="n">
        <v>4</v>
      </c>
      <c r="V977" t="n">
        <v>0.0711</v>
      </c>
      <c r="W977" t="n">
        <v>1.28</v>
      </c>
      <c r="X977" t="n">
        <v>67.02</v>
      </c>
      <c r="Y977">
        <f>VLOOKUP(D977,$AB$2:$AC$7,2,FALSE)</f>
        <v/>
      </c>
      <c r="Z977">
        <f>IF(A977&lt;Y977,"Yes","No")</f>
        <v/>
      </c>
    </row>
    <row r="978">
      <c r="A978" t="n">
        <v>2020</v>
      </c>
      <c r="B978" t="inlineStr">
        <is>
          <t>Q1</t>
        </is>
      </c>
      <c r="C978" t="inlineStr">
        <is>
          <t>Asia</t>
        </is>
      </c>
      <c r="D978" t="inlineStr">
        <is>
          <t>Semi</t>
        </is>
      </c>
      <c r="E978" t="n">
        <v>2482</v>
      </c>
      <c r="F978" t="n">
        <v>109992.78</v>
      </c>
      <c r="G978" t="n">
        <v>5</v>
      </c>
      <c r="H978" t="inlineStr">
        <is>
          <t>Performance</t>
        </is>
      </c>
      <c r="I978" t="inlineStr">
        <is>
          <t>RWD</t>
        </is>
      </c>
      <c r="J978" t="inlineStr">
        <is>
          <t>Silver</t>
        </is>
      </c>
      <c r="K978" t="n">
        <v>661</v>
      </c>
      <c r="L978" t="n">
        <v>66</v>
      </c>
      <c r="M978" t="n">
        <v>13.4</v>
      </c>
      <c r="N978" t="n">
        <v>1537.9</v>
      </c>
      <c r="O978" t="n">
        <v>4.18</v>
      </c>
      <c r="P978" t="n">
        <v>5</v>
      </c>
      <c r="Q978" t="n">
        <v>0</v>
      </c>
      <c r="R978" t="n">
        <v>2020.9</v>
      </c>
      <c r="S978" t="b">
        <v>0</v>
      </c>
      <c r="T978" t="n">
        <v>2906169</v>
      </c>
      <c r="U978" t="n">
        <v>2</v>
      </c>
      <c r="V978" t="n">
        <v>0.0728</v>
      </c>
      <c r="W978" t="n">
        <v>1.8</v>
      </c>
      <c r="X978" t="n">
        <v>85.13</v>
      </c>
      <c r="Y978">
        <f>VLOOKUP(D978,$AB$2:$AC$7,2,FALSE)</f>
        <v/>
      </c>
      <c r="Z978">
        <f>IF(A978&lt;Y978,"Yes","No")</f>
        <v/>
      </c>
    </row>
    <row r="979">
      <c r="A979" t="n">
        <v>2018</v>
      </c>
      <c r="B979" t="inlineStr">
        <is>
          <t>Q1</t>
        </is>
      </c>
      <c r="C979" t="inlineStr">
        <is>
          <t>Asia</t>
        </is>
      </c>
      <c r="D979" t="inlineStr">
        <is>
          <t>Model 3</t>
        </is>
      </c>
      <c r="E979" t="n">
        <v>3026</v>
      </c>
      <c r="F979" t="n">
        <v>70011.28</v>
      </c>
      <c r="G979" t="n">
        <v>56</v>
      </c>
      <c r="H979" t="inlineStr">
        <is>
          <t>Long Range</t>
        </is>
      </c>
      <c r="I979" t="inlineStr">
        <is>
          <t>AWD</t>
        </is>
      </c>
      <c r="J979" t="inlineStr">
        <is>
          <t>White</t>
        </is>
      </c>
      <c r="K979" t="n">
        <v>368</v>
      </c>
      <c r="L979" t="n">
        <v>44</v>
      </c>
      <c r="M979" t="n">
        <v>21.47</v>
      </c>
      <c r="N979" t="n">
        <v>4201.34</v>
      </c>
      <c r="O979" t="n">
        <v>4.87</v>
      </c>
      <c r="P979" t="n">
        <v>5</v>
      </c>
      <c r="Q979" t="n">
        <v>1</v>
      </c>
      <c r="R979" t="n">
        <v>2020.7</v>
      </c>
      <c r="S979" t="b">
        <v>0</v>
      </c>
      <c r="T979" t="n">
        <v>3791252</v>
      </c>
      <c r="U979" t="n">
        <v>12</v>
      </c>
      <c r="V979" t="n">
        <v>0.029</v>
      </c>
      <c r="W979" t="n">
        <v>2.13</v>
      </c>
      <c r="X979" t="n">
        <v>74.13</v>
      </c>
      <c r="Y979">
        <f>VLOOKUP(D979,$AB$2:$AC$7,2,FALSE)</f>
        <v/>
      </c>
      <c r="Z979">
        <f>IF(A979&lt;Y979,"Yes","No")</f>
        <v/>
      </c>
    </row>
    <row r="980">
      <c r="A980" t="n">
        <v>2024</v>
      </c>
      <c r="B980" t="inlineStr">
        <is>
          <t>Q1</t>
        </is>
      </c>
      <c r="C980" t="inlineStr">
        <is>
          <t>South America</t>
        </is>
      </c>
      <c r="D980" t="inlineStr">
        <is>
          <t>Model 3</t>
        </is>
      </c>
      <c r="E980" t="n">
        <v>1549</v>
      </c>
      <c r="F980" t="n">
        <v>97466.12</v>
      </c>
      <c r="G980" t="n">
        <v>26</v>
      </c>
      <c r="H980" t="inlineStr">
        <is>
          <t>Long Range</t>
        </is>
      </c>
      <c r="I980" t="inlineStr">
        <is>
          <t>RWD</t>
        </is>
      </c>
      <c r="J980" t="inlineStr">
        <is>
          <t>Silver</t>
        </is>
      </c>
      <c r="K980" t="n">
        <v>678</v>
      </c>
      <c r="L980" t="n">
        <v>47</v>
      </c>
      <c r="M980" t="n">
        <v>22.31</v>
      </c>
      <c r="N980" t="n">
        <v>2677.63</v>
      </c>
      <c r="O980" t="n">
        <v>4.66</v>
      </c>
      <c r="P980" t="n">
        <v>8</v>
      </c>
      <c r="Q980" t="n">
        <v>3</v>
      </c>
      <c r="R980" t="n">
        <v>2022.4</v>
      </c>
      <c r="S980" t="b">
        <v>0</v>
      </c>
      <c r="T980" t="n">
        <v>491671</v>
      </c>
      <c r="U980" t="n">
        <v>8</v>
      </c>
      <c r="V980" t="n">
        <v>0.0524</v>
      </c>
      <c r="W980" t="n">
        <v>0.91</v>
      </c>
      <c r="X980" t="n">
        <v>72.44</v>
      </c>
      <c r="Y980">
        <f>VLOOKUP(D980,$AB$2:$AC$7,2,FALSE)</f>
        <v/>
      </c>
      <c r="Z980">
        <f>IF(A980&lt;Y980,"Yes","No")</f>
        <v/>
      </c>
    </row>
    <row r="981">
      <c r="A981" t="n">
        <v>2016</v>
      </c>
      <c r="B981" t="inlineStr">
        <is>
          <t>Q2</t>
        </is>
      </c>
      <c r="C981" t="inlineStr">
        <is>
          <t>South America</t>
        </is>
      </c>
      <c r="D981" t="inlineStr">
        <is>
          <t>Semi</t>
        </is>
      </c>
      <c r="E981" t="n">
        <v>4176</v>
      </c>
      <c r="F981" t="n">
        <v>99254.81</v>
      </c>
      <c r="G981" t="n">
        <v>25</v>
      </c>
      <c r="H981" t="inlineStr">
        <is>
          <t>Standard</t>
        </is>
      </c>
      <c r="I981" t="inlineStr">
        <is>
          <t>RWD</t>
        </is>
      </c>
      <c r="J981" t="inlineStr">
        <is>
          <t>Green</t>
        </is>
      </c>
      <c r="K981" t="n">
        <v>515</v>
      </c>
      <c r="L981" t="n">
        <v>84</v>
      </c>
      <c r="M981" t="n">
        <v>13.26</v>
      </c>
      <c r="N981" t="n">
        <v>7690.07</v>
      </c>
      <c r="O981" t="n">
        <v>3.95</v>
      </c>
      <c r="P981" t="n">
        <v>5</v>
      </c>
      <c r="Q981" t="n">
        <v>1</v>
      </c>
      <c r="R981" t="n">
        <v>2020.12</v>
      </c>
      <c r="S981" t="b">
        <v>0</v>
      </c>
      <c r="T981" t="n">
        <v>592266</v>
      </c>
      <c r="U981" t="n">
        <v>6</v>
      </c>
      <c r="V981" t="n">
        <v>0.0683</v>
      </c>
      <c r="W981" t="n">
        <v>1.62</v>
      </c>
      <c r="X981" t="n">
        <v>82.95</v>
      </c>
      <c r="Y981">
        <f>VLOOKUP(D981,$AB$2:$AC$7,2,FALSE)</f>
        <v/>
      </c>
      <c r="Z981">
        <f>IF(A981&lt;Y981,"Yes","No")</f>
        <v/>
      </c>
    </row>
    <row r="982">
      <c r="A982" t="n">
        <v>2024</v>
      </c>
      <c r="B982" t="inlineStr">
        <is>
          <t>Q1</t>
        </is>
      </c>
      <c r="C982" t="inlineStr">
        <is>
          <t>South America</t>
        </is>
      </c>
      <c r="D982" t="inlineStr">
        <is>
          <t>Model Y</t>
        </is>
      </c>
      <c r="E982" t="n">
        <v>3677</v>
      </c>
      <c r="F982" t="n">
        <v>37527.86</v>
      </c>
      <c r="G982" t="n">
        <v>25</v>
      </c>
      <c r="H982" t="inlineStr">
        <is>
          <t>Standard</t>
        </is>
      </c>
      <c r="I982" t="inlineStr">
        <is>
          <t>AWD</t>
        </is>
      </c>
      <c r="J982" t="inlineStr">
        <is>
          <t>Red</t>
        </is>
      </c>
      <c r="K982" t="n">
        <v>385</v>
      </c>
      <c r="L982" t="n">
        <v>55</v>
      </c>
      <c r="M982" t="n">
        <v>22.16</v>
      </c>
      <c r="N982" t="n">
        <v>6088.23</v>
      </c>
      <c r="O982" t="n">
        <v>4.94</v>
      </c>
      <c r="P982" t="n">
        <v>4</v>
      </c>
      <c r="Q982" t="n">
        <v>3</v>
      </c>
      <c r="R982" t="n">
        <v>2021.1</v>
      </c>
      <c r="S982" t="b">
        <v>1</v>
      </c>
      <c r="T982" t="n">
        <v>4369551</v>
      </c>
      <c r="U982" t="n">
        <v>11</v>
      </c>
      <c r="V982" t="n">
        <v>0.0172</v>
      </c>
      <c r="W982" t="n">
        <v>2.49</v>
      </c>
      <c r="X982" t="n">
        <v>84.48999999999999</v>
      </c>
      <c r="Y982">
        <f>VLOOKUP(D982,$AB$2:$AC$7,2,FALSE)</f>
        <v/>
      </c>
      <c r="Z982">
        <f>IF(A982&lt;Y982,"Yes","No")</f>
        <v/>
      </c>
    </row>
    <row r="983">
      <c r="A983" t="n">
        <v>2014</v>
      </c>
      <c r="B983" t="inlineStr">
        <is>
          <t>Q4</t>
        </is>
      </c>
      <c r="C983" t="inlineStr">
        <is>
          <t>North America</t>
        </is>
      </c>
      <c r="D983" t="inlineStr">
        <is>
          <t>Cybertruck</t>
        </is>
      </c>
      <c r="E983" t="n">
        <v>1310</v>
      </c>
      <c r="F983" t="n">
        <v>70587.75999999999</v>
      </c>
      <c r="G983" t="n">
        <v>20</v>
      </c>
      <c r="H983" t="inlineStr">
        <is>
          <t>Standard</t>
        </is>
      </c>
      <c r="I983" t="inlineStr">
        <is>
          <t>AWD</t>
        </is>
      </c>
      <c r="J983" t="inlineStr">
        <is>
          <t>Blue</t>
        </is>
      </c>
      <c r="K983" t="n">
        <v>396</v>
      </c>
      <c r="L983" t="n">
        <v>59</v>
      </c>
      <c r="M983" t="n">
        <v>21.85</v>
      </c>
      <c r="N983" t="n">
        <v>3070.78</v>
      </c>
      <c r="O983" t="n">
        <v>4.3</v>
      </c>
      <c r="P983" t="n">
        <v>6</v>
      </c>
      <c r="Q983" t="n">
        <v>2</v>
      </c>
      <c r="R983" t="n">
        <v>2021.7</v>
      </c>
      <c r="S983" t="b">
        <v>0</v>
      </c>
      <c r="T983" t="n">
        <v>1423177</v>
      </c>
      <c r="U983" t="n">
        <v>2</v>
      </c>
      <c r="V983" t="n">
        <v>0.0286</v>
      </c>
      <c r="W983" t="n">
        <v>1.89</v>
      </c>
      <c r="X983" t="n">
        <v>76.06999999999999</v>
      </c>
      <c r="Y983">
        <f>VLOOKUP(D983,$AB$2:$AC$7,2,FALSE)</f>
        <v/>
      </c>
      <c r="Z983">
        <f>IF(A983&lt;Y983,"Yes","No")</f>
        <v/>
      </c>
    </row>
    <row r="984">
      <c r="A984" t="n">
        <v>2022</v>
      </c>
      <c r="B984" t="inlineStr">
        <is>
          <t>Q2</t>
        </is>
      </c>
      <c r="C984" t="inlineStr">
        <is>
          <t>North America</t>
        </is>
      </c>
      <c r="D984" t="inlineStr">
        <is>
          <t>Semi</t>
        </is>
      </c>
      <c r="E984" t="n">
        <v>1994</v>
      </c>
      <c r="F984" t="n">
        <v>116399.51</v>
      </c>
      <c r="G984" t="n">
        <v>19</v>
      </c>
      <c r="H984" t="inlineStr">
        <is>
          <t>Performance</t>
        </is>
      </c>
      <c r="I984" t="inlineStr">
        <is>
          <t>AWD</t>
        </is>
      </c>
      <c r="J984" t="inlineStr">
        <is>
          <t>Red</t>
        </is>
      </c>
      <c r="K984" t="n">
        <v>494</v>
      </c>
      <c r="L984" t="n">
        <v>52</v>
      </c>
      <c r="M984" t="n">
        <v>22.3</v>
      </c>
      <c r="N984" t="n">
        <v>3431.66</v>
      </c>
      <c r="O984" t="n">
        <v>4.13</v>
      </c>
      <c r="P984" t="n">
        <v>4</v>
      </c>
      <c r="Q984" t="n">
        <v>3</v>
      </c>
      <c r="R984" t="n">
        <v>2024.3</v>
      </c>
      <c r="S984" t="b">
        <v>1</v>
      </c>
      <c r="T984" t="n">
        <v>2951947</v>
      </c>
      <c r="U984" t="n">
        <v>10</v>
      </c>
      <c r="V984" t="n">
        <v>0.0495</v>
      </c>
      <c r="W984" t="n">
        <v>0.5</v>
      </c>
      <c r="X984" t="n">
        <v>67.75</v>
      </c>
      <c r="Y984">
        <f>VLOOKUP(D984,$AB$2:$AC$7,2,FALSE)</f>
        <v/>
      </c>
      <c r="Z984">
        <f>IF(A984&lt;Y984,"Yes","No")</f>
        <v/>
      </c>
    </row>
    <row r="985">
      <c r="A985" t="n">
        <v>2021</v>
      </c>
      <c r="B985" t="inlineStr">
        <is>
          <t>Q2</t>
        </is>
      </c>
      <c r="C985" t="inlineStr">
        <is>
          <t>Asia</t>
        </is>
      </c>
      <c r="D985" t="inlineStr">
        <is>
          <t>Model 3</t>
        </is>
      </c>
      <c r="E985" t="n">
        <v>4649</v>
      </c>
      <c r="F985" t="n">
        <v>112559.34</v>
      </c>
      <c r="G985" t="n">
        <v>47</v>
      </c>
      <c r="H985" t="inlineStr">
        <is>
          <t>Long Range</t>
        </is>
      </c>
      <c r="I985" t="inlineStr">
        <is>
          <t>AWD</t>
        </is>
      </c>
      <c r="J985" t="inlineStr">
        <is>
          <t>Red</t>
        </is>
      </c>
      <c r="K985" t="n">
        <v>425</v>
      </c>
      <c r="L985" t="n">
        <v>80</v>
      </c>
      <c r="M985" t="n">
        <v>23.46</v>
      </c>
      <c r="N985" t="n">
        <v>8631.280000000001</v>
      </c>
      <c r="O985" t="n">
        <v>4.61</v>
      </c>
      <c r="P985" t="n">
        <v>8</v>
      </c>
      <c r="Q985" t="n">
        <v>0</v>
      </c>
      <c r="R985" t="n">
        <v>2023.8</v>
      </c>
      <c r="S985" t="b">
        <v>1</v>
      </c>
      <c r="T985" t="n">
        <v>3341061</v>
      </c>
      <c r="U985" t="n">
        <v>12</v>
      </c>
      <c r="V985" t="n">
        <v>0.0439</v>
      </c>
      <c r="W985" t="n">
        <v>1.78</v>
      </c>
      <c r="X985" t="n">
        <v>79.90000000000001</v>
      </c>
      <c r="Y985">
        <f>VLOOKUP(D985,$AB$2:$AC$7,2,FALSE)</f>
        <v/>
      </c>
      <c r="Z985">
        <f>IF(A985&lt;Y985,"Yes","No")</f>
        <v/>
      </c>
    </row>
    <row r="986">
      <c r="A986" t="n">
        <v>2022</v>
      </c>
      <c r="B986" t="inlineStr">
        <is>
          <t>Q1</t>
        </is>
      </c>
      <c r="C986" t="inlineStr">
        <is>
          <t>Asia</t>
        </is>
      </c>
      <c r="D986" t="inlineStr">
        <is>
          <t>Semi</t>
        </is>
      </c>
      <c r="E986" t="n">
        <v>4372</v>
      </c>
      <c r="F986" t="n">
        <v>84291.36</v>
      </c>
      <c r="G986" t="n">
        <v>48</v>
      </c>
      <c r="H986" t="inlineStr">
        <is>
          <t>Standard</t>
        </is>
      </c>
      <c r="I986" t="inlineStr">
        <is>
          <t>AWD</t>
        </is>
      </c>
      <c r="J986" t="inlineStr">
        <is>
          <t>Blue</t>
        </is>
      </c>
      <c r="K986" t="n">
        <v>683</v>
      </c>
      <c r="L986" t="n">
        <v>84</v>
      </c>
      <c r="M986" t="n">
        <v>16.03</v>
      </c>
      <c r="N986" t="n">
        <v>8939.860000000001</v>
      </c>
      <c r="O986" t="n">
        <v>4.88</v>
      </c>
      <c r="P986" t="n">
        <v>5</v>
      </c>
      <c r="Q986" t="n">
        <v>0</v>
      </c>
      <c r="R986" t="n">
        <v>2022.1</v>
      </c>
      <c r="S986" t="b">
        <v>1</v>
      </c>
      <c r="T986" t="n">
        <v>3864541</v>
      </c>
      <c r="U986" t="n">
        <v>2</v>
      </c>
      <c r="V986" t="n">
        <v>0.0203</v>
      </c>
      <c r="W986" t="n">
        <v>0.61</v>
      </c>
      <c r="X986" t="n">
        <v>77.97</v>
      </c>
      <c r="Y986">
        <f>VLOOKUP(D986,$AB$2:$AC$7,2,FALSE)</f>
        <v/>
      </c>
      <c r="Z986">
        <f>IF(A986&lt;Y986,"Yes","No")</f>
        <v/>
      </c>
    </row>
    <row r="987">
      <c r="A987" t="n">
        <v>2014</v>
      </c>
      <c r="B987" t="inlineStr">
        <is>
          <t>Q4</t>
        </is>
      </c>
      <c r="C987" t="inlineStr">
        <is>
          <t>Asia</t>
        </is>
      </c>
      <c r="D987" t="inlineStr">
        <is>
          <t>Model S</t>
        </is>
      </c>
      <c r="E987" t="n">
        <v>3705</v>
      </c>
      <c r="F987" t="n">
        <v>109786.02</v>
      </c>
      <c r="G987" t="n">
        <v>13</v>
      </c>
      <c r="H987" t="inlineStr">
        <is>
          <t>Standard</t>
        </is>
      </c>
      <c r="I987" t="inlineStr">
        <is>
          <t>AWD</t>
        </is>
      </c>
      <c r="J987" t="inlineStr">
        <is>
          <t>Silver</t>
        </is>
      </c>
      <c r="K987" t="n">
        <v>677</v>
      </c>
      <c r="L987" t="n">
        <v>87</v>
      </c>
      <c r="M987" t="n">
        <v>23.39</v>
      </c>
      <c r="N987" t="n">
        <v>8217.709999999999</v>
      </c>
      <c r="O987" t="n">
        <v>4.18</v>
      </c>
      <c r="P987" t="n">
        <v>8</v>
      </c>
      <c r="Q987" t="n">
        <v>1</v>
      </c>
      <c r="R987" t="n">
        <v>2024.3</v>
      </c>
      <c r="S987" t="b">
        <v>0</v>
      </c>
      <c r="T987" t="n">
        <v>4715980</v>
      </c>
      <c r="U987" t="n">
        <v>4</v>
      </c>
      <c r="V987" t="n">
        <v>0.06859999999999999</v>
      </c>
      <c r="W987" t="n">
        <v>2.04</v>
      </c>
      <c r="X987" t="n">
        <v>84.98999999999999</v>
      </c>
      <c r="Y987">
        <f>VLOOKUP(D987,$AB$2:$AC$7,2,FALSE)</f>
        <v/>
      </c>
      <c r="Z987">
        <f>IF(A987&lt;Y987,"Yes","No")</f>
        <v/>
      </c>
    </row>
    <row r="988">
      <c r="A988" t="n">
        <v>2020</v>
      </c>
      <c r="B988" t="inlineStr">
        <is>
          <t>Q3</t>
        </is>
      </c>
      <c r="C988" t="inlineStr">
        <is>
          <t>North America</t>
        </is>
      </c>
      <c r="D988" t="inlineStr">
        <is>
          <t>Semi</t>
        </is>
      </c>
      <c r="E988" t="n">
        <v>207</v>
      </c>
      <c r="F988" t="n">
        <v>73899.67999999999</v>
      </c>
      <c r="G988" t="n">
        <v>33</v>
      </c>
      <c r="H988" t="inlineStr">
        <is>
          <t>Performance</t>
        </is>
      </c>
      <c r="I988" t="inlineStr">
        <is>
          <t>RWD</t>
        </is>
      </c>
      <c r="J988" t="inlineStr">
        <is>
          <t>Silver</t>
        </is>
      </c>
      <c r="K988" t="n">
        <v>444</v>
      </c>
      <c r="L988" t="n">
        <v>71</v>
      </c>
      <c r="M988" t="n">
        <v>20.76</v>
      </c>
      <c r="N988" t="n">
        <v>364.88</v>
      </c>
      <c r="O988" t="n">
        <v>3.63</v>
      </c>
      <c r="P988" t="n">
        <v>8</v>
      </c>
      <c r="Q988" t="n">
        <v>0</v>
      </c>
      <c r="R988" t="n">
        <v>2023.1</v>
      </c>
      <c r="S988" t="b">
        <v>1</v>
      </c>
      <c r="T988" t="n">
        <v>3328594</v>
      </c>
      <c r="U988" t="n">
        <v>3</v>
      </c>
      <c r="V988" t="n">
        <v>0.0254</v>
      </c>
      <c r="W988" t="n">
        <v>1.44</v>
      </c>
      <c r="X988" t="n">
        <v>71.76000000000001</v>
      </c>
      <c r="Y988">
        <f>VLOOKUP(D988,$AB$2:$AC$7,2,FALSE)</f>
        <v/>
      </c>
      <c r="Z988">
        <f>IF(A988&lt;Y988,"Yes","No")</f>
        <v/>
      </c>
    </row>
    <row r="989">
      <c r="A989" t="n">
        <v>2012</v>
      </c>
      <c r="B989" t="inlineStr">
        <is>
          <t>Q1</t>
        </is>
      </c>
      <c r="C989" t="inlineStr">
        <is>
          <t>South America</t>
        </is>
      </c>
      <c r="D989" t="inlineStr">
        <is>
          <t>Model 3</t>
        </is>
      </c>
      <c r="E989" t="n">
        <v>187</v>
      </c>
      <c r="F989" t="n">
        <v>55409.16</v>
      </c>
      <c r="G989" t="n">
        <v>7</v>
      </c>
      <c r="H989" t="inlineStr">
        <is>
          <t>Long Range</t>
        </is>
      </c>
      <c r="I989" t="inlineStr">
        <is>
          <t>AWD</t>
        </is>
      </c>
      <c r="J989" t="inlineStr">
        <is>
          <t>Green</t>
        </is>
      </c>
      <c r="K989" t="n">
        <v>439</v>
      </c>
      <c r="L989" t="n">
        <v>89</v>
      </c>
      <c r="M989" t="n">
        <v>18.06</v>
      </c>
      <c r="N989" t="n">
        <v>345.02</v>
      </c>
      <c r="O989" t="n">
        <v>4.82</v>
      </c>
      <c r="P989" t="n">
        <v>6</v>
      </c>
      <c r="Q989" t="n">
        <v>2</v>
      </c>
      <c r="R989" t="n">
        <v>2021.6</v>
      </c>
      <c r="S989" t="b">
        <v>0</v>
      </c>
      <c r="T989" t="n">
        <v>1642500</v>
      </c>
      <c r="U989" t="n">
        <v>12</v>
      </c>
      <c r="V989" t="n">
        <v>0.0328</v>
      </c>
      <c r="W989" t="n">
        <v>2.5</v>
      </c>
      <c r="X989" t="n">
        <v>80.41</v>
      </c>
      <c r="Y989">
        <f>VLOOKUP(D989,$AB$2:$AC$7,2,FALSE)</f>
        <v/>
      </c>
      <c r="Z989">
        <f>IF(A989&lt;Y989,"Yes","No")</f>
        <v/>
      </c>
    </row>
    <row r="990">
      <c r="A990" t="n">
        <v>2019</v>
      </c>
      <c r="B990" t="inlineStr">
        <is>
          <t>Q1</t>
        </is>
      </c>
      <c r="C990" t="inlineStr">
        <is>
          <t>North America</t>
        </is>
      </c>
      <c r="D990" t="inlineStr">
        <is>
          <t>Model 3</t>
        </is>
      </c>
      <c r="E990" t="n">
        <v>139</v>
      </c>
      <c r="F990" t="n">
        <v>97541.7</v>
      </c>
      <c r="G990" t="n">
        <v>18</v>
      </c>
      <c r="H990" t="inlineStr">
        <is>
          <t>Performance</t>
        </is>
      </c>
      <c r="I990" t="inlineStr">
        <is>
          <t>AWD</t>
        </is>
      </c>
      <c r="J990" t="inlineStr">
        <is>
          <t>White</t>
        </is>
      </c>
      <c r="K990" t="n">
        <v>433</v>
      </c>
      <c r="L990" t="n">
        <v>72</v>
      </c>
      <c r="M990" t="n">
        <v>23.52</v>
      </c>
      <c r="N990" t="n">
        <v>129.26</v>
      </c>
      <c r="O990" t="n">
        <v>4.4</v>
      </c>
      <c r="P990" t="n">
        <v>4</v>
      </c>
      <c r="Q990" t="n">
        <v>1</v>
      </c>
      <c r="R990" t="n">
        <v>2021.8</v>
      </c>
      <c r="S990" t="b">
        <v>0</v>
      </c>
      <c r="T990" t="n">
        <v>2185777</v>
      </c>
      <c r="U990" t="n">
        <v>2</v>
      </c>
      <c r="V990" t="n">
        <v>0.0264</v>
      </c>
      <c r="W990" t="n">
        <v>2.32</v>
      </c>
      <c r="X990" t="n">
        <v>77.09999999999999</v>
      </c>
      <c r="Y990">
        <f>VLOOKUP(D990,$AB$2:$AC$7,2,FALSE)</f>
        <v/>
      </c>
      <c r="Z990">
        <f>IF(A990&lt;Y990,"Yes","No")</f>
        <v/>
      </c>
    </row>
    <row r="991">
      <c r="A991" t="n">
        <v>2018</v>
      </c>
      <c r="B991" t="inlineStr">
        <is>
          <t>Q1</t>
        </is>
      </c>
      <c r="C991" t="inlineStr">
        <is>
          <t>Europe</t>
        </is>
      </c>
      <c r="D991" t="inlineStr">
        <is>
          <t>Cybertruck</t>
        </is>
      </c>
      <c r="E991" t="n">
        <v>3136</v>
      </c>
      <c r="F991" t="n">
        <v>90167.14</v>
      </c>
      <c r="G991" t="n">
        <v>28</v>
      </c>
      <c r="H991" t="inlineStr">
        <is>
          <t>Standard</t>
        </is>
      </c>
      <c r="I991" t="inlineStr">
        <is>
          <t>AWD</t>
        </is>
      </c>
      <c r="J991" t="inlineStr">
        <is>
          <t>White</t>
        </is>
      </c>
      <c r="K991" t="n">
        <v>474</v>
      </c>
      <c r="L991" t="n">
        <v>54</v>
      </c>
      <c r="M991" t="n">
        <v>16.82</v>
      </c>
      <c r="N991" t="n">
        <v>6864.46</v>
      </c>
      <c r="O991" t="n">
        <v>4.84</v>
      </c>
      <c r="P991" t="n">
        <v>6</v>
      </c>
      <c r="Q991" t="n">
        <v>0</v>
      </c>
      <c r="R991" t="n">
        <v>2022.6</v>
      </c>
      <c r="S991" t="b">
        <v>1</v>
      </c>
      <c r="T991" t="n">
        <v>3664439</v>
      </c>
      <c r="U991" t="n">
        <v>6</v>
      </c>
      <c r="V991" t="n">
        <v>0.0551</v>
      </c>
      <c r="W991" t="n">
        <v>0.66</v>
      </c>
      <c r="X991" t="n">
        <v>75.98</v>
      </c>
      <c r="Y991">
        <f>VLOOKUP(D991,$AB$2:$AC$7,2,FALSE)</f>
        <v/>
      </c>
      <c r="Z991">
        <f>IF(A991&lt;Y991,"Yes","No")</f>
        <v/>
      </c>
    </row>
    <row r="992">
      <c r="A992" t="n">
        <v>2019</v>
      </c>
      <c r="B992" t="inlineStr">
        <is>
          <t>Q3</t>
        </is>
      </c>
      <c r="C992" t="inlineStr">
        <is>
          <t>Asia</t>
        </is>
      </c>
      <c r="D992" t="inlineStr">
        <is>
          <t>Semi</t>
        </is>
      </c>
      <c r="E992" t="n">
        <v>183</v>
      </c>
      <c r="F992" t="n">
        <v>117526.27</v>
      </c>
      <c r="G992" t="n">
        <v>55</v>
      </c>
      <c r="H992" t="inlineStr">
        <is>
          <t>Long Range</t>
        </is>
      </c>
      <c r="I992" t="inlineStr">
        <is>
          <t>RWD</t>
        </is>
      </c>
      <c r="J992" t="inlineStr">
        <is>
          <t>Silver</t>
        </is>
      </c>
      <c r="K992" t="n">
        <v>629</v>
      </c>
      <c r="L992" t="n">
        <v>39</v>
      </c>
      <c r="M992" t="n">
        <v>14.43</v>
      </c>
      <c r="N992" t="n">
        <v>411.49</v>
      </c>
      <c r="O992" t="n">
        <v>4.35</v>
      </c>
      <c r="P992" t="n">
        <v>8</v>
      </c>
      <c r="Q992" t="n">
        <v>1</v>
      </c>
      <c r="R992" t="n">
        <v>2024.6</v>
      </c>
      <c r="S992" t="b">
        <v>0</v>
      </c>
      <c r="T992" t="n">
        <v>3455994</v>
      </c>
      <c r="U992" t="n">
        <v>8</v>
      </c>
      <c r="V992" t="n">
        <v>0.0237</v>
      </c>
      <c r="W992" t="n">
        <v>0.9</v>
      </c>
      <c r="X992" t="n">
        <v>63.82</v>
      </c>
      <c r="Y992">
        <f>VLOOKUP(D992,$AB$2:$AC$7,2,FALSE)</f>
        <v/>
      </c>
      <c r="Z992">
        <f>IF(A992&lt;Y992,"Yes","No")</f>
        <v/>
      </c>
    </row>
    <row r="993">
      <c r="A993" t="n">
        <v>2018</v>
      </c>
      <c r="B993" t="inlineStr">
        <is>
          <t>Q1</t>
        </is>
      </c>
      <c r="C993" t="inlineStr">
        <is>
          <t>Australia</t>
        </is>
      </c>
      <c r="D993" t="inlineStr">
        <is>
          <t>Model Y</t>
        </is>
      </c>
      <c r="E993" t="n">
        <v>3847</v>
      </c>
      <c r="F993" t="n">
        <v>86367.12</v>
      </c>
      <c r="G993" t="n">
        <v>39</v>
      </c>
      <c r="H993" t="inlineStr">
        <is>
          <t>Performance</t>
        </is>
      </c>
      <c r="I993" t="inlineStr">
        <is>
          <t>RWD</t>
        </is>
      </c>
      <c r="J993" t="inlineStr">
        <is>
          <t>White</t>
        </is>
      </c>
      <c r="K993" t="n">
        <v>649</v>
      </c>
      <c r="L993" t="n">
        <v>34</v>
      </c>
      <c r="M993" t="n">
        <v>14.55</v>
      </c>
      <c r="N993" t="n">
        <v>6397.38</v>
      </c>
      <c r="O993" t="n">
        <v>4.35</v>
      </c>
      <c r="P993" t="n">
        <v>8</v>
      </c>
      <c r="Q993" t="n">
        <v>1</v>
      </c>
      <c r="R993" t="n">
        <v>2021.12</v>
      </c>
      <c r="S993" t="b">
        <v>1</v>
      </c>
      <c r="T993" t="n">
        <v>2252284</v>
      </c>
      <c r="U993" t="n">
        <v>4</v>
      </c>
      <c r="V993" t="n">
        <v>0.0644</v>
      </c>
      <c r="W993" t="n">
        <v>1.27</v>
      </c>
      <c r="X993" t="n">
        <v>64.97</v>
      </c>
      <c r="Y993">
        <f>VLOOKUP(D993,$AB$2:$AC$7,2,FALSE)</f>
        <v/>
      </c>
      <c r="Z993">
        <f>IF(A993&lt;Y993,"Yes","No")</f>
        <v/>
      </c>
    </row>
    <row r="994">
      <c r="A994" t="n">
        <v>2018</v>
      </c>
      <c r="B994" t="inlineStr">
        <is>
          <t>Q2</t>
        </is>
      </c>
      <c r="C994" t="inlineStr">
        <is>
          <t>North America</t>
        </is>
      </c>
      <c r="D994" t="inlineStr">
        <is>
          <t>Model Y</t>
        </is>
      </c>
      <c r="E994" t="n">
        <v>3465</v>
      </c>
      <c r="F994" t="n">
        <v>68843.19</v>
      </c>
      <c r="G994" t="n">
        <v>29</v>
      </c>
      <c r="H994" t="inlineStr">
        <is>
          <t>Performance</t>
        </is>
      </c>
      <c r="I994" t="inlineStr">
        <is>
          <t>RWD</t>
        </is>
      </c>
      <c r="J994" t="inlineStr">
        <is>
          <t>Black</t>
        </is>
      </c>
      <c r="K994" t="n">
        <v>446</v>
      </c>
      <c r="L994" t="n">
        <v>87</v>
      </c>
      <c r="M994" t="n">
        <v>17.14</v>
      </c>
      <c r="N994" t="n">
        <v>5961.69</v>
      </c>
      <c r="O994" t="n">
        <v>4.39</v>
      </c>
      <c r="P994" t="n">
        <v>5</v>
      </c>
      <c r="Q994" t="n">
        <v>1</v>
      </c>
      <c r="R994" t="n">
        <v>2021.6</v>
      </c>
      <c r="S994" t="b">
        <v>0</v>
      </c>
      <c r="T994" t="n">
        <v>3453910</v>
      </c>
      <c r="U994" t="n">
        <v>10</v>
      </c>
      <c r="V994" t="n">
        <v>0.0563</v>
      </c>
      <c r="W994" t="n">
        <v>1.92</v>
      </c>
      <c r="X994" t="n">
        <v>73.53</v>
      </c>
      <c r="Y994">
        <f>VLOOKUP(D994,$AB$2:$AC$7,2,FALSE)</f>
        <v/>
      </c>
      <c r="Z994">
        <f>IF(A994&lt;Y994,"Yes","No")</f>
        <v/>
      </c>
    </row>
    <row r="995">
      <c r="A995" t="n">
        <v>2014</v>
      </c>
      <c r="B995" t="inlineStr">
        <is>
          <t>Q3</t>
        </is>
      </c>
      <c r="C995" t="inlineStr">
        <is>
          <t>Australia</t>
        </is>
      </c>
      <c r="D995" t="inlineStr">
        <is>
          <t>Model S</t>
        </is>
      </c>
      <c r="E995" t="n">
        <v>2516</v>
      </c>
      <c r="F995" t="n">
        <v>45320.53</v>
      </c>
      <c r="G995" t="n">
        <v>16</v>
      </c>
      <c r="H995" t="inlineStr">
        <is>
          <t>Performance</t>
        </is>
      </c>
      <c r="I995" t="inlineStr">
        <is>
          <t>AWD</t>
        </is>
      </c>
      <c r="J995" t="inlineStr">
        <is>
          <t>Red</t>
        </is>
      </c>
      <c r="K995" t="n">
        <v>617</v>
      </c>
      <c r="L995" t="n">
        <v>90</v>
      </c>
      <c r="M995" t="n">
        <v>23.4</v>
      </c>
      <c r="N995" t="n">
        <v>2523.39</v>
      </c>
      <c r="O995" t="n">
        <v>4.41</v>
      </c>
      <c r="P995" t="n">
        <v>5</v>
      </c>
      <c r="Q995" t="n">
        <v>0</v>
      </c>
      <c r="R995" t="n">
        <v>2022.4</v>
      </c>
      <c r="S995" t="b">
        <v>1</v>
      </c>
      <c r="T995" t="n">
        <v>809993</v>
      </c>
      <c r="U995" t="n">
        <v>4</v>
      </c>
      <c r="V995" t="n">
        <v>0.0992</v>
      </c>
      <c r="W995" t="n">
        <v>1.3</v>
      </c>
      <c r="X995" t="n">
        <v>60.88</v>
      </c>
      <c r="Y995">
        <f>VLOOKUP(D995,$AB$2:$AC$7,2,FALSE)</f>
        <v/>
      </c>
      <c r="Z995">
        <f>IF(A995&lt;Y995,"Yes","No")</f>
        <v/>
      </c>
    </row>
    <row r="996">
      <c r="A996" t="n">
        <v>2013</v>
      </c>
      <c r="B996" t="inlineStr">
        <is>
          <t>Q3</t>
        </is>
      </c>
      <c r="C996" t="inlineStr">
        <is>
          <t>Asia</t>
        </is>
      </c>
      <c r="D996" t="inlineStr">
        <is>
          <t>Model S</t>
        </is>
      </c>
      <c r="E996" t="n">
        <v>3870</v>
      </c>
      <c r="F996" t="n">
        <v>114045.43</v>
      </c>
      <c r="G996" t="n">
        <v>9</v>
      </c>
      <c r="H996" t="inlineStr">
        <is>
          <t>Performance</t>
        </is>
      </c>
      <c r="I996" t="inlineStr">
        <is>
          <t>AWD</t>
        </is>
      </c>
      <c r="J996" t="inlineStr">
        <is>
          <t>White</t>
        </is>
      </c>
      <c r="K996" t="n">
        <v>683</v>
      </c>
      <c r="L996" t="n">
        <v>72</v>
      </c>
      <c r="M996" t="n">
        <v>15.72</v>
      </c>
      <c r="N996" t="n">
        <v>2196.27</v>
      </c>
      <c r="O996" t="n">
        <v>3.93</v>
      </c>
      <c r="P996" t="n">
        <v>4</v>
      </c>
      <c r="Q996" t="n">
        <v>1</v>
      </c>
      <c r="R996" t="n">
        <v>2022.2</v>
      </c>
      <c r="S996" t="b">
        <v>1</v>
      </c>
      <c r="T996" t="n">
        <v>1812326</v>
      </c>
      <c r="U996" t="n">
        <v>10</v>
      </c>
      <c r="V996" t="n">
        <v>0.083</v>
      </c>
      <c r="W996" t="n">
        <v>1.49</v>
      </c>
      <c r="X996" t="n">
        <v>64.56999999999999</v>
      </c>
      <c r="Y996">
        <f>VLOOKUP(D996,$AB$2:$AC$7,2,FALSE)</f>
        <v/>
      </c>
      <c r="Z996">
        <f>IF(A996&lt;Y996,"Yes","No")</f>
        <v/>
      </c>
    </row>
    <row r="997">
      <c r="A997" t="n">
        <v>2022</v>
      </c>
      <c r="B997" t="inlineStr">
        <is>
          <t>Q4</t>
        </is>
      </c>
      <c r="C997" t="inlineStr">
        <is>
          <t>Europe</t>
        </is>
      </c>
      <c r="D997" t="inlineStr">
        <is>
          <t>Model S</t>
        </is>
      </c>
      <c r="E997" t="n">
        <v>4895</v>
      </c>
      <c r="F997" t="n">
        <v>87096.28999999999</v>
      </c>
      <c r="G997" t="n">
        <v>27</v>
      </c>
      <c r="H997" t="inlineStr">
        <is>
          <t>Performance</t>
        </is>
      </c>
      <c r="I997" t="inlineStr">
        <is>
          <t>RWD</t>
        </is>
      </c>
      <c r="J997" t="inlineStr">
        <is>
          <t>Green</t>
        </is>
      </c>
      <c r="K997" t="n">
        <v>546</v>
      </c>
      <c r="L997" t="n">
        <v>49</v>
      </c>
      <c r="M997" t="n">
        <v>14.92</v>
      </c>
      <c r="N997" t="n">
        <v>10141.5</v>
      </c>
      <c r="O997" t="n">
        <v>4.91</v>
      </c>
      <c r="P997" t="n">
        <v>5</v>
      </c>
      <c r="Q997" t="n">
        <v>2</v>
      </c>
      <c r="R997" t="n">
        <v>2020.6</v>
      </c>
      <c r="S997" t="b">
        <v>1</v>
      </c>
      <c r="T997" t="n">
        <v>566500</v>
      </c>
      <c r="U997" t="n">
        <v>10</v>
      </c>
      <c r="V997" t="n">
        <v>0.0264</v>
      </c>
      <c r="W997" t="n">
        <v>1.17</v>
      </c>
      <c r="X997" t="n">
        <v>66.95999999999999</v>
      </c>
      <c r="Y997">
        <f>VLOOKUP(D997,$AB$2:$AC$7,2,FALSE)</f>
        <v/>
      </c>
      <c r="Z997">
        <f>IF(A997&lt;Y997,"Yes","No")</f>
        <v/>
      </c>
    </row>
    <row r="998">
      <c r="A998" t="n">
        <v>2021</v>
      </c>
      <c r="B998" t="inlineStr">
        <is>
          <t>Q4</t>
        </is>
      </c>
      <c r="C998" t="inlineStr">
        <is>
          <t>Australia</t>
        </is>
      </c>
      <c r="D998" t="inlineStr">
        <is>
          <t>Model Y</t>
        </is>
      </c>
      <c r="E998" t="n">
        <v>888</v>
      </c>
      <c r="F998" t="n">
        <v>87902.75</v>
      </c>
      <c r="G998" t="n">
        <v>16</v>
      </c>
      <c r="H998" t="inlineStr">
        <is>
          <t>Performance</t>
        </is>
      </c>
      <c r="I998" t="inlineStr">
        <is>
          <t>RWD</t>
        </is>
      </c>
      <c r="J998" t="inlineStr">
        <is>
          <t>Black</t>
        </is>
      </c>
      <c r="K998" t="n">
        <v>641</v>
      </c>
      <c r="L998" t="n">
        <v>90</v>
      </c>
      <c r="M998" t="n">
        <v>24.72</v>
      </c>
      <c r="N998" t="n">
        <v>1823.58</v>
      </c>
      <c r="O998" t="n">
        <v>4.88</v>
      </c>
      <c r="P998" t="n">
        <v>4</v>
      </c>
      <c r="Q998" t="n">
        <v>2</v>
      </c>
      <c r="R998" t="n">
        <v>2023.9</v>
      </c>
      <c r="S998" t="b">
        <v>1</v>
      </c>
      <c r="T998" t="n">
        <v>136187</v>
      </c>
      <c r="U998" t="n">
        <v>3</v>
      </c>
      <c r="V998" t="n">
        <v>0.0526</v>
      </c>
      <c r="W998" t="n">
        <v>1.23</v>
      </c>
      <c r="X998" t="n">
        <v>78.84</v>
      </c>
      <c r="Y998">
        <f>VLOOKUP(D998,$AB$2:$AC$7,2,FALSE)</f>
        <v/>
      </c>
      <c r="Z998">
        <f>IF(A998&lt;Y998,"Yes","No")</f>
        <v/>
      </c>
    </row>
    <row r="999">
      <c r="A999" t="n">
        <v>2012</v>
      </c>
      <c r="B999" t="inlineStr">
        <is>
          <t>Q4</t>
        </is>
      </c>
      <c r="C999" t="inlineStr">
        <is>
          <t>South America</t>
        </is>
      </c>
      <c r="D999" t="inlineStr">
        <is>
          <t>Model Y</t>
        </is>
      </c>
      <c r="E999" t="n">
        <v>3400</v>
      </c>
      <c r="F999" t="n">
        <v>43542.84</v>
      </c>
      <c r="G999" t="n">
        <v>33</v>
      </c>
      <c r="H999" t="inlineStr">
        <is>
          <t>Long Range</t>
        </is>
      </c>
      <c r="I999" t="inlineStr">
        <is>
          <t>RWD</t>
        </is>
      </c>
      <c r="J999" t="inlineStr">
        <is>
          <t>Blue</t>
        </is>
      </c>
      <c r="K999" t="n">
        <v>428</v>
      </c>
      <c r="L999" t="n">
        <v>78</v>
      </c>
      <c r="M999" t="n">
        <v>22.17</v>
      </c>
      <c r="N999" t="n">
        <v>7924.39</v>
      </c>
      <c r="O999" t="n">
        <v>4.46</v>
      </c>
      <c r="P999" t="n">
        <v>6</v>
      </c>
      <c r="Q999" t="n">
        <v>0</v>
      </c>
      <c r="R999" t="n">
        <v>2022.4</v>
      </c>
      <c r="S999" t="b">
        <v>0</v>
      </c>
      <c r="T999" t="n">
        <v>4216730</v>
      </c>
      <c r="U999" t="n">
        <v>6</v>
      </c>
      <c r="V999" t="n">
        <v>0.0208</v>
      </c>
      <c r="W999" t="n">
        <v>0.83</v>
      </c>
      <c r="X999" t="n">
        <v>66.77</v>
      </c>
      <c r="Y999">
        <f>VLOOKUP(D999,$AB$2:$AC$7,2,FALSE)</f>
        <v/>
      </c>
      <c r="Z999">
        <f>IF(A999&lt;Y999,"Yes","No")</f>
        <v/>
      </c>
    </row>
    <row r="1000">
      <c r="A1000" t="n">
        <v>2013</v>
      </c>
      <c r="B1000" t="inlineStr">
        <is>
          <t>Q2</t>
        </is>
      </c>
      <c r="C1000" t="inlineStr">
        <is>
          <t>Australia</t>
        </is>
      </c>
      <c r="D1000" t="inlineStr">
        <is>
          <t>Semi</t>
        </is>
      </c>
      <c r="E1000" t="n">
        <v>2636</v>
      </c>
      <c r="F1000" t="n">
        <v>107285.72</v>
      </c>
      <c r="G1000" t="n">
        <v>6</v>
      </c>
      <c r="H1000" t="inlineStr">
        <is>
          <t>Standard</t>
        </is>
      </c>
      <c r="I1000" t="inlineStr">
        <is>
          <t>AWD</t>
        </is>
      </c>
      <c r="J1000" t="inlineStr">
        <is>
          <t>Blue</t>
        </is>
      </c>
      <c r="K1000" t="n">
        <v>600</v>
      </c>
      <c r="L1000" t="n">
        <v>61</v>
      </c>
      <c r="M1000" t="n">
        <v>15.36</v>
      </c>
      <c r="N1000" t="n">
        <v>2211.91</v>
      </c>
      <c r="O1000" t="n">
        <v>4.24</v>
      </c>
      <c r="P1000" t="n">
        <v>6</v>
      </c>
      <c r="Q1000" t="n">
        <v>0</v>
      </c>
      <c r="R1000" t="n">
        <v>2021.7</v>
      </c>
      <c r="S1000" t="b">
        <v>1</v>
      </c>
      <c r="T1000" t="n">
        <v>4928472</v>
      </c>
      <c r="U1000" t="n">
        <v>12</v>
      </c>
      <c r="V1000" t="n">
        <v>0.0261</v>
      </c>
      <c r="W1000" t="n">
        <v>0.59</v>
      </c>
      <c r="X1000" t="n">
        <v>80.84999999999999</v>
      </c>
      <c r="Y1000">
        <f>VLOOKUP(D1000,$AB$2:$AC$7,2,FALSE)</f>
        <v/>
      </c>
      <c r="Z1000">
        <f>IF(A1000&lt;Y1000,"Yes","No")</f>
        <v/>
      </c>
    </row>
    <row r="1001">
      <c r="A1001" t="n">
        <v>2021</v>
      </c>
      <c r="B1001" t="inlineStr">
        <is>
          <t>Q1</t>
        </is>
      </c>
      <c r="C1001" t="inlineStr">
        <is>
          <t>South America</t>
        </is>
      </c>
      <c r="D1001" t="inlineStr">
        <is>
          <t>Model 3</t>
        </is>
      </c>
      <c r="E1001" t="n">
        <v>4274</v>
      </c>
      <c r="F1001" t="n">
        <v>76163.74000000001</v>
      </c>
      <c r="G1001" t="n">
        <v>13</v>
      </c>
      <c r="H1001" t="inlineStr">
        <is>
          <t>Long Range</t>
        </is>
      </c>
      <c r="I1001" t="inlineStr">
        <is>
          <t>AWD</t>
        </is>
      </c>
      <c r="J1001" t="inlineStr">
        <is>
          <t>Black</t>
        </is>
      </c>
      <c r="K1001" t="n">
        <v>502</v>
      </c>
      <c r="L1001" t="n">
        <v>76</v>
      </c>
      <c r="M1001" t="n">
        <v>15.21</v>
      </c>
      <c r="N1001" t="n">
        <v>4649.46</v>
      </c>
      <c r="O1001" t="n">
        <v>4.99</v>
      </c>
      <c r="P1001" t="n">
        <v>6</v>
      </c>
      <c r="Q1001" t="n">
        <v>3</v>
      </c>
      <c r="R1001" t="n">
        <v>2022.9</v>
      </c>
      <c r="S1001" t="b">
        <v>1</v>
      </c>
      <c r="T1001" t="n">
        <v>2372755</v>
      </c>
      <c r="U1001" t="n">
        <v>9</v>
      </c>
      <c r="V1001" t="n">
        <v>0.0488</v>
      </c>
      <c r="W1001" t="n">
        <v>1.39</v>
      </c>
      <c r="X1001" t="n">
        <v>88.76000000000001</v>
      </c>
      <c r="Y1001">
        <f>VLOOKUP(D1001,$AB$2:$AC$7,2,FALSE)</f>
        <v/>
      </c>
      <c r="Z1001">
        <f>IF(A1001&lt;Y1001,"Yes","No")</f>
        <v/>
      </c>
    </row>
    <row r="1002">
      <c r="A1002" t="n">
        <v>2018</v>
      </c>
      <c r="B1002" t="inlineStr">
        <is>
          <t>Q2</t>
        </is>
      </c>
      <c r="C1002" t="inlineStr">
        <is>
          <t>Europe</t>
        </is>
      </c>
      <c r="D1002" t="inlineStr">
        <is>
          <t>Model X</t>
        </is>
      </c>
      <c r="E1002" t="n">
        <v>588</v>
      </c>
      <c r="F1002" t="n">
        <v>113455.42</v>
      </c>
      <c r="G1002" t="n">
        <v>56</v>
      </c>
      <c r="H1002" t="inlineStr">
        <is>
          <t>Standard</t>
        </is>
      </c>
      <c r="I1002" t="inlineStr">
        <is>
          <t>RWD</t>
        </is>
      </c>
      <c r="J1002" t="inlineStr">
        <is>
          <t>Blue</t>
        </is>
      </c>
      <c r="K1002" t="n">
        <v>514</v>
      </c>
      <c r="L1002" t="n">
        <v>34</v>
      </c>
      <c r="M1002" t="n">
        <v>22.33</v>
      </c>
      <c r="N1002" t="n">
        <v>1009.36</v>
      </c>
      <c r="O1002" t="n">
        <v>4.68</v>
      </c>
      <c r="P1002" t="n">
        <v>4</v>
      </c>
      <c r="Q1002" t="n">
        <v>2</v>
      </c>
      <c r="R1002" t="n">
        <v>2020.8</v>
      </c>
      <c r="S1002" t="b">
        <v>1</v>
      </c>
      <c r="T1002" t="n">
        <v>1496356</v>
      </c>
      <c r="U1002" t="n">
        <v>10</v>
      </c>
      <c r="V1002" t="n">
        <v>0.0634</v>
      </c>
      <c r="W1002" t="n">
        <v>0.66</v>
      </c>
      <c r="X1002" t="n">
        <v>70.55</v>
      </c>
      <c r="Y1002">
        <f>VLOOKUP(D1002,$AB$2:$AC$7,2,FALSE)</f>
        <v/>
      </c>
      <c r="Z1002">
        <f>IF(A1002&lt;Y1002,"Yes","No")</f>
        <v/>
      </c>
    </row>
    <row r="1003">
      <c r="A1003" t="n">
        <v>2015</v>
      </c>
      <c r="B1003" t="inlineStr">
        <is>
          <t>Q3</t>
        </is>
      </c>
      <c r="C1003" t="inlineStr">
        <is>
          <t>North America</t>
        </is>
      </c>
      <c r="D1003" t="inlineStr">
        <is>
          <t>Cybertruck</t>
        </is>
      </c>
      <c r="E1003" t="n">
        <v>651</v>
      </c>
      <c r="F1003" t="n">
        <v>82459.27</v>
      </c>
      <c r="G1003" t="n">
        <v>22</v>
      </c>
      <c r="H1003" t="inlineStr">
        <is>
          <t>Performance</t>
        </is>
      </c>
      <c r="I1003" t="inlineStr">
        <is>
          <t>AWD</t>
        </is>
      </c>
      <c r="J1003" t="inlineStr">
        <is>
          <t>White</t>
        </is>
      </c>
      <c r="K1003" t="n">
        <v>527</v>
      </c>
      <c r="L1003" t="n">
        <v>64</v>
      </c>
      <c r="M1003" t="n">
        <v>21.9</v>
      </c>
      <c r="N1003" t="n">
        <v>1274.55</v>
      </c>
      <c r="O1003" t="n">
        <v>4.71</v>
      </c>
      <c r="P1003" t="n">
        <v>6</v>
      </c>
      <c r="Q1003" t="n">
        <v>3</v>
      </c>
      <c r="R1003" t="n">
        <v>2022.5</v>
      </c>
      <c r="S1003" t="b">
        <v>0</v>
      </c>
      <c r="T1003" t="n">
        <v>3168094</v>
      </c>
      <c r="U1003" t="n">
        <v>5</v>
      </c>
      <c r="V1003" t="n">
        <v>0.06419999999999999</v>
      </c>
      <c r="W1003" t="n">
        <v>0.73</v>
      </c>
      <c r="X1003" t="n">
        <v>71.95</v>
      </c>
      <c r="Y1003">
        <f>VLOOKUP(D1003,$AB$2:$AC$7,2,FALSE)</f>
        <v/>
      </c>
      <c r="Z1003">
        <f>IF(A1003&lt;Y1003,"Yes","No")</f>
        <v/>
      </c>
    </row>
    <row r="1004">
      <c r="A1004" t="n">
        <v>2022</v>
      </c>
      <c r="B1004" t="inlineStr">
        <is>
          <t>Q4</t>
        </is>
      </c>
      <c r="C1004" t="inlineStr">
        <is>
          <t>Australia</t>
        </is>
      </c>
      <c r="D1004" t="inlineStr">
        <is>
          <t>Model S</t>
        </is>
      </c>
      <c r="E1004" t="n">
        <v>464</v>
      </c>
      <c r="F1004" t="n">
        <v>59229.8</v>
      </c>
      <c r="G1004" t="n">
        <v>37</v>
      </c>
      <c r="H1004" t="inlineStr">
        <is>
          <t>Standard</t>
        </is>
      </c>
      <c r="I1004" t="inlineStr">
        <is>
          <t>AWD</t>
        </is>
      </c>
      <c r="J1004" t="inlineStr">
        <is>
          <t>Green</t>
        </is>
      </c>
      <c r="K1004" t="n">
        <v>509</v>
      </c>
      <c r="L1004" t="n">
        <v>50</v>
      </c>
      <c r="M1004" t="n">
        <v>23.71</v>
      </c>
      <c r="N1004" t="n">
        <v>340.79</v>
      </c>
      <c r="O1004" t="n">
        <v>3.91</v>
      </c>
      <c r="P1004" t="n">
        <v>4</v>
      </c>
      <c r="Q1004" t="n">
        <v>1</v>
      </c>
      <c r="R1004" t="n">
        <v>2024.12</v>
      </c>
      <c r="S1004" t="b">
        <v>1</v>
      </c>
      <c r="T1004" t="n">
        <v>1594942</v>
      </c>
      <c r="U1004" t="n">
        <v>3</v>
      </c>
      <c r="V1004" t="n">
        <v>0.0824</v>
      </c>
      <c r="W1004" t="n">
        <v>0.55</v>
      </c>
      <c r="X1004" t="n">
        <v>66.27</v>
      </c>
      <c r="Y1004">
        <f>VLOOKUP(D1004,$AB$2:$AC$7,2,FALSE)</f>
        <v/>
      </c>
      <c r="Z1004">
        <f>IF(A1004&lt;Y1004,"Yes","No")</f>
        <v/>
      </c>
    </row>
    <row r="1005">
      <c r="A1005" t="n">
        <v>2018</v>
      </c>
      <c r="B1005" t="inlineStr">
        <is>
          <t>Q4</t>
        </is>
      </c>
      <c r="C1005" t="inlineStr">
        <is>
          <t>Europe</t>
        </is>
      </c>
      <c r="D1005" t="inlineStr">
        <is>
          <t>Semi</t>
        </is>
      </c>
      <c r="E1005" t="n">
        <v>376</v>
      </c>
      <c r="F1005" t="n">
        <v>55276.53</v>
      </c>
      <c r="G1005" t="n">
        <v>23</v>
      </c>
      <c r="H1005" t="inlineStr">
        <is>
          <t>Performance</t>
        </is>
      </c>
      <c r="I1005" t="inlineStr">
        <is>
          <t>RWD</t>
        </is>
      </c>
      <c r="J1005" t="inlineStr">
        <is>
          <t>Green</t>
        </is>
      </c>
      <c r="K1005" t="n">
        <v>492</v>
      </c>
      <c r="L1005" t="n">
        <v>70</v>
      </c>
      <c r="M1005" t="n">
        <v>24.67</v>
      </c>
      <c r="N1005" t="n">
        <v>747.29</v>
      </c>
      <c r="O1005" t="n">
        <v>4.49</v>
      </c>
      <c r="P1005" t="n">
        <v>4</v>
      </c>
      <c r="Q1005" t="n">
        <v>1</v>
      </c>
      <c r="R1005" t="n">
        <v>2023.6</v>
      </c>
      <c r="S1005" t="b">
        <v>1</v>
      </c>
      <c r="T1005" t="n">
        <v>2934897</v>
      </c>
      <c r="U1005" t="n">
        <v>3</v>
      </c>
      <c r="V1005" t="n">
        <v>0.0974</v>
      </c>
      <c r="W1005" t="n">
        <v>1.26</v>
      </c>
      <c r="X1005" t="n">
        <v>80.76000000000001</v>
      </c>
      <c r="Y1005">
        <f>VLOOKUP(D1005,$AB$2:$AC$7,2,FALSE)</f>
        <v/>
      </c>
      <c r="Z1005">
        <f>IF(A1005&lt;Y1005,"Yes","No")</f>
        <v/>
      </c>
    </row>
    <row r="1006">
      <c r="A1006" t="n">
        <v>2023</v>
      </c>
      <c r="B1006" t="inlineStr">
        <is>
          <t>Q2</t>
        </is>
      </c>
      <c r="C1006" t="inlineStr">
        <is>
          <t>Europe</t>
        </is>
      </c>
      <c r="D1006" t="inlineStr">
        <is>
          <t>Semi</t>
        </is>
      </c>
      <c r="E1006" t="n">
        <v>1989</v>
      </c>
      <c r="F1006" t="n">
        <v>64116.39</v>
      </c>
      <c r="G1006" t="n">
        <v>26</v>
      </c>
      <c r="H1006" t="inlineStr">
        <is>
          <t>Standard</t>
        </is>
      </c>
      <c r="I1006" t="inlineStr">
        <is>
          <t>AWD</t>
        </is>
      </c>
      <c r="J1006" t="inlineStr">
        <is>
          <t>Red</t>
        </is>
      </c>
      <c r="K1006" t="n">
        <v>447</v>
      </c>
      <c r="L1006" t="n">
        <v>68</v>
      </c>
      <c r="M1006" t="n">
        <v>24.83</v>
      </c>
      <c r="N1006" t="n">
        <v>2187.82</v>
      </c>
      <c r="O1006" t="n">
        <v>4.78</v>
      </c>
      <c r="P1006" t="n">
        <v>4</v>
      </c>
      <c r="Q1006" t="n">
        <v>3</v>
      </c>
      <c r="R1006" t="n">
        <v>2023.1</v>
      </c>
      <c r="S1006" t="b">
        <v>0</v>
      </c>
      <c r="T1006" t="n">
        <v>457020</v>
      </c>
      <c r="U1006" t="n">
        <v>11</v>
      </c>
      <c r="V1006" t="n">
        <v>0.0251</v>
      </c>
      <c r="W1006" t="n">
        <v>2.46</v>
      </c>
      <c r="X1006" t="n">
        <v>81.47</v>
      </c>
      <c r="Y1006">
        <f>VLOOKUP(D1006,$AB$2:$AC$7,2,FALSE)</f>
        <v/>
      </c>
      <c r="Z1006">
        <f>IF(A1006&lt;Y1006,"Yes","No")</f>
        <v/>
      </c>
    </row>
    <row r="1007">
      <c r="A1007" t="n">
        <v>2021</v>
      </c>
      <c r="B1007" t="inlineStr">
        <is>
          <t>Q1</t>
        </is>
      </c>
      <c r="C1007" t="inlineStr">
        <is>
          <t>South America</t>
        </is>
      </c>
      <c r="D1007" t="inlineStr">
        <is>
          <t>Semi</t>
        </is>
      </c>
      <c r="E1007" t="n">
        <v>2361</v>
      </c>
      <c r="F1007" t="n">
        <v>108580.48</v>
      </c>
      <c r="G1007" t="n">
        <v>5</v>
      </c>
      <c r="H1007" t="inlineStr">
        <is>
          <t>Standard</t>
        </is>
      </c>
      <c r="I1007" t="inlineStr">
        <is>
          <t>AWD</t>
        </is>
      </c>
      <c r="J1007" t="inlineStr">
        <is>
          <t>Green</t>
        </is>
      </c>
      <c r="K1007" t="n">
        <v>424</v>
      </c>
      <c r="L1007" t="n">
        <v>81</v>
      </c>
      <c r="M1007" t="n">
        <v>17.68</v>
      </c>
      <c r="N1007" t="n">
        <v>1653.93</v>
      </c>
      <c r="O1007" t="n">
        <v>4</v>
      </c>
      <c r="P1007" t="n">
        <v>6</v>
      </c>
      <c r="Q1007" t="n">
        <v>2</v>
      </c>
      <c r="R1007" t="n">
        <v>2024.1</v>
      </c>
      <c r="S1007" t="b">
        <v>0</v>
      </c>
      <c r="T1007" t="n">
        <v>1467421</v>
      </c>
      <c r="U1007" t="n">
        <v>8</v>
      </c>
      <c r="V1007" t="n">
        <v>0.0317</v>
      </c>
      <c r="W1007" t="n">
        <v>1.82</v>
      </c>
      <c r="X1007" t="n">
        <v>63.34</v>
      </c>
      <c r="Y1007">
        <f>VLOOKUP(D1007,$AB$2:$AC$7,2,FALSE)</f>
        <v/>
      </c>
      <c r="Z1007">
        <f>IF(A1007&lt;Y1007,"Yes","No")</f>
        <v/>
      </c>
    </row>
    <row r="1008">
      <c r="A1008" t="n">
        <v>2022</v>
      </c>
      <c r="B1008" t="inlineStr">
        <is>
          <t>Q4</t>
        </is>
      </c>
      <c r="C1008" t="inlineStr">
        <is>
          <t>North America</t>
        </is>
      </c>
      <c r="D1008" t="inlineStr">
        <is>
          <t>Model X</t>
        </is>
      </c>
      <c r="E1008" t="n">
        <v>3775</v>
      </c>
      <c r="F1008" t="n">
        <v>102891.23</v>
      </c>
      <c r="G1008" t="n">
        <v>43</v>
      </c>
      <c r="H1008" t="inlineStr">
        <is>
          <t>Standard</t>
        </is>
      </c>
      <c r="I1008" t="inlineStr">
        <is>
          <t>AWD</t>
        </is>
      </c>
      <c r="J1008" t="inlineStr">
        <is>
          <t>Red</t>
        </is>
      </c>
      <c r="K1008" t="n">
        <v>510</v>
      </c>
      <c r="L1008" t="n">
        <v>44</v>
      </c>
      <c r="M1008" t="n">
        <v>20.21</v>
      </c>
      <c r="N1008" t="n">
        <v>5438.9</v>
      </c>
      <c r="O1008" t="n">
        <v>3.51</v>
      </c>
      <c r="P1008" t="n">
        <v>8</v>
      </c>
      <c r="Q1008" t="n">
        <v>2</v>
      </c>
      <c r="R1008" t="n">
        <v>2022.12</v>
      </c>
      <c r="S1008" t="b">
        <v>0</v>
      </c>
      <c r="T1008" t="n">
        <v>2585258</v>
      </c>
      <c r="U1008" t="n">
        <v>9</v>
      </c>
      <c r="V1008" t="n">
        <v>0.07539999999999999</v>
      </c>
      <c r="W1008" t="n">
        <v>2.42</v>
      </c>
      <c r="X1008" t="n">
        <v>61.7</v>
      </c>
      <c r="Y1008">
        <f>VLOOKUP(D1008,$AB$2:$AC$7,2,FALSE)</f>
        <v/>
      </c>
      <c r="Z1008">
        <f>IF(A1008&lt;Y1008,"Yes","No")</f>
        <v/>
      </c>
    </row>
    <row r="1009">
      <c r="A1009" t="n">
        <v>2020</v>
      </c>
      <c r="B1009" t="inlineStr">
        <is>
          <t>Q2</t>
        </is>
      </c>
      <c r="C1009" t="inlineStr">
        <is>
          <t>Europe</t>
        </is>
      </c>
      <c r="D1009" t="inlineStr">
        <is>
          <t>Model S</t>
        </is>
      </c>
      <c r="E1009" t="n">
        <v>3685</v>
      </c>
      <c r="F1009" t="n">
        <v>98810.78</v>
      </c>
      <c r="G1009" t="n">
        <v>18</v>
      </c>
      <c r="H1009" t="inlineStr">
        <is>
          <t>Long Range</t>
        </is>
      </c>
      <c r="I1009" t="inlineStr">
        <is>
          <t>AWD</t>
        </is>
      </c>
      <c r="J1009" t="inlineStr">
        <is>
          <t>Silver</t>
        </is>
      </c>
      <c r="K1009" t="n">
        <v>643</v>
      </c>
      <c r="L1009" t="n">
        <v>51</v>
      </c>
      <c r="M1009" t="n">
        <v>21.75</v>
      </c>
      <c r="N1009" t="n">
        <v>6091.89</v>
      </c>
      <c r="O1009" t="n">
        <v>4.13</v>
      </c>
      <c r="P1009" t="n">
        <v>8</v>
      </c>
      <c r="Q1009" t="n">
        <v>3</v>
      </c>
      <c r="R1009" t="n">
        <v>2023.3</v>
      </c>
      <c r="S1009" t="b">
        <v>0</v>
      </c>
      <c r="T1009" t="n">
        <v>1608288</v>
      </c>
      <c r="U1009" t="n">
        <v>5</v>
      </c>
      <c r="V1009" t="n">
        <v>0.0394</v>
      </c>
      <c r="W1009" t="n">
        <v>2.02</v>
      </c>
      <c r="X1009" t="n">
        <v>71.28</v>
      </c>
      <c r="Y1009">
        <f>VLOOKUP(D1009,$AB$2:$AC$7,2,FALSE)</f>
        <v/>
      </c>
      <c r="Z1009">
        <f>IF(A1009&lt;Y1009,"Yes","No")</f>
        <v/>
      </c>
    </row>
    <row r="1010">
      <c r="A1010" t="n">
        <v>2012</v>
      </c>
      <c r="B1010" t="inlineStr">
        <is>
          <t>Q3</t>
        </is>
      </c>
      <c r="C1010" t="inlineStr">
        <is>
          <t>Europe</t>
        </is>
      </c>
      <c r="D1010" t="inlineStr">
        <is>
          <t>Model S</t>
        </is>
      </c>
      <c r="E1010" t="n">
        <v>1179</v>
      </c>
      <c r="F1010" t="n">
        <v>98668.42999999999</v>
      </c>
      <c r="G1010" t="n">
        <v>4</v>
      </c>
      <c r="H1010" t="inlineStr">
        <is>
          <t>Performance</t>
        </is>
      </c>
      <c r="I1010" t="inlineStr">
        <is>
          <t>RWD</t>
        </is>
      </c>
      <c r="J1010" t="inlineStr">
        <is>
          <t>Red</t>
        </is>
      </c>
      <c r="K1010" t="n">
        <v>416</v>
      </c>
      <c r="L1010" t="n">
        <v>53</v>
      </c>
      <c r="M1010" t="n">
        <v>18.83</v>
      </c>
      <c r="N1010" t="n">
        <v>1899.43</v>
      </c>
      <c r="O1010" t="n">
        <v>4.17</v>
      </c>
      <c r="P1010" t="n">
        <v>5</v>
      </c>
      <c r="Q1010" t="n">
        <v>3</v>
      </c>
      <c r="R1010" t="n">
        <v>2024.7</v>
      </c>
      <c r="S1010" t="b">
        <v>1</v>
      </c>
      <c r="T1010" t="n">
        <v>2873643</v>
      </c>
      <c r="U1010" t="n">
        <v>2</v>
      </c>
      <c r="V1010" t="n">
        <v>0.0454</v>
      </c>
      <c r="W1010" t="n">
        <v>0.58</v>
      </c>
      <c r="X1010" t="n">
        <v>71.87</v>
      </c>
      <c r="Y1010">
        <f>VLOOKUP(D1010,$AB$2:$AC$7,2,FALSE)</f>
        <v/>
      </c>
      <c r="Z1010">
        <f>IF(A1010&lt;Y1010,"Yes","No")</f>
        <v/>
      </c>
    </row>
    <row r="1011">
      <c r="A1011" t="n">
        <v>2018</v>
      </c>
      <c r="B1011" t="inlineStr">
        <is>
          <t>Q1</t>
        </is>
      </c>
      <c r="C1011" t="inlineStr">
        <is>
          <t>Asia</t>
        </is>
      </c>
      <c r="D1011" t="inlineStr">
        <is>
          <t>Model S</t>
        </is>
      </c>
      <c r="E1011" t="n">
        <v>1108</v>
      </c>
      <c r="F1011" t="n">
        <v>97129.39</v>
      </c>
      <c r="G1011" t="n">
        <v>56</v>
      </c>
      <c r="H1011" t="inlineStr">
        <is>
          <t>Performance</t>
        </is>
      </c>
      <c r="I1011" t="inlineStr">
        <is>
          <t>AWD</t>
        </is>
      </c>
      <c r="J1011" t="inlineStr">
        <is>
          <t>Green</t>
        </is>
      </c>
      <c r="K1011" t="n">
        <v>674</v>
      </c>
      <c r="L1011" t="n">
        <v>57</v>
      </c>
      <c r="M1011" t="n">
        <v>16.19</v>
      </c>
      <c r="N1011" t="n">
        <v>571.76</v>
      </c>
      <c r="O1011" t="n">
        <v>4.32</v>
      </c>
      <c r="P1011" t="n">
        <v>4</v>
      </c>
      <c r="Q1011" t="n">
        <v>0</v>
      </c>
      <c r="R1011" t="n">
        <v>2021.1</v>
      </c>
      <c r="S1011" t="b">
        <v>1</v>
      </c>
      <c r="T1011" t="n">
        <v>1092083</v>
      </c>
      <c r="U1011" t="n">
        <v>4</v>
      </c>
      <c r="V1011" t="n">
        <v>0.0153</v>
      </c>
      <c r="W1011" t="n">
        <v>1.98</v>
      </c>
      <c r="X1011" t="n">
        <v>79.17</v>
      </c>
      <c r="Y1011">
        <f>VLOOKUP(D1011,$AB$2:$AC$7,2,FALSE)</f>
        <v/>
      </c>
      <c r="Z1011">
        <f>IF(A1011&lt;Y1011,"Yes","No")</f>
        <v/>
      </c>
    </row>
    <row r="1012">
      <c r="A1012" t="n">
        <v>2014</v>
      </c>
      <c r="B1012" t="inlineStr">
        <is>
          <t>Q3</t>
        </is>
      </c>
      <c r="C1012" t="inlineStr">
        <is>
          <t>Europe</t>
        </is>
      </c>
      <c r="D1012" t="inlineStr">
        <is>
          <t>Model S</t>
        </is>
      </c>
      <c r="E1012" t="n">
        <v>2198</v>
      </c>
      <c r="F1012" t="n">
        <v>63812.15</v>
      </c>
      <c r="G1012" t="n">
        <v>44</v>
      </c>
      <c r="H1012" t="inlineStr">
        <is>
          <t>Standard</t>
        </is>
      </c>
      <c r="I1012" t="inlineStr">
        <is>
          <t>RWD</t>
        </is>
      </c>
      <c r="J1012" t="inlineStr">
        <is>
          <t>White</t>
        </is>
      </c>
      <c r="K1012" t="n">
        <v>641</v>
      </c>
      <c r="L1012" t="n">
        <v>59</v>
      </c>
      <c r="M1012" t="n">
        <v>21.35</v>
      </c>
      <c r="N1012" t="n">
        <v>2710.87</v>
      </c>
      <c r="O1012" t="n">
        <v>4.79</v>
      </c>
      <c r="P1012" t="n">
        <v>5</v>
      </c>
      <c r="Q1012" t="n">
        <v>3</v>
      </c>
      <c r="R1012" t="n">
        <v>2020.1</v>
      </c>
      <c r="S1012" t="b">
        <v>0</v>
      </c>
      <c r="T1012" t="n">
        <v>460692</v>
      </c>
      <c r="U1012" t="n">
        <v>4</v>
      </c>
      <c r="V1012" t="n">
        <v>0.0877</v>
      </c>
      <c r="W1012" t="n">
        <v>1.43</v>
      </c>
      <c r="X1012" t="n">
        <v>87.52</v>
      </c>
      <c r="Y1012">
        <f>VLOOKUP(D1012,$AB$2:$AC$7,2,FALSE)</f>
        <v/>
      </c>
      <c r="Z1012">
        <f>IF(A1012&lt;Y1012,"Yes","No")</f>
        <v/>
      </c>
    </row>
    <row r="1013">
      <c r="A1013" t="n">
        <v>2019</v>
      </c>
      <c r="B1013" t="inlineStr">
        <is>
          <t>Q3</t>
        </is>
      </c>
      <c r="C1013" t="inlineStr">
        <is>
          <t>Asia</t>
        </is>
      </c>
      <c r="D1013" t="inlineStr">
        <is>
          <t>Model X</t>
        </is>
      </c>
      <c r="E1013" t="n">
        <v>2289</v>
      </c>
      <c r="F1013" t="n">
        <v>118426.01</v>
      </c>
      <c r="G1013" t="n">
        <v>37</v>
      </c>
      <c r="H1013" t="inlineStr">
        <is>
          <t>Standard</t>
        </is>
      </c>
      <c r="I1013" t="inlineStr">
        <is>
          <t>AWD</t>
        </is>
      </c>
      <c r="J1013" t="inlineStr">
        <is>
          <t>White</t>
        </is>
      </c>
      <c r="K1013" t="n">
        <v>496</v>
      </c>
      <c r="L1013" t="n">
        <v>77</v>
      </c>
      <c r="M1013" t="n">
        <v>19.68</v>
      </c>
      <c r="N1013" t="n">
        <v>3914.08</v>
      </c>
      <c r="O1013" t="n">
        <v>4.54</v>
      </c>
      <c r="P1013" t="n">
        <v>6</v>
      </c>
      <c r="Q1013" t="n">
        <v>1</v>
      </c>
      <c r="R1013" t="n">
        <v>2024.2</v>
      </c>
      <c r="S1013" t="b">
        <v>1</v>
      </c>
      <c r="T1013" t="n">
        <v>4776128</v>
      </c>
      <c r="U1013" t="n">
        <v>2</v>
      </c>
      <c r="V1013" t="n">
        <v>0.0668</v>
      </c>
      <c r="W1013" t="n">
        <v>0.74</v>
      </c>
      <c r="X1013" t="n">
        <v>76.44</v>
      </c>
      <c r="Y1013">
        <f>VLOOKUP(D1013,$AB$2:$AC$7,2,FALSE)</f>
        <v/>
      </c>
      <c r="Z1013">
        <f>IF(A1013&lt;Y1013,"Yes","No")</f>
        <v/>
      </c>
    </row>
    <row r="1014">
      <c r="A1014" t="n">
        <v>2018</v>
      </c>
      <c r="B1014" t="inlineStr">
        <is>
          <t>Q3</t>
        </is>
      </c>
      <c r="C1014" t="inlineStr">
        <is>
          <t>Asia</t>
        </is>
      </c>
      <c r="D1014" t="inlineStr">
        <is>
          <t>Cybertruck</t>
        </is>
      </c>
      <c r="E1014" t="n">
        <v>1781</v>
      </c>
      <c r="F1014" t="n">
        <v>59088.45</v>
      </c>
      <c r="G1014" t="n">
        <v>53</v>
      </c>
      <c r="H1014" t="inlineStr">
        <is>
          <t>Long Range</t>
        </is>
      </c>
      <c r="I1014" t="inlineStr">
        <is>
          <t>RWD</t>
        </is>
      </c>
      <c r="J1014" t="inlineStr">
        <is>
          <t>Blue</t>
        </is>
      </c>
      <c r="K1014" t="n">
        <v>557</v>
      </c>
      <c r="L1014" t="n">
        <v>40</v>
      </c>
      <c r="M1014" t="n">
        <v>23.4</v>
      </c>
      <c r="N1014" t="n">
        <v>3017.43</v>
      </c>
      <c r="O1014" t="n">
        <v>4.53</v>
      </c>
      <c r="P1014" t="n">
        <v>5</v>
      </c>
      <c r="Q1014" t="n">
        <v>0</v>
      </c>
      <c r="R1014" t="n">
        <v>2023.1</v>
      </c>
      <c r="S1014" t="b">
        <v>0</v>
      </c>
      <c r="T1014" t="n">
        <v>539000</v>
      </c>
      <c r="U1014" t="n">
        <v>7</v>
      </c>
      <c r="V1014" t="n">
        <v>0.07290000000000001</v>
      </c>
      <c r="W1014" t="n">
        <v>1.26</v>
      </c>
      <c r="X1014" t="n">
        <v>67.04000000000001</v>
      </c>
      <c r="Y1014">
        <f>VLOOKUP(D1014,$AB$2:$AC$7,2,FALSE)</f>
        <v/>
      </c>
      <c r="Z1014">
        <f>IF(A1014&lt;Y1014,"Yes","No")</f>
        <v/>
      </c>
    </row>
    <row r="1015">
      <c r="A1015" t="n">
        <v>2024</v>
      </c>
      <c r="B1015" t="inlineStr">
        <is>
          <t>Q4</t>
        </is>
      </c>
      <c r="C1015" t="inlineStr">
        <is>
          <t>North America</t>
        </is>
      </c>
      <c r="D1015" t="inlineStr">
        <is>
          <t>Model Y</t>
        </is>
      </c>
      <c r="E1015" t="n">
        <v>1193</v>
      </c>
      <c r="F1015" t="n">
        <v>61315.74</v>
      </c>
      <c r="G1015" t="n">
        <v>27</v>
      </c>
      <c r="H1015" t="inlineStr">
        <is>
          <t>Standard</t>
        </is>
      </c>
      <c r="I1015" t="inlineStr">
        <is>
          <t>RWD</t>
        </is>
      </c>
      <c r="J1015" t="inlineStr">
        <is>
          <t>Red</t>
        </is>
      </c>
      <c r="K1015" t="n">
        <v>501</v>
      </c>
      <c r="L1015" t="n">
        <v>58</v>
      </c>
      <c r="M1015" t="n">
        <v>23.36</v>
      </c>
      <c r="N1015" t="n">
        <v>964.5700000000001</v>
      </c>
      <c r="O1015" t="n">
        <v>4.13</v>
      </c>
      <c r="P1015" t="n">
        <v>8</v>
      </c>
      <c r="Q1015" t="n">
        <v>0</v>
      </c>
      <c r="R1015" t="n">
        <v>2021.4</v>
      </c>
      <c r="S1015" t="b">
        <v>0</v>
      </c>
      <c r="T1015" t="n">
        <v>627541</v>
      </c>
      <c r="U1015" t="n">
        <v>7</v>
      </c>
      <c r="V1015" t="n">
        <v>0.0554</v>
      </c>
      <c r="W1015" t="n">
        <v>0.55</v>
      </c>
      <c r="X1015" t="n">
        <v>71.23</v>
      </c>
      <c r="Y1015">
        <f>VLOOKUP(D1015,$AB$2:$AC$7,2,FALSE)</f>
        <v/>
      </c>
      <c r="Z1015">
        <f>IF(A1015&lt;Y1015,"Yes","No")</f>
        <v/>
      </c>
    </row>
    <row r="1016">
      <c r="A1016" t="n">
        <v>2015</v>
      </c>
      <c r="B1016" t="inlineStr">
        <is>
          <t>Q1</t>
        </is>
      </c>
      <c r="C1016" t="inlineStr">
        <is>
          <t>North America</t>
        </is>
      </c>
      <c r="D1016" t="inlineStr">
        <is>
          <t>Model Y</t>
        </is>
      </c>
      <c r="E1016" t="n">
        <v>1937</v>
      </c>
      <c r="F1016" t="n">
        <v>92748.21000000001</v>
      </c>
      <c r="G1016" t="n">
        <v>40</v>
      </c>
      <c r="H1016" t="inlineStr">
        <is>
          <t>Standard</t>
        </is>
      </c>
      <c r="I1016" t="inlineStr">
        <is>
          <t>RWD</t>
        </is>
      </c>
      <c r="J1016" t="inlineStr">
        <is>
          <t>Blue</t>
        </is>
      </c>
      <c r="K1016" t="n">
        <v>398</v>
      </c>
      <c r="L1016" t="n">
        <v>50</v>
      </c>
      <c r="M1016" t="n">
        <v>18.08</v>
      </c>
      <c r="N1016" t="n">
        <v>2312.24</v>
      </c>
      <c r="O1016" t="n">
        <v>4.16</v>
      </c>
      <c r="P1016" t="n">
        <v>4</v>
      </c>
      <c r="Q1016" t="n">
        <v>2</v>
      </c>
      <c r="R1016" t="n">
        <v>2021.3</v>
      </c>
      <c r="S1016" t="b">
        <v>0</v>
      </c>
      <c r="T1016" t="n">
        <v>2635222</v>
      </c>
      <c r="U1016" t="n">
        <v>3</v>
      </c>
      <c r="V1016" t="n">
        <v>0.0288</v>
      </c>
      <c r="W1016" t="n">
        <v>1.68</v>
      </c>
      <c r="X1016" t="n">
        <v>69.23</v>
      </c>
      <c r="Y1016">
        <f>VLOOKUP(D1016,$AB$2:$AC$7,2,FALSE)</f>
        <v/>
      </c>
      <c r="Z1016">
        <f>IF(A1016&lt;Y1016,"Yes","No")</f>
        <v/>
      </c>
    </row>
    <row r="1017">
      <c r="A1017" t="n">
        <v>2021</v>
      </c>
      <c r="B1017" t="inlineStr">
        <is>
          <t>Q3</t>
        </is>
      </c>
      <c r="C1017" t="inlineStr">
        <is>
          <t>North America</t>
        </is>
      </c>
      <c r="D1017" t="inlineStr">
        <is>
          <t>Semi</t>
        </is>
      </c>
      <c r="E1017" t="n">
        <v>3125</v>
      </c>
      <c r="F1017" t="n">
        <v>117333.48</v>
      </c>
      <c r="G1017" t="n">
        <v>46</v>
      </c>
      <c r="H1017" t="inlineStr">
        <is>
          <t>Performance</t>
        </is>
      </c>
      <c r="I1017" t="inlineStr">
        <is>
          <t>RWD</t>
        </is>
      </c>
      <c r="J1017" t="inlineStr">
        <is>
          <t>Black</t>
        </is>
      </c>
      <c r="K1017" t="n">
        <v>399</v>
      </c>
      <c r="L1017" t="n">
        <v>73</v>
      </c>
      <c r="M1017" t="n">
        <v>22.74</v>
      </c>
      <c r="N1017" t="n">
        <v>5902.48</v>
      </c>
      <c r="O1017" t="n">
        <v>4.98</v>
      </c>
      <c r="P1017" t="n">
        <v>8</v>
      </c>
      <c r="Q1017" t="n">
        <v>0</v>
      </c>
      <c r="R1017" t="n">
        <v>2022.12</v>
      </c>
      <c r="S1017" t="b">
        <v>0</v>
      </c>
      <c r="T1017" t="n">
        <v>1132706</v>
      </c>
      <c r="U1017" t="n">
        <v>11</v>
      </c>
      <c r="V1017" t="n">
        <v>0.094</v>
      </c>
      <c r="W1017" t="n">
        <v>0.66</v>
      </c>
      <c r="X1017" t="n">
        <v>79.29000000000001</v>
      </c>
      <c r="Y1017">
        <f>VLOOKUP(D1017,$AB$2:$AC$7,2,FALSE)</f>
        <v/>
      </c>
      <c r="Z1017">
        <f>IF(A1017&lt;Y1017,"Yes","No")</f>
        <v/>
      </c>
    </row>
    <row r="1018">
      <c r="A1018" t="n">
        <v>2020</v>
      </c>
      <c r="B1018" t="inlineStr">
        <is>
          <t>Q4</t>
        </is>
      </c>
      <c r="C1018" t="inlineStr">
        <is>
          <t>Australia</t>
        </is>
      </c>
      <c r="D1018" t="inlineStr">
        <is>
          <t>Semi</t>
        </is>
      </c>
      <c r="E1018" t="n">
        <v>2510</v>
      </c>
      <c r="F1018" t="n">
        <v>107047.05</v>
      </c>
      <c r="G1018" t="n">
        <v>25</v>
      </c>
      <c r="H1018" t="inlineStr">
        <is>
          <t>Performance</t>
        </is>
      </c>
      <c r="I1018" t="inlineStr">
        <is>
          <t>AWD</t>
        </is>
      </c>
      <c r="J1018" t="inlineStr">
        <is>
          <t>Blue</t>
        </is>
      </c>
      <c r="K1018" t="n">
        <v>519</v>
      </c>
      <c r="L1018" t="n">
        <v>54</v>
      </c>
      <c r="M1018" t="n">
        <v>23.62</v>
      </c>
      <c r="N1018" t="n">
        <v>4034.72</v>
      </c>
      <c r="O1018" t="n">
        <v>3.79</v>
      </c>
      <c r="P1018" t="n">
        <v>6</v>
      </c>
      <c r="Q1018" t="n">
        <v>3</v>
      </c>
      <c r="R1018" t="n">
        <v>2022.11</v>
      </c>
      <c r="S1018" t="b">
        <v>0</v>
      </c>
      <c r="T1018" t="n">
        <v>3421788</v>
      </c>
      <c r="U1018" t="n">
        <v>10</v>
      </c>
      <c r="V1018" t="n">
        <v>0.0959</v>
      </c>
      <c r="W1018" t="n">
        <v>1.25</v>
      </c>
      <c r="X1018" t="n">
        <v>74.06</v>
      </c>
      <c r="Y1018">
        <f>VLOOKUP(D1018,$AB$2:$AC$7,2,FALSE)</f>
        <v/>
      </c>
      <c r="Z1018">
        <f>IF(A1018&lt;Y1018,"Yes","No")</f>
        <v/>
      </c>
    </row>
    <row r="1019">
      <c r="A1019" t="n">
        <v>2024</v>
      </c>
      <c r="B1019" t="inlineStr">
        <is>
          <t>Q2</t>
        </is>
      </c>
      <c r="C1019" t="inlineStr">
        <is>
          <t>Europe</t>
        </is>
      </c>
      <c r="D1019" t="inlineStr">
        <is>
          <t>Semi</t>
        </is>
      </c>
      <c r="E1019" t="n">
        <v>3967</v>
      </c>
      <c r="F1019" t="n">
        <v>107043.02</v>
      </c>
      <c r="G1019" t="n">
        <v>51</v>
      </c>
      <c r="H1019" t="inlineStr">
        <is>
          <t>Performance</t>
        </is>
      </c>
      <c r="I1019" t="inlineStr">
        <is>
          <t>AWD</t>
        </is>
      </c>
      <c r="J1019" t="inlineStr">
        <is>
          <t>Silver</t>
        </is>
      </c>
      <c r="K1019" t="n">
        <v>485</v>
      </c>
      <c r="L1019" t="n">
        <v>45</v>
      </c>
      <c r="M1019" t="n">
        <v>23.27</v>
      </c>
      <c r="N1019" t="n">
        <v>8376.01</v>
      </c>
      <c r="O1019" t="n">
        <v>3.65</v>
      </c>
      <c r="P1019" t="n">
        <v>5</v>
      </c>
      <c r="Q1019" t="n">
        <v>1</v>
      </c>
      <c r="R1019" t="n">
        <v>2020.1</v>
      </c>
      <c r="S1019" t="b">
        <v>0</v>
      </c>
      <c r="T1019" t="n">
        <v>3727960</v>
      </c>
      <c r="U1019" t="n">
        <v>9</v>
      </c>
      <c r="V1019" t="n">
        <v>0.0318</v>
      </c>
      <c r="W1019" t="n">
        <v>0.88</v>
      </c>
      <c r="X1019" t="n">
        <v>84.52</v>
      </c>
      <c r="Y1019">
        <f>VLOOKUP(D1019,$AB$2:$AC$7,2,FALSE)</f>
        <v/>
      </c>
      <c r="Z1019">
        <f>IF(A1019&lt;Y1019,"Yes","No")</f>
        <v/>
      </c>
    </row>
    <row r="1020">
      <c r="A1020" t="n">
        <v>2023</v>
      </c>
      <c r="B1020" t="inlineStr">
        <is>
          <t>Q4</t>
        </is>
      </c>
      <c r="C1020" t="inlineStr">
        <is>
          <t>Europe</t>
        </is>
      </c>
      <c r="D1020" t="inlineStr">
        <is>
          <t>Semi</t>
        </is>
      </c>
      <c r="E1020" t="n">
        <v>1141</v>
      </c>
      <c r="F1020" t="n">
        <v>52878.33</v>
      </c>
      <c r="G1020" t="n">
        <v>55</v>
      </c>
      <c r="H1020" t="inlineStr">
        <is>
          <t>Long Range</t>
        </is>
      </c>
      <c r="I1020" t="inlineStr">
        <is>
          <t>RWD</t>
        </is>
      </c>
      <c r="J1020" t="inlineStr">
        <is>
          <t>White</t>
        </is>
      </c>
      <c r="K1020" t="n">
        <v>370</v>
      </c>
      <c r="L1020" t="n">
        <v>41</v>
      </c>
      <c r="M1020" t="n">
        <v>23.42</v>
      </c>
      <c r="N1020" t="n">
        <v>2673.5</v>
      </c>
      <c r="O1020" t="n">
        <v>3.98</v>
      </c>
      <c r="P1020" t="n">
        <v>5</v>
      </c>
      <c r="Q1020" t="n">
        <v>3</v>
      </c>
      <c r="R1020" t="n">
        <v>2023.7</v>
      </c>
      <c r="S1020" t="b">
        <v>1</v>
      </c>
      <c r="T1020" t="n">
        <v>2266670</v>
      </c>
      <c r="U1020" t="n">
        <v>4</v>
      </c>
      <c r="V1020" t="n">
        <v>0.0495</v>
      </c>
      <c r="W1020" t="n">
        <v>2.34</v>
      </c>
      <c r="X1020" t="n">
        <v>78.66</v>
      </c>
      <c r="Y1020">
        <f>VLOOKUP(D1020,$AB$2:$AC$7,2,FALSE)</f>
        <v/>
      </c>
      <c r="Z1020">
        <f>IF(A1020&lt;Y1020,"Yes","No")</f>
        <v/>
      </c>
    </row>
    <row r="1021">
      <c r="A1021" t="n">
        <v>2023</v>
      </c>
      <c r="B1021" t="inlineStr">
        <is>
          <t>Q2</t>
        </is>
      </c>
      <c r="C1021" t="inlineStr">
        <is>
          <t>Europe</t>
        </is>
      </c>
      <c r="D1021" t="inlineStr">
        <is>
          <t>Semi</t>
        </is>
      </c>
      <c r="E1021" t="n">
        <v>4432</v>
      </c>
      <c r="F1021" t="n">
        <v>108734.63</v>
      </c>
      <c r="G1021" t="n">
        <v>41</v>
      </c>
      <c r="H1021" t="inlineStr">
        <is>
          <t>Standard</t>
        </is>
      </c>
      <c r="I1021" t="inlineStr">
        <is>
          <t>AWD</t>
        </is>
      </c>
      <c r="J1021" t="inlineStr">
        <is>
          <t>Black</t>
        </is>
      </c>
      <c r="K1021" t="n">
        <v>472</v>
      </c>
      <c r="L1021" t="n">
        <v>73</v>
      </c>
      <c r="M1021" t="n">
        <v>15.19</v>
      </c>
      <c r="N1021" t="n">
        <v>7314.85</v>
      </c>
      <c r="O1021" t="n">
        <v>3.88</v>
      </c>
      <c r="P1021" t="n">
        <v>4</v>
      </c>
      <c r="Q1021" t="n">
        <v>0</v>
      </c>
      <c r="R1021" t="n">
        <v>2023.1</v>
      </c>
      <c r="S1021" t="b">
        <v>1</v>
      </c>
      <c r="T1021" t="n">
        <v>2012209</v>
      </c>
      <c r="U1021" t="n">
        <v>4</v>
      </c>
      <c r="V1021" t="n">
        <v>0.0565</v>
      </c>
      <c r="W1021" t="n">
        <v>1.09</v>
      </c>
      <c r="X1021" t="n">
        <v>66.37</v>
      </c>
      <c r="Y1021">
        <f>VLOOKUP(D1021,$AB$2:$AC$7,2,FALSE)</f>
        <v/>
      </c>
      <c r="Z1021">
        <f>IF(A1021&lt;Y1021,"Yes","No")</f>
        <v/>
      </c>
    </row>
    <row r="1022">
      <c r="A1022" t="n">
        <v>2016</v>
      </c>
      <c r="B1022" t="inlineStr">
        <is>
          <t>Q4</t>
        </is>
      </c>
      <c r="C1022" t="inlineStr">
        <is>
          <t>North America</t>
        </is>
      </c>
      <c r="D1022" t="inlineStr">
        <is>
          <t>Cybertruck</t>
        </is>
      </c>
      <c r="E1022" t="n">
        <v>4891</v>
      </c>
      <c r="F1022" t="n">
        <v>79648.06</v>
      </c>
      <c r="G1022" t="n">
        <v>56</v>
      </c>
      <c r="H1022" t="inlineStr">
        <is>
          <t>Performance</t>
        </is>
      </c>
      <c r="I1022" t="inlineStr">
        <is>
          <t>AWD</t>
        </is>
      </c>
      <c r="J1022" t="inlineStr">
        <is>
          <t>Green</t>
        </is>
      </c>
      <c r="K1022" t="n">
        <v>597</v>
      </c>
      <c r="L1022" t="n">
        <v>51</v>
      </c>
      <c r="M1022" t="n">
        <v>22.84</v>
      </c>
      <c r="N1022" t="n">
        <v>10877.76</v>
      </c>
      <c r="O1022" t="n">
        <v>3.99</v>
      </c>
      <c r="P1022" t="n">
        <v>6</v>
      </c>
      <c r="Q1022" t="n">
        <v>2</v>
      </c>
      <c r="R1022" t="n">
        <v>2021.7</v>
      </c>
      <c r="S1022" t="b">
        <v>1</v>
      </c>
      <c r="T1022" t="n">
        <v>3812509</v>
      </c>
      <c r="U1022" t="n">
        <v>7</v>
      </c>
      <c r="V1022" t="n">
        <v>0.0493</v>
      </c>
      <c r="W1022" t="n">
        <v>1.88</v>
      </c>
      <c r="X1022" t="n">
        <v>78.67</v>
      </c>
      <c r="Y1022">
        <f>VLOOKUP(D1022,$AB$2:$AC$7,2,FALSE)</f>
        <v/>
      </c>
      <c r="Z1022">
        <f>IF(A1022&lt;Y1022,"Yes","No")</f>
        <v/>
      </c>
    </row>
    <row r="1023">
      <c r="A1023" t="n">
        <v>2015</v>
      </c>
      <c r="B1023" t="inlineStr">
        <is>
          <t>Q2</t>
        </is>
      </c>
      <c r="C1023" t="inlineStr">
        <is>
          <t>North America</t>
        </is>
      </c>
      <c r="D1023" t="inlineStr">
        <is>
          <t>Model S</t>
        </is>
      </c>
      <c r="E1023" t="n">
        <v>80</v>
      </c>
      <c r="F1023" t="n">
        <v>95912.78999999999</v>
      </c>
      <c r="G1023" t="n">
        <v>25</v>
      </c>
      <c r="H1023" t="inlineStr">
        <is>
          <t>Long Range</t>
        </is>
      </c>
      <c r="I1023" t="inlineStr">
        <is>
          <t>AWD</t>
        </is>
      </c>
      <c r="J1023" t="inlineStr">
        <is>
          <t>Black</t>
        </is>
      </c>
      <c r="K1023" t="n">
        <v>694</v>
      </c>
      <c r="L1023" t="n">
        <v>39</v>
      </c>
      <c r="M1023" t="n">
        <v>15.21</v>
      </c>
      <c r="N1023" t="n">
        <v>161.34</v>
      </c>
      <c r="O1023" t="n">
        <v>4.99</v>
      </c>
      <c r="P1023" t="n">
        <v>5</v>
      </c>
      <c r="Q1023" t="n">
        <v>1</v>
      </c>
      <c r="R1023" t="n">
        <v>2023.8</v>
      </c>
      <c r="S1023" t="b">
        <v>0</v>
      </c>
      <c r="T1023" t="n">
        <v>4016323</v>
      </c>
      <c r="U1023" t="n">
        <v>5</v>
      </c>
      <c r="V1023" t="n">
        <v>0.0283</v>
      </c>
      <c r="W1023" t="n">
        <v>0.65</v>
      </c>
      <c r="X1023" t="n">
        <v>86.59999999999999</v>
      </c>
      <c r="Y1023">
        <f>VLOOKUP(D1023,$AB$2:$AC$7,2,FALSE)</f>
        <v/>
      </c>
      <c r="Z1023">
        <f>IF(A1023&lt;Y1023,"Yes","No")</f>
        <v/>
      </c>
    </row>
    <row r="1024">
      <c r="A1024" t="n">
        <v>2020</v>
      </c>
      <c r="B1024" t="inlineStr">
        <is>
          <t>Q1</t>
        </is>
      </c>
      <c r="C1024" t="inlineStr">
        <is>
          <t>Australia</t>
        </is>
      </c>
      <c r="D1024" t="inlineStr">
        <is>
          <t>Model Y</t>
        </is>
      </c>
      <c r="E1024" t="n">
        <v>2497</v>
      </c>
      <c r="F1024" t="n">
        <v>97059.63</v>
      </c>
      <c r="G1024" t="n">
        <v>1</v>
      </c>
      <c r="H1024" t="inlineStr">
        <is>
          <t>Long Range</t>
        </is>
      </c>
      <c r="I1024" t="inlineStr">
        <is>
          <t>AWD</t>
        </is>
      </c>
      <c r="J1024" t="inlineStr">
        <is>
          <t>Black</t>
        </is>
      </c>
      <c r="K1024" t="n">
        <v>635</v>
      </c>
      <c r="L1024" t="n">
        <v>53</v>
      </c>
      <c r="M1024" t="n">
        <v>13.63</v>
      </c>
      <c r="N1024" t="n">
        <v>3138.49</v>
      </c>
      <c r="O1024" t="n">
        <v>3.55</v>
      </c>
      <c r="P1024" t="n">
        <v>6</v>
      </c>
      <c r="Q1024" t="n">
        <v>1</v>
      </c>
      <c r="R1024" t="n">
        <v>2024.9</v>
      </c>
      <c r="S1024" t="b">
        <v>0</v>
      </c>
      <c r="T1024" t="n">
        <v>1234744</v>
      </c>
      <c r="U1024" t="n">
        <v>12</v>
      </c>
      <c r="V1024" t="n">
        <v>0.0359</v>
      </c>
      <c r="W1024" t="n">
        <v>1.96</v>
      </c>
      <c r="X1024" t="n">
        <v>61.13</v>
      </c>
      <c r="Y1024">
        <f>VLOOKUP(D1024,$AB$2:$AC$7,2,FALSE)</f>
        <v/>
      </c>
      <c r="Z1024">
        <f>IF(A1024&lt;Y1024,"Yes","No")</f>
        <v/>
      </c>
    </row>
    <row r="1025">
      <c r="A1025" t="n">
        <v>2019</v>
      </c>
      <c r="B1025" t="inlineStr">
        <is>
          <t>Q3</t>
        </is>
      </c>
      <c r="C1025" t="inlineStr">
        <is>
          <t>North America</t>
        </is>
      </c>
      <c r="D1025" t="inlineStr">
        <is>
          <t>Model 3</t>
        </is>
      </c>
      <c r="E1025" t="n">
        <v>4113</v>
      </c>
      <c r="F1025" t="n">
        <v>57971.13</v>
      </c>
      <c r="G1025" t="n">
        <v>43</v>
      </c>
      <c r="H1025" t="inlineStr">
        <is>
          <t>Performance</t>
        </is>
      </c>
      <c r="I1025" t="inlineStr">
        <is>
          <t>RWD</t>
        </is>
      </c>
      <c r="J1025" t="inlineStr">
        <is>
          <t>Blue</t>
        </is>
      </c>
      <c r="K1025" t="n">
        <v>537</v>
      </c>
      <c r="L1025" t="n">
        <v>62</v>
      </c>
      <c r="M1025" t="n">
        <v>15</v>
      </c>
      <c r="N1025" t="n">
        <v>5786.52</v>
      </c>
      <c r="O1025" t="n">
        <v>3.71</v>
      </c>
      <c r="P1025" t="n">
        <v>4</v>
      </c>
      <c r="Q1025" t="n">
        <v>3</v>
      </c>
      <c r="R1025" t="n">
        <v>2021.1</v>
      </c>
      <c r="S1025" t="b">
        <v>1</v>
      </c>
      <c r="T1025" t="n">
        <v>2156133</v>
      </c>
      <c r="U1025" t="n">
        <v>8</v>
      </c>
      <c r="V1025" t="n">
        <v>0.0272</v>
      </c>
      <c r="W1025" t="n">
        <v>1.52</v>
      </c>
      <c r="X1025" t="n">
        <v>89.45999999999999</v>
      </c>
      <c r="Y1025">
        <f>VLOOKUP(D1025,$AB$2:$AC$7,2,FALSE)</f>
        <v/>
      </c>
      <c r="Z1025">
        <f>IF(A1025&lt;Y1025,"Yes","No")</f>
        <v/>
      </c>
    </row>
    <row r="1026">
      <c r="A1026" t="n">
        <v>2022</v>
      </c>
      <c r="B1026" t="inlineStr">
        <is>
          <t>Q4</t>
        </is>
      </c>
      <c r="C1026" t="inlineStr">
        <is>
          <t>Asia</t>
        </is>
      </c>
      <c r="D1026" t="inlineStr">
        <is>
          <t>Model Y</t>
        </is>
      </c>
      <c r="E1026" t="n">
        <v>631</v>
      </c>
      <c r="F1026" t="n">
        <v>59031.58</v>
      </c>
      <c r="G1026" t="n">
        <v>28</v>
      </c>
      <c r="H1026" t="inlineStr">
        <is>
          <t>Long Range</t>
        </is>
      </c>
      <c r="I1026" t="inlineStr">
        <is>
          <t>RWD</t>
        </is>
      </c>
      <c r="J1026" t="inlineStr">
        <is>
          <t>Silver</t>
        </is>
      </c>
      <c r="K1026" t="n">
        <v>598</v>
      </c>
      <c r="L1026" t="n">
        <v>71</v>
      </c>
      <c r="M1026" t="n">
        <v>20.03</v>
      </c>
      <c r="N1026" t="n">
        <v>447.36</v>
      </c>
      <c r="O1026" t="n">
        <v>4.89</v>
      </c>
      <c r="P1026" t="n">
        <v>8</v>
      </c>
      <c r="Q1026" t="n">
        <v>2</v>
      </c>
      <c r="R1026" t="n">
        <v>2024.2</v>
      </c>
      <c r="S1026" t="b">
        <v>0</v>
      </c>
      <c r="T1026" t="n">
        <v>4345357</v>
      </c>
      <c r="U1026" t="n">
        <v>8</v>
      </c>
      <c r="V1026" t="n">
        <v>0.0131</v>
      </c>
      <c r="W1026" t="n">
        <v>1.98</v>
      </c>
      <c r="X1026" t="n">
        <v>86.66</v>
      </c>
      <c r="Y1026">
        <f>VLOOKUP(D1026,$AB$2:$AC$7,2,FALSE)</f>
        <v/>
      </c>
      <c r="Z1026">
        <f>IF(A1026&lt;Y1026,"Yes","No")</f>
        <v/>
      </c>
    </row>
    <row r="1027">
      <c r="A1027" t="n">
        <v>2017</v>
      </c>
      <c r="B1027" t="inlineStr">
        <is>
          <t>Q1</t>
        </is>
      </c>
      <c r="C1027" t="inlineStr">
        <is>
          <t>Asia</t>
        </is>
      </c>
      <c r="D1027" t="inlineStr">
        <is>
          <t>Cybertruck</t>
        </is>
      </c>
      <c r="E1027" t="n">
        <v>1750</v>
      </c>
      <c r="F1027" t="n">
        <v>47148.41</v>
      </c>
      <c r="G1027" t="n">
        <v>26</v>
      </c>
      <c r="H1027" t="inlineStr">
        <is>
          <t>Long Range</t>
        </is>
      </c>
      <c r="I1027" t="inlineStr">
        <is>
          <t>RWD</t>
        </is>
      </c>
      <c r="J1027" t="inlineStr">
        <is>
          <t>Black</t>
        </is>
      </c>
      <c r="K1027" t="n">
        <v>415</v>
      </c>
      <c r="L1027" t="n">
        <v>38</v>
      </c>
      <c r="M1027" t="n">
        <v>21.94</v>
      </c>
      <c r="N1027" t="n">
        <v>4288.76</v>
      </c>
      <c r="O1027" t="n">
        <v>3.89</v>
      </c>
      <c r="P1027" t="n">
        <v>8</v>
      </c>
      <c r="Q1027" t="n">
        <v>0</v>
      </c>
      <c r="R1027" t="n">
        <v>2021.2</v>
      </c>
      <c r="S1027" t="b">
        <v>1</v>
      </c>
      <c r="T1027" t="n">
        <v>4697398</v>
      </c>
      <c r="U1027" t="n">
        <v>11</v>
      </c>
      <c r="V1027" t="n">
        <v>0.0733</v>
      </c>
      <c r="W1027" t="n">
        <v>2.26</v>
      </c>
      <c r="X1027" t="n">
        <v>84.17</v>
      </c>
      <c r="Y1027">
        <f>VLOOKUP(D1027,$AB$2:$AC$7,2,FALSE)</f>
        <v/>
      </c>
      <c r="Z1027">
        <f>IF(A1027&lt;Y1027,"Yes","No")</f>
        <v/>
      </c>
    </row>
    <row r="1028">
      <c r="A1028" t="n">
        <v>2013</v>
      </c>
      <c r="B1028" t="inlineStr">
        <is>
          <t>Q1</t>
        </is>
      </c>
      <c r="C1028" t="inlineStr">
        <is>
          <t>Asia</t>
        </is>
      </c>
      <c r="D1028" t="inlineStr">
        <is>
          <t>Cybertruck</t>
        </is>
      </c>
      <c r="E1028" t="n">
        <v>2411</v>
      </c>
      <c r="F1028" t="n">
        <v>82802.71000000001</v>
      </c>
      <c r="G1028" t="n">
        <v>21</v>
      </c>
      <c r="H1028" t="inlineStr">
        <is>
          <t>Standard</t>
        </is>
      </c>
      <c r="I1028" t="inlineStr">
        <is>
          <t>RWD</t>
        </is>
      </c>
      <c r="J1028" t="inlineStr">
        <is>
          <t>Red</t>
        </is>
      </c>
      <c r="K1028" t="n">
        <v>352</v>
      </c>
      <c r="L1028" t="n">
        <v>74</v>
      </c>
      <c r="M1028" t="n">
        <v>13.88</v>
      </c>
      <c r="N1028" t="n">
        <v>4508.84</v>
      </c>
      <c r="O1028" t="n">
        <v>4.16</v>
      </c>
      <c r="P1028" t="n">
        <v>5</v>
      </c>
      <c r="Q1028" t="n">
        <v>1</v>
      </c>
      <c r="R1028" t="n">
        <v>2021.1</v>
      </c>
      <c r="S1028" t="b">
        <v>0</v>
      </c>
      <c r="T1028" t="n">
        <v>4275074</v>
      </c>
      <c r="U1028" t="n">
        <v>6</v>
      </c>
      <c r="V1028" t="n">
        <v>0.0255</v>
      </c>
      <c r="W1028" t="n">
        <v>2.28</v>
      </c>
      <c r="X1028" t="n">
        <v>79.11</v>
      </c>
      <c r="Y1028">
        <f>VLOOKUP(D1028,$AB$2:$AC$7,2,FALSE)</f>
        <v/>
      </c>
      <c r="Z1028">
        <f>IF(A1028&lt;Y1028,"Yes","No")</f>
        <v/>
      </c>
    </row>
    <row r="1029">
      <c r="A1029" t="n">
        <v>2017</v>
      </c>
      <c r="B1029" t="inlineStr">
        <is>
          <t>Q4</t>
        </is>
      </c>
      <c r="C1029" t="inlineStr">
        <is>
          <t>Australia</t>
        </is>
      </c>
      <c r="D1029" t="inlineStr">
        <is>
          <t>Semi</t>
        </is>
      </c>
      <c r="E1029" t="n">
        <v>4178</v>
      </c>
      <c r="F1029" t="n">
        <v>94167.08</v>
      </c>
      <c r="G1029" t="n">
        <v>4</v>
      </c>
      <c r="H1029" t="inlineStr">
        <is>
          <t>Performance</t>
        </is>
      </c>
      <c r="I1029" t="inlineStr">
        <is>
          <t>AWD</t>
        </is>
      </c>
      <c r="J1029" t="inlineStr">
        <is>
          <t>Black</t>
        </is>
      </c>
      <c r="K1029" t="n">
        <v>454</v>
      </c>
      <c r="L1029" t="n">
        <v>58</v>
      </c>
      <c r="M1029" t="n">
        <v>19.31</v>
      </c>
      <c r="N1029" t="n">
        <v>6651.68</v>
      </c>
      <c r="O1029" t="n">
        <v>4.22</v>
      </c>
      <c r="P1029" t="n">
        <v>6</v>
      </c>
      <c r="Q1029" t="n">
        <v>2</v>
      </c>
      <c r="R1029" t="n">
        <v>2020.7</v>
      </c>
      <c r="S1029" t="b">
        <v>1</v>
      </c>
      <c r="T1029" t="n">
        <v>3324745</v>
      </c>
      <c r="U1029" t="n">
        <v>3</v>
      </c>
      <c r="V1029" t="n">
        <v>0.0989</v>
      </c>
      <c r="W1029" t="n">
        <v>0.9</v>
      </c>
      <c r="X1029" t="n">
        <v>81.7</v>
      </c>
      <c r="Y1029">
        <f>VLOOKUP(D1029,$AB$2:$AC$7,2,FALSE)</f>
        <v/>
      </c>
      <c r="Z1029">
        <f>IF(A1029&lt;Y1029,"Yes","No")</f>
        <v/>
      </c>
    </row>
    <row r="1030">
      <c r="A1030" t="n">
        <v>2021</v>
      </c>
      <c r="B1030" t="inlineStr">
        <is>
          <t>Q3</t>
        </is>
      </c>
      <c r="C1030" t="inlineStr">
        <is>
          <t>Australia</t>
        </is>
      </c>
      <c r="D1030" t="inlineStr">
        <is>
          <t>Model X</t>
        </is>
      </c>
      <c r="E1030" t="n">
        <v>3880</v>
      </c>
      <c r="F1030" t="n">
        <v>98545.44</v>
      </c>
      <c r="G1030" t="n">
        <v>36</v>
      </c>
      <c r="H1030" t="inlineStr">
        <is>
          <t>Performance</t>
        </is>
      </c>
      <c r="I1030" t="inlineStr">
        <is>
          <t>RWD</t>
        </is>
      </c>
      <c r="J1030" t="inlineStr">
        <is>
          <t>Blue</t>
        </is>
      </c>
      <c r="K1030" t="n">
        <v>362</v>
      </c>
      <c r="L1030" t="n">
        <v>78</v>
      </c>
      <c r="M1030" t="n">
        <v>21.15</v>
      </c>
      <c r="N1030" t="n">
        <v>5938.84</v>
      </c>
      <c r="O1030" t="n">
        <v>4.53</v>
      </c>
      <c r="P1030" t="n">
        <v>6</v>
      </c>
      <c r="Q1030" t="n">
        <v>3</v>
      </c>
      <c r="R1030" t="n">
        <v>2021.11</v>
      </c>
      <c r="S1030" t="b">
        <v>1</v>
      </c>
      <c r="T1030" t="n">
        <v>131099</v>
      </c>
      <c r="U1030" t="n">
        <v>11</v>
      </c>
      <c r="V1030" t="n">
        <v>0.0872</v>
      </c>
      <c r="W1030" t="n">
        <v>1.39</v>
      </c>
      <c r="X1030" t="n">
        <v>66.04000000000001</v>
      </c>
      <c r="Y1030">
        <f>VLOOKUP(D1030,$AB$2:$AC$7,2,FALSE)</f>
        <v/>
      </c>
      <c r="Z1030">
        <f>IF(A1030&lt;Y1030,"Yes","No")</f>
        <v/>
      </c>
    </row>
    <row r="1031">
      <c r="A1031" t="n">
        <v>2024</v>
      </c>
      <c r="B1031" t="inlineStr">
        <is>
          <t>Q1</t>
        </is>
      </c>
      <c r="C1031" t="inlineStr">
        <is>
          <t>North America</t>
        </is>
      </c>
      <c r="D1031" t="inlineStr">
        <is>
          <t>Cybertruck</t>
        </is>
      </c>
      <c r="E1031" t="n">
        <v>536</v>
      </c>
      <c r="F1031" t="n">
        <v>83784.06</v>
      </c>
      <c r="G1031" t="n">
        <v>9</v>
      </c>
      <c r="H1031" t="inlineStr">
        <is>
          <t>Long Range</t>
        </is>
      </c>
      <c r="I1031" t="inlineStr">
        <is>
          <t>AWD</t>
        </is>
      </c>
      <c r="J1031" t="inlineStr">
        <is>
          <t>Blue</t>
        </is>
      </c>
      <c r="K1031" t="n">
        <v>555</v>
      </c>
      <c r="L1031" t="n">
        <v>38</v>
      </c>
      <c r="M1031" t="n">
        <v>13.09</v>
      </c>
      <c r="N1031" t="n">
        <v>716.84</v>
      </c>
      <c r="O1031" t="n">
        <v>4.03</v>
      </c>
      <c r="P1031" t="n">
        <v>6</v>
      </c>
      <c r="Q1031" t="n">
        <v>3</v>
      </c>
      <c r="R1031" t="n">
        <v>2024.7</v>
      </c>
      <c r="S1031" t="b">
        <v>0</v>
      </c>
      <c r="T1031" t="n">
        <v>2872803</v>
      </c>
      <c r="U1031" t="n">
        <v>9</v>
      </c>
      <c r="V1031" t="n">
        <v>0.0699</v>
      </c>
      <c r="W1031" t="n">
        <v>1.55</v>
      </c>
      <c r="X1031" t="n">
        <v>71.95999999999999</v>
      </c>
      <c r="Y1031">
        <f>VLOOKUP(D1031,$AB$2:$AC$7,2,FALSE)</f>
        <v/>
      </c>
      <c r="Z1031">
        <f>IF(A1031&lt;Y1031,"Yes","No")</f>
        <v/>
      </c>
    </row>
    <row r="1032">
      <c r="A1032" t="n">
        <v>2017</v>
      </c>
      <c r="B1032" t="inlineStr">
        <is>
          <t>Q3</t>
        </is>
      </c>
      <c r="C1032" t="inlineStr">
        <is>
          <t>Australia</t>
        </is>
      </c>
      <c r="D1032" t="inlineStr">
        <is>
          <t>Model X</t>
        </is>
      </c>
      <c r="E1032" t="n">
        <v>868</v>
      </c>
      <c r="F1032" t="n">
        <v>119251.83</v>
      </c>
      <c r="G1032" t="n">
        <v>11</v>
      </c>
      <c r="H1032" t="inlineStr">
        <is>
          <t>Long Range</t>
        </is>
      </c>
      <c r="I1032" t="inlineStr">
        <is>
          <t>RWD</t>
        </is>
      </c>
      <c r="J1032" t="inlineStr">
        <is>
          <t>Blue</t>
        </is>
      </c>
      <c r="K1032" t="n">
        <v>490</v>
      </c>
      <c r="L1032" t="n">
        <v>30</v>
      </c>
      <c r="M1032" t="n">
        <v>13.08</v>
      </c>
      <c r="N1032" t="n">
        <v>1104.82</v>
      </c>
      <c r="O1032" t="n">
        <v>4.17</v>
      </c>
      <c r="P1032" t="n">
        <v>8</v>
      </c>
      <c r="Q1032" t="n">
        <v>1</v>
      </c>
      <c r="R1032" t="n">
        <v>2022.11</v>
      </c>
      <c r="S1032" t="b">
        <v>1</v>
      </c>
      <c r="T1032" t="n">
        <v>3098200</v>
      </c>
      <c r="U1032" t="n">
        <v>3</v>
      </c>
      <c r="V1032" t="n">
        <v>0.0473</v>
      </c>
      <c r="W1032" t="n">
        <v>1.21</v>
      </c>
      <c r="X1032" t="n">
        <v>69.75</v>
      </c>
      <c r="Y1032">
        <f>VLOOKUP(D1032,$AB$2:$AC$7,2,FALSE)</f>
        <v/>
      </c>
      <c r="Z1032">
        <f>IF(A1032&lt;Y1032,"Yes","No")</f>
        <v/>
      </c>
    </row>
    <row r="1033">
      <c r="A1033" t="n">
        <v>2014</v>
      </c>
      <c r="B1033" t="inlineStr">
        <is>
          <t>Q2</t>
        </is>
      </c>
      <c r="C1033" t="inlineStr">
        <is>
          <t>Asia</t>
        </is>
      </c>
      <c r="D1033" t="inlineStr">
        <is>
          <t>Model X</t>
        </is>
      </c>
      <c r="E1033" t="n">
        <v>2180</v>
      </c>
      <c r="F1033" t="n">
        <v>40840.44</v>
      </c>
      <c r="G1033" t="n">
        <v>32</v>
      </c>
      <c r="H1033" t="inlineStr">
        <is>
          <t>Performance</t>
        </is>
      </c>
      <c r="I1033" t="inlineStr">
        <is>
          <t>RWD</t>
        </is>
      </c>
      <c r="J1033" t="inlineStr">
        <is>
          <t>White</t>
        </is>
      </c>
      <c r="K1033" t="n">
        <v>352</v>
      </c>
      <c r="L1033" t="n">
        <v>39</v>
      </c>
      <c r="M1033" t="n">
        <v>22.62</v>
      </c>
      <c r="N1033" t="n">
        <v>4722.7</v>
      </c>
      <c r="O1033" t="n">
        <v>3.8</v>
      </c>
      <c r="P1033" t="n">
        <v>8</v>
      </c>
      <c r="Q1033" t="n">
        <v>3</v>
      </c>
      <c r="R1033" t="n">
        <v>2020.9</v>
      </c>
      <c r="S1033" t="b">
        <v>1</v>
      </c>
      <c r="T1033" t="n">
        <v>2769904</v>
      </c>
      <c r="U1033" t="n">
        <v>9</v>
      </c>
      <c r="V1033" t="n">
        <v>0.0881</v>
      </c>
      <c r="W1033" t="n">
        <v>1.96</v>
      </c>
      <c r="X1033" t="n">
        <v>73.58</v>
      </c>
      <c r="Y1033">
        <f>VLOOKUP(D1033,$AB$2:$AC$7,2,FALSE)</f>
        <v/>
      </c>
      <c r="Z1033">
        <f>IF(A1033&lt;Y1033,"Yes","No")</f>
        <v/>
      </c>
    </row>
    <row r="1034">
      <c r="A1034" t="n">
        <v>2015</v>
      </c>
      <c r="B1034" t="inlineStr">
        <is>
          <t>Q4</t>
        </is>
      </c>
      <c r="C1034" t="inlineStr">
        <is>
          <t>Europe</t>
        </is>
      </c>
      <c r="D1034" t="inlineStr">
        <is>
          <t>Model S</t>
        </is>
      </c>
      <c r="E1034" t="n">
        <v>2493</v>
      </c>
      <c r="F1034" t="n">
        <v>103840.68</v>
      </c>
      <c r="G1034" t="n">
        <v>17</v>
      </c>
      <c r="H1034" t="inlineStr">
        <is>
          <t>Standard</t>
        </is>
      </c>
      <c r="I1034" t="inlineStr">
        <is>
          <t>AWD</t>
        </is>
      </c>
      <c r="J1034" t="inlineStr">
        <is>
          <t>Silver</t>
        </is>
      </c>
      <c r="K1034" t="n">
        <v>679</v>
      </c>
      <c r="L1034" t="n">
        <v>56</v>
      </c>
      <c r="M1034" t="n">
        <v>13.73</v>
      </c>
      <c r="N1034" t="n">
        <v>1471.98</v>
      </c>
      <c r="O1034" t="n">
        <v>4.54</v>
      </c>
      <c r="P1034" t="n">
        <v>4</v>
      </c>
      <c r="Q1034" t="n">
        <v>1</v>
      </c>
      <c r="R1034" t="n">
        <v>2020.1</v>
      </c>
      <c r="S1034" t="b">
        <v>0</v>
      </c>
      <c r="T1034" t="n">
        <v>680182</v>
      </c>
      <c r="U1034" t="n">
        <v>5</v>
      </c>
      <c r="V1034" t="n">
        <v>0.0342</v>
      </c>
      <c r="W1034" t="n">
        <v>1.66</v>
      </c>
      <c r="X1034" t="n">
        <v>77.52</v>
      </c>
      <c r="Y1034">
        <f>VLOOKUP(D1034,$AB$2:$AC$7,2,FALSE)</f>
        <v/>
      </c>
      <c r="Z1034">
        <f>IF(A1034&lt;Y1034,"Yes","No")</f>
        <v/>
      </c>
    </row>
    <row r="1035">
      <c r="A1035" t="n">
        <v>2018</v>
      </c>
      <c r="B1035" t="inlineStr">
        <is>
          <t>Q1</t>
        </is>
      </c>
      <c r="C1035" t="inlineStr">
        <is>
          <t>South America</t>
        </is>
      </c>
      <c r="D1035" t="inlineStr">
        <is>
          <t>Model Y</t>
        </is>
      </c>
      <c r="E1035" t="n">
        <v>4935</v>
      </c>
      <c r="F1035" t="n">
        <v>76207.23</v>
      </c>
      <c r="G1035" t="n">
        <v>54</v>
      </c>
      <c r="H1035" t="inlineStr">
        <is>
          <t>Performance</t>
        </is>
      </c>
      <c r="I1035" t="inlineStr">
        <is>
          <t>RWD</t>
        </is>
      </c>
      <c r="J1035" t="inlineStr">
        <is>
          <t>Black</t>
        </is>
      </c>
      <c r="K1035" t="n">
        <v>489</v>
      </c>
      <c r="L1035" t="n">
        <v>51</v>
      </c>
      <c r="M1035" t="n">
        <v>24.88</v>
      </c>
      <c r="N1035" t="n">
        <v>7947.71</v>
      </c>
      <c r="O1035" t="n">
        <v>3.66</v>
      </c>
      <c r="P1035" t="n">
        <v>6</v>
      </c>
      <c r="Q1035" t="n">
        <v>3</v>
      </c>
      <c r="R1035" t="n">
        <v>2024.5</v>
      </c>
      <c r="S1035" t="b">
        <v>1</v>
      </c>
      <c r="T1035" t="n">
        <v>2606718</v>
      </c>
      <c r="U1035" t="n">
        <v>7</v>
      </c>
      <c r="V1035" t="n">
        <v>0.09229999999999999</v>
      </c>
      <c r="W1035" t="n">
        <v>1.43</v>
      </c>
      <c r="X1035" t="n">
        <v>70.62</v>
      </c>
      <c r="Y1035">
        <f>VLOOKUP(D1035,$AB$2:$AC$7,2,FALSE)</f>
        <v/>
      </c>
      <c r="Z1035">
        <f>IF(A1035&lt;Y1035,"Yes","No")</f>
        <v/>
      </c>
    </row>
    <row r="1036">
      <c r="A1036" t="n">
        <v>2024</v>
      </c>
      <c r="B1036" t="inlineStr">
        <is>
          <t>Q4</t>
        </is>
      </c>
      <c r="C1036" t="inlineStr">
        <is>
          <t>Australia</t>
        </is>
      </c>
      <c r="D1036" t="inlineStr">
        <is>
          <t>Model X</t>
        </is>
      </c>
      <c r="E1036" t="n">
        <v>4223</v>
      </c>
      <c r="F1036" t="n">
        <v>117763.03</v>
      </c>
      <c r="G1036" t="n">
        <v>0</v>
      </c>
      <c r="H1036" t="inlineStr">
        <is>
          <t>Performance</t>
        </is>
      </c>
      <c r="I1036" t="inlineStr">
        <is>
          <t>RWD</t>
        </is>
      </c>
      <c r="J1036" t="inlineStr">
        <is>
          <t>Blue</t>
        </is>
      </c>
      <c r="K1036" t="n">
        <v>677</v>
      </c>
      <c r="L1036" t="n">
        <v>70</v>
      </c>
      <c r="M1036" t="n">
        <v>24.44</v>
      </c>
      <c r="N1036" t="n">
        <v>6951.37</v>
      </c>
      <c r="O1036" t="n">
        <v>4.52</v>
      </c>
      <c r="P1036" t="n">
        <v>6</v>
      </c>
      <c r="Q1036" t="n">
        <v>0</v>
      </c>
      <c r="R1036" t="n">
        <v>2021.11</v>
      </c>
      <c r="S1036" t="b">
        <v>0</v>
      </c>
      <c r="T1036" t="n">
        <v>109141</v>
      </c>
      <c r="U1036" t="n">
        <v>4</v>
      </c>
      <c r="V1036" t="n">
        <v>0.0746</v>
      </c>
      <c r="W1036" t="n">
        <v>1</v>
      </c>
      <c r="X1036" t="n">
        <v>64.41</v>
      </c>
      <c r="Y1036">
        <f>VLOOKUP(D1036,$AB$2:$AC$7,2,FALSE)</f>
        <v/>
      </c>
      <c r="Z1036">
        <f>IF(A1036&lt;Y1036,"Yes","No")</f>
        <v/>
      </c>
    </row>
    <row r="1037">
      <c r="A1037" t="n">
        <v>2024</v>
      </c>
      <c r="B1037" t="inlineStr">
        <is>
          <t>Q1</t>
        </is>
      </c>
      <c r="C1037" t="inlineStr">
        <is>
          <t>Europe</t>
        </is>
      </c>
      <c r="D1037" t="inlineStr">
        <is>
          <t>Model S</t>
        </is>
      </c>
      <c r="E1037" t="n">
        <v>2948</v>
      </c>
      <c r="F1037" t="n">
        <v>112464.54</v>
      </c>
      <c r="G1037" t="n">
        <v>38</v>
      </c>
      <c r="H1037" t="inlineStr">
        <is>
          <t>Standard</t>
        </is>
      </c>
      <c r="I1037" t="inlineStr">
        <is>
          <t>RWD</t>
        </is>
      </c>
      <c r="J1037" t="inlineStr">
        <is>
          <t>Silver</t>
        </is>
      </c>
      <c r="K1037" t="n">
        <v>493</v>
      </c>
      <c r="L1037" t="n">
        <v>69</v>
      </c>
      <c r="M1037" t="n">
        <v>23.1</v>
      </c>
      <c r="N1037" t="n">
        <v>1577.55</v>
      </c>
      <c r="O1037" t="n">
        <v>3.79</v>
      </c>
      <c r="P1037" t="n">
        <v>6</v>
      </c>
      <c r="Q1037" t="n">
        <v>1</v>
      </c>
      <c r="R1037" t="n">
        <v>2020.4</v>
      </c>
      <c r="S1037" t="b">
        <v>1</v>
      </c>
      <c r="T1037" t="n">
        <v>4827159</v>
      </c>
      <c r="U1037" t="n">
        <v>9</v>
      </c>
      <c r="V1037" t="n">
        <v>0.0698</v>
      </c>
      <c r="W1037" t="n">
        <v>1.44</v>
      </c>
      <c r="X1037" t="n">
        <v>75.98</v>
      </c>
      <c r="Y1037">
        <f>VLOOKUP(D1037,$AB$2:$AC$7,2,FALSE)</f>
        <v/>
      </c>
      <c r="Z1037">
        <f>IF(A1037&lt;Y1037,"Yes","No")</f>
        <v/>
      </c>
    </row>
    <row r="1038">
      <c r="A1038" t="n">
        <v>2019</v>
      </c>
      <c r="B1038" t="inlineStr">
        <is>
          <t>Q3</t>
        </is>
      </c>
      <c r="C1038" t="inlineStr">
        <is>
          <t>South America</t>
        </is>
      </c>
      <c r="D1038" t="inlineStr">
        <is>
          <t>Model X</t>
        </is>
      </c>
      <c r="E1038" t="n">
        <v>981</v>
      </c>
      <c r="F1038" t="n">
        <v>90786.00999999999</v>
      </c>
      <c r="G1038" t="n">
        <v>4</v>
      </c>
      <c r="H1038" t="inlineStr">
        <is>
          <t>Performance</t>
        </is>
      </c>
      <c r="I1038" t="inlineStr">
        <is>
          <t>RWD</t>
        </is>
      </c>
      <c r="J1038" t="inlineStr">
        <is>
          <t>Green</t>
        </is>
      </c>
      <c r="K1038" t="n">
        <v>486</v>
      </c>
      <c r="L1038" t="n">
        <v>88</v>
      </c>
      <c r="M1038" t="n">
        <v>21.24</v>
      </c>
      <c r="N1038" t="n">
        <v>1906.35</v>
      </c>
      <c r="O1038" t="n">
        <v>3.8</v>
      </c>
      <c r="P1038" t="n">
        <v>5</v>
      </c>
      <c r="Q1038" t="n">
        <v>2</v>
      </c>
      <c r="R1038" t="n">
        <v>2024.7</v>
      </c>
      <c r="S1038" t="b">
        <v>0</v>
      </c>
      <c r="T1038" t="n">
        <v>989370</v>
      </c>
      <c r="U1038" t="n">
        <v>11</v>
      </c>
      <c r="V1038" t="n">
        <v>0.0478</v>
      </c>
      <c r="W1038" t="n">
        <v>0.99</v>
      </c>
      <c r="X1038" t="n">
        <v>82.98999999999999</v>
      </c>
      <c r="Y1038">
        <f>VLOOKUP(D1038,$AB$2:$AC$7,2,FALSE)</f>
        <v/>
      </c>
      <c r="Z1038">
        <f>IF(A1038&lt;Y1038,"Yes","No")</f>
        <v/>
      </c>
    </row>
    <row r="1039">
      <c r="A1039" t="n">
        <v>2014</v>
      </c>
      <c r="B1039" t="inlineStr">
        <is>
          <t>Q4</t>
        </is>
      </c>
      <c r="C1039" t="inlineStr">
        <is>
          <t>North America</t>
        </is>
      </c>
      <c r="D1039" t="inlineStr">
        <is>
          <t>Semi</t>
        </is>
      </c>
      <c r="E1039" t="n">
        <v>3003</v>
      </c>
      <c r="F1039" t="n">
        <v>96418.58</v>
      </c>
      <c r="G1039" t="n">
        <v>24</v>
      </c>
      <c r="H1039" t="inlineStr">
        <is>
          <t>Performance</t>
        </is>
      </c>
      <c r="I1039" t="inlineStr">
        <is>
          <t>RWD</t>
        </is>
      </c>
      <c r="J1039" t="inlineStr">
        <is>
          <t>Black</t>
        </is>
      </c>
      <c r="K1039" t="n">
        <v>585</v>
      </c>
      <c r="L1039" t="n">
        <v>56</v>
      </c>
      <c r="M1039" t="n">
        <v>23.06</v>
      </c>
      <c r="N1039" t="n">
        <v>3258.47</v>
      </c>
      <c r="O1039" t="n">
        <v>4.27</v>
      </c>
      <c r="P1039" t="n">
        <v>4</v>
      </c>
      <c r="Q1039" t="n">
        <v>3</v>
      </c>
      <c r="R1039" t="n">
        <v>2021.12</v>
      </c>
      <c r="S1039" t="b">
        <v>1</v>
      </c>
      <c r="T1039" t="n">
        <v>3320798</v>
      </c>
      <c r="U1039" t="n">
        <v>8</v>
      </c>
      <c r="V1039" t="n">
        <v>0.0264</v>
      </c>
      <c r="W1039" t="n">
        <v>1.68</v>
      </c>
      <c r="X1039" t="n">
        <v>79.72</v>
      </c>
      <c r="Y1039">
        <f>VLOOKUP(D1039,$AB$2:$AC$7,2,FALSE)</f>
        <v/>
      </c>
      <c r="Z1039">
        <f>IF(A1039&lt;Y1039,"Yes","No")</f>
        <v/>
      </c>
    </row>
    <row r="1040">
      <c r="A1040" t="n">
        <v>2022</v>
      </c>
      <c r="B1040" t="inlineStr">
        <is>
          <t>Q1</t>
        </is>
      </c>
      <c r="C1040" t="inlineStr">
        <is>
          <t>Asia</t>
        </is>
      </c>
      <c r="D1040" t="inlineStr">
        <is>
          <t>Model S</t>
        </is>
      </c>
      <c r="E1040" t="n">
        <v>4388</v>
      </c>
      <c r="F1040" t="n">
        <v>113482.45</v>
      </c>
      <c r="G1040" t="n">
        <v>51</v>
      </c>
      <c r="H1040" t="inlineStr">
        <is>
          <t>Standard</t>
        </is>
      </c>
      <c r="I1040" t="inlineStr">
        <is>
          <t>RWD</t>
        </is>
      </c>
      <c r="J1040" t="inlineStr">
        <is>
          <t>Silver</t>
        </is>
      </c>
      <c r="K1040" t="n">
        <v>606</v>
      </c>
      <c r="L1040" t="n">
        <v>39</v>
      </c>
      <c r="M1040" t="n">
        <v>16.54</v>
      </c>
      <c r="N1040" t="n">
        <v>3481.28</v>
      </c>
      <c r="O1040" t="n">
        <v>4.07</v>
      </c>
      <c r="P1040" t="n">
        <v>6</v>
      </c>
      <c r="Q1040" t="n">
        <v>2</v>
      </c>
      <c r="R1040" t="n">
        <v>2024.5</v>
      </c>
      <c r="S1040" t="b">
        <v>0</v>
      </c>
      <c r="T1040" t="n">
        <v>4703327</v>
      </c>
      <c r="U1040" t="n">
        <v>11</v>
      </c>
      <c r="V1040" t="n">
        <v>0.0852</v>
      </c>
      <c r="W1040" t="n">
        <v>2.37</v>
      </c>
      <c r="X1040" t="n">
        <v>87.84</v>
      </c>
      <c r="Y1040">
        <f>VLOOKUP(D1040,$AB$2:$AC$7,2,FALSE)</f>
        <v/>
      </c>
      <c r="Z1040">
        <f>IF(A1040&lt;Y1040,"Yes","No")</f>
        <v/>
      </c>
    </row>
    <row r="1041">
      <c r="A1041" t="n">
        <v>2015</v>
      </c>
      <c r="B1041" t="inlineStr">
        <is>
          <t>Q2</t>
        </is>
      </c>
      <c r="C1041" t="inlineStr">
        <is>
          <t>Australia</t>
        </is>
      </c>
      <c r="D1041" t="inlineStr">
        <is>
          <t>Semi</t>
        </is>
      </c>
      <c r="E1041" t="n">
        <v>1233</v>
      </c>
      <c r="F1041" t="n">
        <v>53705.41</v>
      </c>
      <c r="G1041" t="n">
        <v>30</v>
      </c>
      <c r="H1041" t="inlineStr">
        <is>
          <t>Standard</t>
        </is>
      </c>
      <c r="I1041" t="inlineStr">
        <is>
          <t>RWD</t>
        </is>
      </c>
      <c r="J1041" t="inlineStr">
        <is>
          <t>Silver</t>
        </is>
      </c>
      <c r="K1041" t="n">
        <v>607</v>
      </c>
      <c r="L1041" t="n">
        <v>90</v>
      </c>
      <c r="M1041" t="n">
        <v>19.95</v>
      </c>
      <c r="N1041" t="n">
        <v>3034.9</v>
      </c>
      <c r="O1041" t="n">
        <v>4.83</v>
      </c>
      <c r="P1041" t="n">
        <v>5</v>
      </c>
      <c r="Q1041" t="n">
        <v>3</v>
      </c>
      <c r="R1041" t="n">
        <v>2024.1</v>
      </c>
      <c r="S1041" t="b">
        <v>1</v>
      </c>
      <c r="T1041" t="n">
        <v>3693791</v>
      </c>
      <c r="U1041" t="n">
        <v>7</v>
      </c>
      <c r="V1041" t="n">
        <v>0.0842</v>
      </c>
      <c r="W1041" t="n">
        <v>2.25</v>
      </c>
      <c r="X1041" t="n">
        <v>81.43000000000001</v>
      </c>
      <c r="Y1041">
        <f>VLOOKUP(D1041,$AB$2:$AC$7,2,FALSE)</f>
        <v/>
      </c>
      <c r="Z1041">
        <f>IF(A1041&lt;Y1041,"Yes","No")</f>
        <v/>
      </c>
    </row>
    <row r="1042">
      <c r="A1042" t="n">
        <v>2022</v>
      </c>
      <c r="B1042" t="inlineStr">
        <is>
          <t>Q4</t>
        </is>
      </c>
      <c r="C1042" t="inlineStr">
        <is>
          <t>North America</t>
        </is>
      </c>
      <c r="D1042" t="inlineStr">
        <is>
          <t>Semi</t>
        </is>
      </c>
      <c r="E1042" t="n">
        <v>4573</v>
      </c>
      <c r="F1042" t="n">
        <v>58848.28</v>
      </c>
      <c r="G1042" t="n">
        <v>29</v>
      </c>
      <c r="H1042" t="inlineStr">
        <is>
          <t>Long Range</t>
        </is>
      </c>
      <c r="I1042" t="inlineStr">
        <is>
          <t>RWD</t>
        </is>
      </c>
      <c r="J1042" t="inlineStr">
        <is>
          <t>Green</t>
        </is>
      </c>
      <c r="K1042" t="n">
        <v>482</v>
      </c>
      <c r="L1042" t="n">
        <v>34</v>
      </c>
      <c r="M1042" t="n">
        <v>20.53</v>
      </c>
      <c r="N1042" t="n">
        <v>6358.03</v>
      </c>
      <c r="O1042" t="n">
        <v>4.24</v>
      </c>
      <c r="P1042" t="n">
        <v>6</v>
      </c>
      <c r="Q1042" t="n">
        <v>1</v>
      </c>
      <c r="R1042" t="n">
        <v>2024.9</v>
      </c>
      <c r="S1042" t="b">
        <v>1</v>
      </c>
      <c r="T1042" t="n">
        <v>4668822</v>
      </c>
      <c r="U1042" t="n">
        <v>10</v>
      </c>
      <c r="V1042" t="n">
        <v>0.06619999999999999</v>
      </c>
      <c r="W1042" t="n">
        <v>0.58</v>
      </c>
      <c r="X1042" t="n">
        <v>73.56999999999999</v>
      </c>
      <c r="Y1042">
        <f>VLOOKUP(D1042,$AB$2:$AC$7,2,FALSE)</f>
        <v/>
      </c>
      <c r="Z1042">
        <f>IF(A1042&lt;Y1042,"Yes","No")</f>
        <v/>
      </c>
    </row>
    <row r="1043">
      <c r="A1043" t="n">
        <v>2015</v>
      </c>
      <c r="B1043" t="inlineStr">
        <is>
          <t>Q4</t>
        </is>
      </c>
      <c r="C1043" t="inlineStr">
        <is>
          <t>South America</t>
        </is>
      </c>
      <c r="D1043" t="inlineStr">
        <is>
          <t>Model S</t>
        </is>
      </c>
      <c r="E1043" t="n">
        <v>2939</v>
      </c>
      <c r="F1043" t="n">
        <v>84570.77</v>
      </c>
      <c r="G1043" t="n">
        <v>20</v>
      </c>
      <c r="H1043" t="inlineStr">
        <is>
          <t>Long Range</t>
        </is>
      </c>
      <c r="I1043" t="inlineStr">
        <is>
          <t>AWD</t>
        </is>
      </c>
      <c r="J1043" t="inlineStr">
        <is>
          <t>Silver</t>
        </is>
      </c>
      <c r="K1043" t="n">
        <v>647</v>
      </c>
      <c r="L1043" t="n">
        <v>49</v>
      </c>
      <c r="M1043" t="n">
        <v>17.44</v>
      </c>
      <c r="N1043" t="n">
        <v>7274.41</v>
      </c>
      <c r="O1043" t="n">
        <v>4.64</v>
      </c>
      <c r="P1043" t="n">
        <v>8</v>
      </c>
      <c r="Q1043" t="n">
        <v>1</v>
      </c>
      <c r="R1043" t="n">
        <v>2023.9</v>
      </c>
      <c r="S1043" t="b">
        <v>1</v>
      </c>
      <c r="T1043" t="n">
        <v>4340675</v>
      </c>
      <c r="U1043" t="n">
        <v>6</v>
      </c>
      <c r="V1043" t="n">
        <v>0.0595</v>
      </c>
      <c r="W1043" t="n">
        <v>1.39</v>
      </c>
      <c r="X1043" t="n">
        <v>66.16</v>
      </c>
      <c r="Y1043">
        <f>VLOOKUP(D1043,$AB$2:$AC$7,2,FALSE)</f>
        <v/>
      </c>
      <c r="Z1043">
        <f>IF(A1043&lt;Y1043,"Yes","No")</f>
        <v/>
      </c>
    </row>
    <row r="1044">
      <c r="A1044" t="n">
        <v>2012</v>
      </c>
      <c r="B1044" t="inlineStr">
        <is>
          <t>Q2</t>
        </is>
      </c>
      <c r="C1044" t="inlineStr">
        <is>
          <t>North America</t>
        </is>
      </c>
      <c r="D1044" t="inlineStr">
        <is>
          <t>Semi</t>
        </is>
      </c>
      <c r="E1044" t="n">
        <v>3973</v>
      </c>
      <c r="F1044" t="n">
        <v>68880.46000000001</v>
      </c>
      <c r="G1044" t="n">
        <v>9</v>
      </c>
      <c r="H1044" t="inlineStr">
        <is>
          <t>Standard</t>
        </is>
      </c>
      <c r="I1044" t="inlineStr">
        <is>
          <t>RWD</t>
        </is>
      </c>
      <c r="J1044" t="inlineStr">
        <is>
          <t>Green</t>
        </is>
      </c>
      <c r="K1044" t="n">
        <v>405</v>
      </c>
      <c r="L1044" t="n">
        <v>41</v>
      </c>
      <c r="M1044" t="n">
        <v>14.37</v>
      </c>
      <c r="N1044" t="n">
        <v>7005.17</v>
      </c>
      <c r="O1044" t="n">
        <v>4.5</v>
      </c>
      <c r="P1044" t="n">
        <v>4</v>
      </c>
      <c r="Q1044" t="n">
        <v>2</v>
      </c>
      <c r="R1044" t="n">
        <v>2020.9</v>
      </c>
      <c r="S1044" t="b">
        <v>1</v>
      </c>
      <c r="T1044" t="n">
        <v>1397602</v>
      </c>
      <c r="U1044" t="n">
        <v>11</v>
      </c>
      <c r="V1044" t="n">
        <v>0.0682</v>
      </c>
      <c r="W1044" t="n">
        <v>1.58</v>
      </c>
      <c r="X1044" t="n">
        <v>79.31</v>
      </c>
      <c r="Y1044">
        <f>VLOOKUP(D1044,$AB$2:$AC$7,2,FALSE)</f>
        <v/>
      </c>
      <c r="Z1044">
        <f>IF(A1044&lt;Y1044,"Yes","No")</f>
        <v/>
      </c>
    </row>
    <row r="1045">
      <c r="A1045" t="n">
        <v>2022</v>
      </c>
      <c r="B1045" t="inlineStr">
        <is>
          <t>Q1</t>
        </is>
      </c>
      <c r="C1045" t="inlineStr">
        <is>
          <t>South America</t>
        </is>
      </c>
      <c r="D1045" t="inlineStr">
        <is>
          <t>Model 3</t>
        </is>
      </c>
      <c r="E1045" t="n">
        <v>267</v>
      </c>
      <c r="F1045" t="n">
        <v>90152.75999999999</v>
      </c>
      <c r="G1045" t="n">
        <v>31</v>
      </c>
      <c r="H1045" t="inlineStr">
        <is>
          <t>Standard</t>
        </is>
      </c>
      <c r="I1045" t="inlineStr">
        <is>
          <t>RWD</t>
        </is>
      </c>
      <c r="J1045" t="inlineStr">
        <is>
          <t>Blue</t>
        </is>
      </c>
      <c r="K1045" t="n">
        <v>655</v>
      </c>
      <c r="L1045" t="n">
        <v>32</v>
      </c>
      <c r="M1045" t="n">
        <v>23.48</v>
      </c>
      <c r="N1045" t="n">
        <v>158.64</v>
      </c>
      <c r="O1045" t="n">
        <v>4.38</v>
      </c>
      <c r="P1045" t="n">
        <v>5</v>
      </c>
      <c r="Q1045" t="n">
        <v>3</v>
      </c>
      <c r="R1045" t="n">
        <v>2021.1</v>
      </c>
      <c r="S1045" t="b">
        <v>1</v>
      </c>
      <c r="T1045" t="n">
        <v>3351610</v>
      </c>
      <c r="U1045" t="n">
        <v>10</v>
      </c>
      <c r="V1045" t="n">
        <v>0.0646</v>
      </c>
      <c r="W1045" t="n">
        <v>0.96</v>
      </c>
      <c r="X1045" t="n">
        <v>68.25</v>
      </c>
      <c r="Y1045">
        <f>VLOOKUP(D1045,$AB$2:$AC$7,2,FALSE)</f>
        <v/>
      </c>
      <c r="Z1045">
        <f>IF(A1045&lt;Y1045,"Yes","No")</f>
        <v/>
      </c>
    </row>
    <row r="1046">
      <c r="A1046" t="n">
        <v>2023</v>
      </c>
      <c r="B1046" t="inlineStr">
        <is>
          <t>Q4</t>
        </is>
      </c>
      <c r="C1046" t="inlineStr">
        <is>
          <t>Asia</t>
        </is>
      </c>
      <c r="D1046" t="inlineStr">
        <is>
          <t>Cybertruck</t>
        </is>
      </c>
      <c r="E1046" t="n">
        <v>3770</v>
      </c>
      <c r="F1046" t="n">
        <v>113312.22</v>
      </c>
      <c r="G1046" t="n">
        <v>15</v>
      </c>
      <c r="H1046" t="inlineStr">
        <is>
          <t>Performance</t>
        </is>
      </c>
      <c r="I1046" t="inlineStr">
        <is>
          <t>RWD</t>
        </is>
      </c>
      <c r="J1046" t="inlineStr">
        <is>
          <t>Red</t>
        </is>
      </c>
      <c r="K1046" t="n">
        <v>565</v>
      </c>
      <c r="L1046" t="n">
        <v>61</v>
      </c>
      <c r="M1046" t="n">
        <v>16.93</v>
      </c>
      <c r="N1046" t="n">
        <v>5738.18</v>
      </c>
      <c r="O1046" t="n">
        <v>4.12</v>
      </c>
      <c r="P1046" t="n">
        <v>5</v>
      </c>
      <c r="Q1046" t="n">
        <v>1</v>
      </c>
      <c r="R1046" t="n">
        <v>2022.6</v>
      </c>
      <c r="S1046" t="b">
        <v>0</v>
      </c>
      <c r="T1046" t="n">
        <v>211314</v>
      </c>
      <c r="U1046" t="n">
        <v>9</v>
      </c>
      <c r="V1046" t="n">
        <v>0.0498</v>
      </c>
      <c r="W1046" t="n">
        <v>1.98</v>
      </c>
      <c r="X1046" t="n">
        <v>82.98</v>
      </c>
      <c r="Y1046">
        <f>VLOOKUP(D1046,$AB$2:$AC$7,2,FALSE)</f>
        <v/>
      </c>
      <c r="Z1046">
        <f>IF(A1046&lt;Y1046,"Yes","No")</f>
        <v/>
      </c>
    </row>
    <row r="1047">
      <c r="A1047" t="n">
        <v>2024</v>
      </c>
      <c r="B1047" t="inlineStr">
        <is>
          <t>Q2</t>
        </is>
      </c>
      <c r="C1047" t="inlineStr">
        <is>
          <t>North America</t>
        </is>
      </c>
      <c r="D1047" t="inlineStr">
        <is>
          <t>Model X</t>
        </is>
      </c>
      <c r="E1047" t="n">
        <v>2747</v>
      </c>
      <c r="F1047" t="n">
        <v>63922.41</v>
      </c>
      <c r="G1047" t="n">
        <v>2</v>
      </c>
      <c r="H1047" t="inlineStr">
        <is>
          <t>Performance</t>
        </is>
      </c>
      <c r="I1047" t="inlineStr">
        <is>
          <t>RWD</t>
        </is>
      </c>
      <c r="J1047" t="inlineStr">
        <is>
          <t>Blue</t>
        </is>
      </c>
      <c r="K1047" t="n">
        <v>696</v>
      </c>
      <c r="L1047" t="n">
        <v>87</v>
      </c>
      <c r="M1047" t="n">
        <v>13.39</v>
      </c>
      <c r="N1047" t="n">
        <v>2071.12</v>
      </c>
      <c r="O1047" t="n">
        <v>3.64</v>
      </c>
      <c r="P1047" t="n">
        <v>8</v>
      </c>
      <c r="Q1047" t="n">
        <v>1</v>
      </c>
      <c r="R1047" t="n">
        <v>2024.5</v>
      </c>
      <c r="S1047" t="b">
        <v>0</v>
      </c>
      <c r="T1047" t="n">
        <v>2309622</v>
      </c>
      <c r="U1047" t="n">
        <v>2</v>
      </c>
      <c r="V1047" t="n">
        <v>0.038</v>
      </c>
      <c r="W1047" t="n">
        <v>2.46</v>
      </c>
      <c r="X1047" t="n">
        <v>76.12</v>
      </c>
      <c r="Y1047">
        <f>VLOOKUP(D1047,$AB$2:$AC$7,2,FALSE)</f>
        <v/>
      </c>
      <c r="Z1047">
        <f>IF(A1047&lt;Y1047,"Yes","No")</f>
        <v/>
      </c>
    </row>
    <row r="1048">
      <c r="A1048" t="n">
        <v>2013</v>
      </c>
      <c r="B1048" t="inlineStr">
        <is>
          <t>Q1</t>
        </is>
      </c>
      <c r="C1048" t="inlineStr">
        <is>
          <t>Asia</t>
        </is>
      </c>
      <c r="D1048" t="inlineStr">
        <is>
          <t>Model S</t>
        </is>
      </c>
      <c r="E1048" t="n">
        <v>2577</v>
      </c>
      <c r="F1048" t="n">
        <v>110459.93</v>
      </c>
      <c r="G1048" t="n">
        <v>60</v>
      </c>
      <c r="H1048" t="inlineStr">
        <is>
          <t>Standard</t>
        </is>
      </c>
      <c r="I1048" t="inlineStr">
        <is>
          <t>AWD</t>
        </is>
      </c>
      <c r="J1048" t="inlineStr">
        <is>
          <t>Black</t>
        </is>
      </c>
      <c r="K1048" t="n">
        <v>466</v>
      </c>
      <c r="L1048" t="n">
        <v>71</v>
      </c>
      <c r="M1048" t="n">
        <v>22.52</v>
      </c>
      <c r="N1048" t="n">
        <v>5673.69</v>
      </c>
      <c r="O1048" t="n">
        <v>3.8</v>
      </c>
      <c r="P1048" t="n">
        <v>8</v>
      </c>
      <c r="Q1048" t="n">
        <v>0</v>
      </c>
      <c r="R1048" t="n">
        <v>2022.11</v>
      </c>
      <c r="S1048" t="b">
        <v>0</v>
      </c>
      <c r="T1048" t="n">
        <v>4577964</v>
      </c>
      <c r="U1048" t="n">
        <v>11</v>
      </c>
      <c r="V1048" t="n">
        <v>0.0167</v>
      </c>
      <c r="W1048" t="n">
        <v>0.57</v>
      </c>
      <c r="X1048" t="n">
        <v>79.17</v>
      </c>
      <c r="Y1048">
        <f>VLOOKUP(D1048,$AB$2:$AC$7,2,FALSE)</f>
        <v/>
      </c>
      <c r="Z1048">
        <f>IF(A1048&lt;Y1048,"Yes","No")</f>
        <v/>
      </c>
    </row>
    <row r="1049">
      <c r="A1049" t="n">
        <v>2019</v>
      </c>
      <c r="B1049" t="inlineStr">
        <is>
          <t>Q4</t>
        </is>
      </c>
      <c r="C1049" t="inlineStr">
        <is>
          <t>South America</t>
        </is>
      </c>
      <c r="D1049" t="inlineStr">
        <is>
          <t>Model S</t>
        </is>
      </c>
      <c r="E1049" t="n">
        <v>1214</v>
      </c>
      <c r="F1049" t="n">
        <v>54730.26</v>
      </c>
      <c r="G1049" t="n">
        <v>19</v>
      </c>
      <c r="H1049" t="inlineStr">
        <is>
          <t>Performance</t>
        </is>
      </c>
      <c r="I1049" t="inlineStr">
        <is>
          <t>RWD</t>
        </is>
      </c>
      <c r="J1049" t="inlineStr">
        <is>
          <t>White</t>
        </is>
      </c>
      <c r="K1049" t="n">
        <v>568</v>
      </c>
      <c r="L1049" t="n">
        <v>62</v>
      </c>
      <c r="M1049" t="n">
        <v>16.5</v>
      </c>
      <c r="N1049" t="n">
        <v>1607.37</v>
      </c>
      <c r="O1049" t="n">
        <v>4.21</v>
      </c>
      <c r="P1049" t="n">
        <v>6</v>
      </c>
      <c r="Q1049" t="n">
        <v>0</v>
      </c>
      <c r="R1049" t="n">
        <v>2021.7</v>
      </c>
      <c r="S1049" t="b">
        <v>0</v>
      </c>
      <c r="T1049" t="n">
        <v>2601173</v>
      </c>
      <c r="U1049" t="n">
        <v>2</v>
      </c>
      <c r="V1049" t="n">
        <v>0.016</v>
      </c>
      <c r="W1049" t="n">
        <v>0.9399999999999999</v>
      </c>
      <c r="X1049" t="n">
        <v>64.04000000000001</v>
      </c>
      <c r="Y1049">
        <f>VLOOKUP(D1049,$AB$2:$AC$7,2,FALSE)</f>
        <v/>
      </c>
      <c r="Z1049">
        <f>IF(A1049&lt;Y1049,"Yes","No")</f>
        <v/>
      </c>
    </row>
    <row r="1050">
      <c r="A1050" t="n">
        <v>2017</v>
      </c>
      <c r="B1050" t="inlineStr">
        <is>
          <t>Q4</t>
        </is>
      </c>
      <c r="C1050" t="inlineStr">
        <is>
          <t>Europe</t>
        </is>
      </c>
      <c r="D1050" t="inlineStr">
        <is>
          <t>Model Y</t>
        </is>
      </c>
      <c r="E1050" t="n">
        <v>4195</v>
      </c>
      <c r="F1050" t="n">
        <v>91261.94</v>
      </c>
      <c r="G1050" t="n">
        <v>55</v>
      </c>
      <c r="H1050" t="inlineStr">
        <is>
          <t>Standard</t>
        </is>
      </c>
      <c r="I1050" t="inlineStr">
        <is>
          <t>RWD</t>
        </is>
      </c>
      <c r="J1050" t="inlineStr">
        <is>
          <t>Silver</t>
        </is>
      </c>
      <c r="K1050" t="n">
        <v>605</v>
      </c>
      <c r="L1050" t="n">
        <v>53</v>
      </c>
      <c r="M1050" t="n">
        <v>18.44</v>
      </c>
      <c r="N1050" t="n">
        <v>9791.1</v>
      </c>
      <c r="O1050" t="n">
        <v>4.4</v>
      </c>
      <c r="P1050" t="n">
        <v>5</v>
      </c>
      <c r="Q1050" t="n">
        <v>3</v>
      </c>
      <c r="R1050" t="n">
        <v>2021.2</v>
      </c>
      <c r="S1050" t="b">
        <v>0</v>
      </c>
      <c r="T1050" t="n">
        <v>4793931</v>
      </c>
      <c r="U1050" t="n">
        <v>5</v>
      </c>
      <c r="V1050" t="n">
        <v>0.074</v>
      </c>
      <c r="W1050" t="n">
        <v>0.77</v>
      </c>
      <c r="X1050" t="n">
        <v>84.90000000000001</v>
      </c>
      <c r="Y1050">
        <f>VLOOKUP(D1050,$AB$2:$AC$7,2,FALSE)</f>
        <v/>
      </c>
      <c r="Z1050">
        <f>IF(A1050&lt;Y1050,"Yes","No")</f>
        <v/>
      </c>
    </row>
    <row r="1051">
      <c r="A1051" t="n">
        <v>2017</v>
      </c>
      <c r="B1051" t="inlineStr">
        <is>
          <t>Q3</t>
        </is>
      </c>
      <c r="C1051" t="inlineStr">
        <is>
          <t>Asia</t>
        </is>
      </c>
      <c r="D1051" t="inlineStr">
        <is>
          <t>Semi</t>
        </is>
      </c>
      <c r="E1051" t="n">
        <v>1390</v>
      </c>
      <c r="F1051" t="n">
        <v>119654.03</v>
      </c>
      <c r="G1051" t="n">
        <v>14</v>
      </c>
      <c r="H1051" t="inlineStr">
        <is>
          <t>Standard</t>
        </is>
      </c>
      <c r="I1051" t="inlineStr">
        <is>
          <t>AWD</t>
        </is>
      </c>
      <c r="J1051" t="inlineStr">
        <is>
          <t>White</t>
        </is>
      </c>
      <c r="K1051" t="n">
        <v>396</v>
      </c>
      <c r="L1051" t="n">
        <v>54</v>
      </c>
      <c r="M1051" t="n">
        <v>23.25</v>
      </c>
      <c r="N1051" t="n">
        <v>2742.16</v>
      </c>
      <c r="O1051" t="n">
        <v>3.6</v>
      </c>
      <c r="P1051" t="n">
        <v>6</v>
      </c>
      <c r="Q1051" t="n">
        <v>2</v>
      </c>
      <c r="R1051" t="n">
        <v>2024.4</v>
      </c>
      <c r="S1051" t="b">
        <v>0</v>
      </c>
      <c r="T1051" t="n">
        <v>3363681</v>
      </c>
      <c r="U1051" t="n">
        <v>2</v>
      </c>
      <c r="V1051" t="n">
        <v>0.09520000000000001</v>
      </c>
      <c r="W1051" t="n">
        <v>2.32</v>
      </c>
      <c r="X1051" t="n">
        <v>69</v>
      </c>
      <c r="Y1051">
        <f>VLOOKUP(D1051,$AB$2:$AC$7,2,FALSE)</f>
        <v/>
      </c>
      <c r="Z1051">
        <f>IF(A1051&lt;Y1051,"Yes","No")</f>
        <v/>
      </c>
    </row>
    <row r="1052">
      <c r="A1052" t="n">
        <v>2024</v>
      </c>
      <c r="B1052" t="inlineStr">
        <is>
          <t>Q4</t>
        </is>
      </c>
      <c r="C1052" t="inlineStr">
        <is>
          <t>Australia</t>
        </is>
      </c>
      <c r="D1052" t="inlineStr">
        <is>
          <t>Semi</t>
        </is>
      </c>
      <c r="E1052" t="n">
        <v>2135</v>
      </c>
      <c r="F1052" t="n">
        <v>68045.98</v>
      </c>
      <c r="G1052" t="n">
        <v>46</v>
      </c>
      <c r="H1052" t="inlineStr">
        <is>
          <t>Standard</t>
        </is>
      </c>
      <c r="I1052" t="inlineStr">
        <is>
          <t>RWD</t>
        </is>
      </c>
      <c r="J1052" t="inlineStr">
        <is>
          <t>Green</t>
        </is>
      </c>
      <c r="K1052" t="n">
        <v>673</v>
      </c>
      <c r="L1052" t="n">
        <v>66</v>
      </c>
      <c r="M1052" t="n">
        <v>17.28</v>
      </c>
      <c r="N1052" t="n">
        <v>2277.77</v>
      </c>
      <c r="O1052" t="n">
        <v>3.62</v>
      </c>
      <c r="P1052" t="n">
        <v>8</v>
      </c>
      <c r="Q1052" t="n">
        <v>2</v>
      </c>
      <c r="R1052" t="n">
        <v>2024.2</v>
      </c>
      <c r="S1052" t="b">
        <v>0</v>
      </c>
      <c r="T1052" t="n">
        <v>633867</v>
      </c>
      <c r="U1052" t="n">
        <v>9</v>
      </c>
      <c r="V1052" t="n">
        <v>0.0103</v>
      </c>
      <c r="W1052" t="n">
        <v>0.53</v>
      </c>
      <c r="X1052" t="n">
        <v>64.84999999999999</v>
      </c>
      <c r="Y1052">
        <f>VLOOKUP(D1052,$AB$2:$AC$7,2,FALSE)</f>
        <v/>
      </c>
      <c r="Z1052">
        <f>IF(A1052&lt;Y1052,"Yes","No")</f>
        <v/>
      </c>
    </row>
    <row r="1053">
      <c r="A1053" t="n">
        <v>2014</v>
      </c>
      <c r="B1053" t="inlineStr">
        <is>
          <t>Q1</t>
        </is>
      </c>
      <c r="C1053" t="inlineStr">
        <is>
          <t>South America</t>
        </is>
      </c>
      <c r="D1053" t="inlineStr">
        <is>
          <t>Semi</t>
        </is>
      </c>
      <c r="E1053" t="n">
        <v>820</v>
      </c>
      <c r="F1053" t="n">
        <v>69381.61</v>
      </c>
      <c r="G1053" t="n">
        <v>35</v>
      </c>
      <c r="H1053" t="inlineStr">
        <is>
          <t>Standard</t>
        </is>
      </c>
      <c r="I1053" t="inlineStr">
        <is>
          <t>RWD</t>
        </is>
      </c>
      <c r="J1053" t="inlineStr">
        <is>
          <t>Red</t>
        </is>
      </c>
      <c r="K1053" t="n">
        <v>466</v>
      </c>
      <c r="L1053" t="n">
        <v>80</v>
      </c>
      <c r="M1053" t="n">
        <v>22.16</v>
      </c>
      <c r="N1053" t="n">
        <v>1783.95</v>
      </c>
      <c r="O1053" t="n">
        <v>4.5</v>
      </c>
      <c r="P1053" t="n">
        <v>8</v>
      </c>
      <c r="Q1053" t="n">
        <v>0</v>
      </c>
      <c r="R1053" t="n">
        <v>2024.5</v>
      </c>
      <c r="S1053" t="b">
        <v>1</v>
      </c>
      <c r="T1053" t="n">
        <v>4184022</v>
      </c>
      <c r="U1053" t="n">
        <v>9</v>
      </c>
      <c r="V1053" t="n">
        <v>0.0359</v>
      </c>
      <c r="W1053" t="n">
        <v>1.97</v>
      </c>
      <c r="X1053" t="n">
        <v>63.85</v>
      </c>
      <c r="Y1053">
        <f>VLOOKUP(D1053,$AB$2:$AC$7,2,FALSE)</f>
        <v/>
      </c>
      <c r="Z1053">
        <f>IF(A1053&lt;Y1053,"Yes","No")</f>
        <v/>
      </c>
    </row>
    <row r="1054">
      <c r="A1054" t="n">
        <v>2024</v>
      </c>
      <c r="B1054" t="inlineStr">
        <is>
          <t>Q2</t>
        </is>
      </c>
      <c r="C1054" t="inlineStr">
        <is>
          <t>South America</t>
        </is>
      </c>
      <c r="D1054" t="inlineStr">
        <is>
          <t>Model Y</t>
        </is>
      </c>
      <c r="E1054" t="n">
        <v>2414</v>
      </c>
      <c r="F1054" t="n">
        <v>91477.22</v>
      </c>
      <c r="G1054" t="n">
        <v>15</v>
      </c>
      <c r="H1054" t="inlineStr">
        <is>
          <t>Standard</t>
        </is>
      </c>
      <c r="I1054" t="inlineStr">
        <is>
          <t>AWD</t>
        </is>
      </c>
      <c r="J1054" t="inlineStr">
        <is>
          <t>Black</t>
        </is>
      </c>
      <c r="K1054" t="n">
        <v>567</v>
      </c>
      <c r="L1054" t="n">
        <v>84</v>
      </c>
      <c r="M1054" t="n">
        <v>20.61</v>
      </c>
      <c r="N1054" t="n">
        <v>5886.51</v>
      </c>
      <c r="O1054" t="n">
        <v>4.62</v>
      </c>
      <c r="P1054" t="n">
        <v>8</v>
      </c>
      <c r="Q1054" t="n">
        <v>1</v>
      </c>
      <c r="R1054" t="n">
        <v>2020.9</v>
      </c>
      <c r="S1054" t="b">
        <v>1</v>
      </c>
      <c r="T1054" t="n">
        <v>3586440</v>
      </c>
      <c r="U1054" t="n">
        <v>8</v>
      </c>
      <c r="V1054" t="n">
        <v>0.0507</v>
      </c>
      <c r="W1054" t="n">
        <v>0.75</v>
      </c>
      <c r="X1054" t="n">
        <v>82.39</v>
      </c>
      <c r="Y1054">
        <f>VLOOKUP(D1054,$AB$2:$AC$7,2,FALSE)</f>
        <v/>
      </c>
      <c r="Z1054">
        <f>IF(A1054&lt;Y1054,"Yes","No")</f>
        <v/>
      </c>
    </row>
    <row r="1055">
      <c r="A1055" t="n">
        <v>2018</v>
      </c>
      <c r="B1055" t="inlineStr">
        <is>
          <t>Q4</t>
        </is>
      </c>
      <c r="C1055" t="inlineStr">
        <is>
          <t>Australia</t>
        </is>
      </c>
      <c r="D1055" t="inlineStr">
        <is>
          <t>Model S</t>
        </is>
      </c>
      <c r="E1055" t="n">
        <v>62</v>
      </c>
      <c r="F1055" t="n">
        <v>46861.74</v>
      </c>
      <c r="G1055" t="n">
        <v>20</v>
      </c>
      <c r="H1055" t="inlineStr">
        <is>
          <t>Performance</t>
        </is>
      </c>
      <c r="I1055" t="inlineStr">
        <is>
          <t>RWD</t>
        </is>
      </c>
      <c r="J1055" t="inlineStr">
        <is>
          <t>Black</t>
        </is>
      </c>
      <c r="K1055" t="n">
        <v>492</v>
      </c>
      <c r="L1055" t="n">
        <v>41</v>
      </c>
      <c r="M1055" t="n">
        <v>22.74</v>
      </c>
      <c r="N1055" t="n">
        <v>145.29</v>
      </c>
      <c r="O1055" t="n">
        <v>3.7</v>
      </c>
      <c r="P1055" t="n">
        <v>5</v>
      </c>
      <c r="Q1055" t="n">
        <v>1</v>
      </c>
      <c r="R1055" t="n">
        <v>2021.5</v>
      </c>
      <c r="S1055" t="b">
        <v>1</v>
      </c>
      <c r="T1055" t="n">
        <v>707087</v>
      </c>
      <c r="U1055" t="n">
        <v>5</v>
      </c>
      <c r="V1055" t="n">
        <v>0.07530000000000001</v>
      </c>
      <c r="W1055" t="n">
        <v>2.44</v>
      </c>
      <c r="X1055" t="n">
        <v>76.61</v>
      </c>
      <c r="Y1055">
        <f>VLOOKUP(D1055,$AB$2:$AC$7,2,FALSE)</f>
        <v/>
      </c>
      <c r="Z1055">
        <f>IF(A1055&lt;Y1055,"Yes","No")</f>
        <v/>
      </c>
    </row>
    <row r="1056">
      <c r="A1056" t="n">
        <v>2018</v>
      </c>
      <c r="B1056" t="inlineStr">
        <is>
          <t>Q4</t>
        </is>
      </c>
      <c r="C1056" t="inlineStr">
        <is>
          <t>Asia</t>
        </is>
      </c>
      <c r="D1056" t="inlineStr">
        <is>
          <t>Cybertruck</t>
        </is>
      </c>
      <c r="E1056" t="n">
        <v>182</v>
      </c>
      <c r="F1056" t="n">
        <v>42971.92</v>
      </c>
      <c r="G1056" t="n">
        <v>55</v>
      </c>
      <c r="H1056" t="inlineStr">
        <is>
          <t>Long Range</t>
        </is>
      </c>
      <c r="I1056" t="inlineStr">
        <is>
          <t>AWD</t>
        </is>
      </c>
      <c r="J1056" t="inlineStr">
        <is>
          <t>White</t>
        </is>
      </c>
      <c r="K1056" t="n">
        <v>426</v>
      </c>
      <c r="L1056" t="n">
        <v>70</v>
      </c>
      <c r="M1056" t="n">
        <v>16.65</v>
      </c>
      <c r="N1056" t="n">
        <v>387.39</v>
      </c>
      <c r="O1056" t="n">
        <v>3.68</v>
      </c>
      <c r="P1056" t="n">
        <v>6</v>
      </c>
      <c r="Q1056" t="n">
        <v>0</v>
      </c>
      <c r="R1056" t="n">
        <v>2024.3</v>
      </c>
      <c r="S1056" t="b">
        <v>1</v>
      </c>
      <c r="T1056" t="n">
        <v>2157836</v>
      </c>
      <c r="U1056" t="n">
        <v>7</v>
      </c>
      <c r="V1056" t="n">
        <v>0.0156</v>
      </c>
      <c r="W1056" t="n">
        <v>1.11</v>
      </c>
      <c r="X1056" t="n">
        <v>71.86</v>
      </c>
      <c r="Y1056">
        <f>VLOOKUP(D1056,$AB$2:$AC$7,2,FALSE)</f>
        <v/>
      </c>
      <c r="Z1056">
        <f>IF(A1056&lt;Y1056,"Yes","No")</f>
        <v/>
      </c>
    </row>
    <row r="1057">
      <c r="A1057" t="n">
        <v>2017</v>
      </c>
      <c r="B1057" t="inlineStr">
        <is>
          <t>Q4</t>
        </is>
      </c>
      <c r="C1057" t="inlineStr">
        <is>
          <t>Asia</t>
        </is>
      </c>
      <c r="D1057" t="inlineStr">
        <is>
          <t>Model 3</t>
        </is>
      </c>
      <c r="E1057" t="n">
        <v>3137</v>
      </c>
      <c r="F1057" t="n">
        <v>104152.27</v>
      </c>
      <c r="G1057" t="n">
        <v>7</v>
      </c>
      <c r="H1057" t="inlineStr">
        <is>
          <t>Performance</t>
        </is>
      </c>
      <c r="I1057" t="inlineStr">
        <is>
          <t>RWD</t>
        </is>
      </c>
      <c r="J1057" t="inlineStr">
        <is>
          <t>Black</t>
        </is>
      </c>
      <c r="K1057" t="n">
        <v>600</v>
      </c>
      <c r="L1057" t="n">
        <v>78</v>
      </c>
      <c r="M1057" t="n">
        <v>14.54</v>
      </c>
      <c r="N1057" t="n">
        <v>2937.39</v>
      </c>
      <c r="O1057" t="n">
        <v>4.35</v>
      </c>
      <c r="P1057" t="n">
        <v>6</v>
      </c>
      <c r="Q1057" t="n">
        <v>3</v>
      </c>
      <c r="R1057" t="n">
        <v>2024.11</v>
      </c>
      <c r="S1057" t="b">
        <v>0</v>
      </c>
      <c r="T1057" t="n">
        <v>3086470</v>
      </c>
      <c r="U1057" t="n">
        <v>11</v>
      </c>
      <c r="V1057" t="n">
        <v>0.07820000000000001</v>
      </c>
      <c r="W1057" t="n">
        <v>1.78</v>
      </c>
      <c r="X1057" t="n">
        <v>74.58</v>
      </c>
      <c r="Y1057">
        <f>VLOOKUP(D1057,$AB$2:$AC$7,2,FALSE)</f>
        <v/>
      </c>
      <c r="Z1057">
        <f>IF(A1057&lt;Y1057,"Yes","No")</f>
        <v/>
      </c>
    </row>
    <row r="1058">
      <c r="A1058" t="n">
        <v>2019</v>
      </c>
      <c r="B1058" t="inlineStr">
        <is>
          <t>Q4</t>
        </is>
      </c>
      <c r="C1058" t="inlineStr">
        <is>
          <t>Asia</t>
        </is>
      </c>
      <c r="D1058" t="inlineStr">
        <is>
          <t>Model S</t>
        </is>
      </c>
      <c r="E1058" t="n">
        <v>2496</v>
      </c>
      <c r="F1058" t="n">
        <v>86667.75999999999</v>
      </c>
      <c r="G1058" t="n">
        <v>1</v>
      </c>
      <c r="H1058" t="inlineStr">
        <is>
          <t>Standard</t>
        </is>
      </c>
      <c r="I1058" t="inlineStr">
        <is>
          <t>RWD</t>
        </is>
      </c>
      <c r="J1058" t="inlineStr">
        <is>
          <t>Red</t>
        </is>
      </c>
      <c r="K1058" t="n">
        <v>441</v>
      </c>
      <c r="L1058" t="n">
        <v>77</v>
      </c>
      <c r="M1058" t="n">
        <v>22.62</v>
      </c>
      <c r="N1058" t="n">
        <v>2961.63</v>
      </c>
      <c r="O1058" t="n">
        <v>4.59</v>
      </c>
      <c r="P1058" t="n">
        <v>5</v>
      </c>
      <c r="Q1058" t="n">
        <v>2</v>
      </c>
      <c r="R1058" t="n">
        <v>2022.11</v>
      </c>
      <c r="S1058" t="b">
        <v>0</v>
      </c>
      <c r="T1058" t="n">
        <v>4708084</v>
      </c>
      <c r="U1058" t="n">
        <v>8</v>
      </c>
      <c r="V1058" t="n">
        <v>0.0533</v>
      </c>
      <c r="W1058" t="n">
        <v>0.86</v>
      </c>
      <c r="X1058" t="n">
        <v>87.31999999999999</v>
      </c>
      <c r="Y1058">
        <f>VLOOKUP(D1058,$AB$2:$AC$7,2,FALSE)</f>
        <v/>
      </c>
      <c r="Z1058">
        <f>IF(A1058&lt;Y1058,"Yes","No")</f>
        <v/>
      </c>
    </row>
    <row r="1059">
      <c r="A1059" t="n">
        <v>2015</v>
      </c>
      <c r="B1059" t="inlineStr">
        <is>
          <t>Q1</t>
        </is>
      </c>
      <c r="C1059" t="inlineStr">
        <is>
          <t>Asia</t>
        </is>
      </c>
      <c r="D1059" t="inlineStr">
        <is>
          <t>Model Y</t>
        </is>
      </c>
      <c r="E1059" t="n">
        <v>2025</v>
      </c>
      <c r="F1059" t="n">
        <v>116319.68</v>
      </c>
      <c r="G1059" t="n">
        <v>4</v>
      </c>
      <c r="H1059" t="inlineStr">
        <is>
          <t>Long Range</t>
        </is>
      </c>
      <c r="I1059" t="inlineStr">
        <is>
          <t>RWD</t>
        </is>
      </c>
      <c r="J1059" t="inlineStr">
        <is>
          <t>White</t>
        </is>
      </c>
      <c r="K1059" t="n">
        <v>543</v>
      </c>
      <c r="L1059" t="n">
        <v>76</v>
      </c>
      <c r="M1059" t="n">
        <v>21.87</v>
      </c>
      <c r="N1059" t="n">
        <v>1351.45</v>
      </c>
      <c r="O1059" t="n">
        <v>4.53</v>
      </c>
      <c r="P1059" t="n">
        <v>6</v>
      </c>
      <c r="Q1059" t="n">
        <v>1</v>
      </c>
      <c r="R1059" t="n">
        <v>2021.6</v>
      </c>
      <c r="S1059" t="b">
        <v>1</v>
      </c>
      <c r="T1059" t="n">
        <v>1060132</v>
      </c>
      <c r="U1059" t="n">
        <v>6</v>
      </c>
      <c r="V1059" t="n">
        <v>0.0727</v>
      </c>
      <c r="W1059" t="n">
        <v>1.68</v>
      </c>
      <c r="X1059" t="n">
        <v>75.78</v>
      </c>
      <c r="Y1059">
        <f>VLOOKUP(D1059,$AB$2:$AC$7,2,FALSE)</f>
        <v/>
      </c>
      <c r="Z1059">
        <f>IF(A1059&lt;Y1059,"Yes","No")</f>
        <v/>
      </c>
    </row>
    <row r="1060">
      <c r="A1060" t="n">
        <v>2019</v>
      </c>
      <c r="B1060" t="inlineStr">
        <is>
          <t>Q3</t>
        </is>
      </c>
      <c r="C1060" t="inlineStr">
        <is>
          <t>Europe</t>
        </is>
      </c>
      <c r="D1060" t="inlineStr">
        <is>
          <t>Model S</t>
        </is>
      </c>
      <c r="E1060" t="n">
        <v>1147</v>
      </c>
      <c r="F1060" t="n">
        <v>109362.13</v>
      </c>
      <c r="G1060" t="n">
        <v>0</v>
      </c>
      <c r="H1060" t="inlineStr">
        <is>
          <t>Long Range</t>
        </is>
      </c>
      <c r="I1060" t="inlineStr">
        <is>
          <t>AWD</t>
        </is>
      </c>
      <c r="J1060" t="inlineStr">
        <is>
          <t>Silver</t>
        </is>
      </c>
      <c r="K1060" t="n">
        <v>514</v>
      </c>
      <c r="L1060" t="n">
        <v>48</v>
      </c>
      <c r="M1060" t="n">
        <v>15.93</v>
      </c>
      <c r="N1060" t="n">
        <v>1710.29</v>
      </c>
      <c r="O1060" t="n">
        <v>4.15</v>
      </c>
      <c r="P1060" t="n">
        <v>4</v>
      </c>
      <c r="Q1060" t="n">
        <v>1</v>
      </c>
      <c r="R1060" t="n">
        <v>2020.12</v>
      </c>
      <c r="S1060" t="b">
        <v>0</v>
      </c>
      <c r="T1060" t="n">
        <v>4311487</v>
      </c>
      <c r="U1060" t="n">
        <v>2</v>
      </c>
      <c r="V1060" t="n">
        <v>0.0154</v>
      </c>
      <c r="W1060" t="n">
        <v>1.95</v>
      </c>
      <c r="X1060" t="n">
        <v>76.08</v>
      </c>
      <c r="Y1060">
        <f>VLOOKUP(D1060,$AB$2:$AC$7,2,FALSE)</f>
        <v/>
      </c>
      <c r="Z1060">
        <f>IF(A1060&lt;Y1060,"Yes","No")</f>
        <v/>
      </c>
    </row>
    <row r="1061">
      <c r="A1061" t="n">
        <v>2015</v>
      </c>
      <c r="B1061" t="inlineStr">
        <is>
          <t>Q1</t>
        </is>
      </c>
      <c r="C1061" t="inlineStr">
        <is>
          <t>Asia</t>
        </is>
      </c>
      <c r="D1061" t="inlineStr">
        <is>
          <t>Model 3</t>
        </is>
      </c>
      <c r="E1061" t="n">
        <v>4820</v>
      </c>
      <c r="F1061" t="n">
        <v>42166.16</v>
      </c>
      <c r="G1061" t="n">
        <v>5</v>
      </c>
      <c r="H1061" t="inlineStr">
        <is>
          <t>Standard</t>
        </is>
      </c>
      <c r="I1061" t="inlineStr">
        <is>
          <t>RWD</t>
        </is>
      </c>
      <c r="J1061" t="inlineStr">
        <is>
          <t>Black</t>
        </is>
      </c>
      <c r="K1061" t="n">
        <v>571</v>
      </c>
      <c r="L1061" t="n">
        <v>60</v>
      </c>
      <c r="M1061" t="n">
        <v>19.42</v>
      </c>
      <c r="N1061" t="n">
        <v>4056.8</v>
      </c>
      <c r="O1061" t="n">
        <v>3.66</v>
      </c>
      <c r="P1061" t="n">
        <v>4</v>
      </c>
      <c r="Q1061" t="n">
        <v>3</v>
      </c>
      <c r="R1061" t="n">
        <v>2024.2</v>
      </c>
      <c r="S1061" t="b">
        <v>0</v>
      </c>
      <c r="T1061" t="n">
        <v>916360</v>
      </c>
      <c r="U1061" t="n">
        <v>2</v>
      </c>
      <c r="V1061" t="n">
        <v>0.0654</v>
      </c>
      <c r="W1061" t="n">
        <v>1.31</v>
      </c>
      <c r="X1061" t="n">
        <v>75.73999999999999</v>
      </c>
      <c r="Y1061">
        <f>VLOOKUP(D1061,$AB$2:$AC$7,2,FALSE)</f>
        <v/>
      </c>
      <c r="Z1061">
        <f>IF(A1061&lt;Y1061,"Yes","No")</f>
        <v/>
      </c>
    </row>
    <row r="1062">
      <c r="A1062" t="n">
        <v>2018</v>
      </c>
      <c r="B1062" t="inlineStr">
        <is>
          <t>Q3</t>
        </is>
      </c>
      <c r="C1062" t="inlineStr">
        <is>
          <t>Europe</t>
        </is>
      </c>
      <c r="D1062" t="inlineStr">
        <is>
          <t>Model X</t>
        </is>
      </c>
      <c r="E1062" t="n">
        <v>3770</v>
      </c>
      <c r="F1062" t="n">
        <v>106310.71</v>
      </c>
      <c r="G1062" t="n">
        <v>26</v>
      </c>
      <c r="H1062" t="inlineStr">
        <is>
          <t>Performance</t>
        </is>
      </c>
      <c r="I1062" t="inlineStr">
        <is>
          <t>AWD</t>
        </is>
      </c>
      <c r="J1062" t="inlineStr">
        <is>
          <t>Black</t>
        </is>
      </c>
      <c r="K1062" t="n">
        <v>569</v>
      </c>
      <c r="L1062" t="n">
        <v>82</v>
      </c>
      <c r="M1062" t="n">
        <v>19.94</v>
      </c>
      <c r="N1062" t="n">
        <v>3377.34</v>
      </c>
      <c r="O1062" t="n">
        <v>4.89</v>
      </c>
      <c r="P1062" t="n">
        <v>4</v>
      </c>
      <c r="Q1062" t="n">
        <v>2</v>
      </c>
      <c r="R1062" t="n">
        <v>2022.3</v>
      </c>
      <c r="S1062" t="b">
        <v>1</v>
      </c>
      <c r="T1062" t="n">
        <v>202654</v>
      </c>
      <c r="U1062" t="n">
        <v>8</v>
      </c>
      <c r="V1062" t="n">
        <v>0.013</v>
      </c>
      <c r="W1062" t="n">
        <v>0.87</v>
      </c>
      <c r="X1062" t="n">
        <v>61.63</v>
      </c>
      <c r="Y1062">
        <f>VLOOKUP(D1062,$AB$2:$AC$7,2,FALSE)</f>
        <v/>
      </c>
      <c r="Z1062">
        <f>IF(A1062&lt;Y1062,"Yes","No")</f>
        <v/>
      </c>
    </row>
    <row r="1063">
      <c r="A1063" t="n">
        <v>2020</v>
      </c>
      <c r="B1063" t="inlineStr">
        <is>
          <t>Q4</t>
        </is>
      </c>
      <c r="C1063" t="inlineStr">
        <is>
          <t>Asia</t>
        </is>
      </c>
      <c r="D1063" t="inlineStr">
        <is>
          <t>Semi</t>
        </is>
      </c>
      <c r="E1063" t="n">
        <v>2795</v>
      </c>
      <c r="F1063" t="n">
        <v>112346.06</v>
      </c>
      <c r="G1063" t="n">
        <v>1</v>
      </c>
      <c r="H1063" t="inlineStr">
        <is>
          <t>Performance</t>
        </is>
      </c>
      <c r="I1063" t="inlineStr">
        <is>
          <t>RWD</t>
        </is>
      </c>
      <c r="J1063" t="inlineStr">
        <is>
          <t>Black</t>
        </is>
      </c>
      <c r="K1063" t="n">
        <v>436</v>
      </c>
      <c r="L1063" t="n">
        <v>48</v>
      </c>
      <c r="M1063" t="n">
        <v>21.89</v>
      </c>
      <c r="N1063" t="n">
        <v>1933.23</v>
      </c>
      <c r="O1063" t="n">
        <v>4.68</v>
      </c>
      <c r="P1063" t="n">
        <v>4</v>
      </c>
      <c r="Q1063" t="n">
        <v>3</v>
      </c>
      <c r="R1063" t="n">
        <v>2023.8</v>
      </c>
      <c r="S1063" t="b">
        <v>1</v>
      </c>
      <c r="T1063" t="n">
        <v>964838</v>
      </c>
      <c r="U1063" t="n">
        <v>7</v>
      </c>
      <c r="V1063" t="n">
        <v>0.0168</v>
      </c>
      <c r="W1063" t="n">
        <v>1.14</v>
      </c>
      <c r="X1063" t="n">
        <v>77.66</v>
      </c>
      <c r="Y1063">
        <f>VLOOKUP(D1063,$AB$2:$AC$7,2,FALSE)</f>
        <v/>
      </c>
      <c r="Z1063">
        <f>IF(A1063&lt;Y1063,"Yes","No")</f>
        <v/>
      </c>
    </row>
    <row r="1064">
      <c r="A1064" t="n">
        <v>2014</v>
      </c>
      <c r="B1064" t="inlineStr">
        <is>
          <t>Q1</t>
        </is>
      </c>
      <c r="C1064" t="inlineStr">
        <is>
          <t>North America</t>
        </is>
      </c>
      <c r="D1064" t="inlineStr">
        <is>
          <t>Model Y</t>
        </is>
      </c>
      <c r="E1064" t="n">
        <v>3526</v>
      </c>
      <c r="F1064" t="n">
        <v>110891.1</v>
      </c>
      <c r="G1064" t="n">
        <v>13</v>
      </c>
      <c r="H1064" t="inlineStr">
        <is>
          <t>Performance</t>
        </is>
      </c>
      <c r="I1064" t="inlineStr">
        <is>
          <t>AWD</t>
        </is>
      </c>
      <c r="J1064" t="inlineStr">
        <is>
          <t>Black</t>
        </is>
      </c>
      <c r="K1064" t="n">
        <v>419</v>
      </c>
      <c r="L1064" t="n">
        <v>84</v>
      </c>
      <c r="M1064" t="n">
        <v>14.64</v>
      </c>
      <c r="N1064" t="n">
        <v>2026.45</v>
      </c>
      <c r="O1064" t="n">
        <v>4.99</v>
      </c>
      <c r="P1064" t="n">
        <v>5</v>
      </c>
      <c r="Q1064" t="n">
        <v>1</v>
      </c>
      <c r="R1064" t="n">
        <v>2021.11</v>
      </c>
      <c r="S1064" t="b">
        <v>1</v>
      </c>
      <c r="T1064" t="n">
        <v>495871</v>
      </c>
      <c r="U1064" t="n">
        <v>7</v>
      </c>
      <c r="V1064" t="n">
        <v>0.044</v>
      </c>
      <c r="W1064" t="n">
        <v>1.81</v>
      </c>
      <c r="X1064" t="n">
        <v>62.87</v>
      </c>
      <c r="Y1064">
        <f>VLOOKUP(D1064,$AB$2:$AC$7,2,FALSE)</f>
        <v/>
      </c>
      <c r="Z1064">
        <f>IF(A1064&lt;Y1064,"Yes","No")</f>
        <v/>
      </c>
    </row>
    <row r="1065">
      <c r="A1065" t="n">
        <v>2022</v>
      </c>
      <c r="B1065" t="inlineStr">
        <is>
          <t>Q1</t>
        </is>
      </c>
      <c r="C1065" t="inlineStr">
        <is>
          <t>North America</t>
        </is>
      </c>
      <c r="D1065" t="inlineStr">
        <is>
          <t>Model S</t>
        </is>
      </c>
      <c r="E1065" t="n">
        <v>1751</v>
      </c>
      <c r="F1065" t="n">
        <v>56762.21</v>
      </c>
      <c r="G1065" t="n">
        <v>19</v>
      </c>
      <c r="H1065" t="inlineStr">
        <is>
          <t>Standard</t>
        </is>
      </c>
      <c r="I1065" t="inlineStr">
        <is>
          <t>AWD</t>
        </is>
      </c>
      <c r="J1065" t="inlineStr">
        <is>
          <t>Silver</t>
        </is>
      </c>
      <c r="K1065" t="n">
        <v>401</v>
      </c>
      <c r="L1065" t="n">
        <v>42</v>
      </c>
      <c r="M1065" t="n">
        <v>15.73</v>
      </c>
      <c r="N1065" t="n">
        <v>1485.93</v>
      </c>
      <c r="O1065" t="n">
        <v>3.77</v>
      </c>
      <c r="P1065" t="n">
        <v>8</v>
      </c>
      <c r="Q1065" t="n">
        <v>0</v>
      </c>
      <c r="R1065" t="n">
        <v>2021.3</v>
      </c>
      <c r="S1065" t="b">
        <v>1</v>
      </c>
      <c r="T1065" t="n">
        <v>2232073</v>
      </c>
      <c r="U1065" t="n">
        <v>7</v>
      </c>
      <c r="V1065" t="n">
        <v>0.0849</v>
      </c>
      <c r="W1065" t="n">
        <v>1.32</v>
      </c>
      <c r="X1065" t="n">
        <v>68.5</v>
      </c>
      <c r="Y1065">
        <f>VLOOKUP(D1065,$AB$2:$AC$7,2,FALSE)</f>
        <v/>
      </c>
      <c r="Z1065">
        <f>IF(A1065&lt;Y1065,"Yes","No")</f>
        <v/>
      </c>
    </row>
    <row r="1066">
      <c r="A1066" t="n">
        <v>2014</v>
      </c>
      <c r="B1066" t="inlineStr">
        <is>
          <t>Q2</t>
        </is>
      </c>
      <c r="C1066" t="inlineStr">
        <is>
          <t>Asia</t>
        </is>
      </c>
      <c r="D1066" t="inlineStr">
        <is>
          <t>Model 3</t>
        </is>
      </c>
      <c r="E1066" t="n">
        <v>4150</v>
      </c>
      <c r="F1066" t="n">
        <v>68976.86</v>
      </c>
      <c r="G1066" t="n">
        <v>49</v>
      </c>
      <c r="H1066" t="inlineStr">
        <is>
          <t>Long Range</t>
        </is>
      </c>
      <c r="I1066" t="inlineStr">
        <is>
          <t>RWD</t>
        </is>
      </c>
      <c r="J1066" t="inlineStr">
        <is>
          <t>Blue</t>
        </is>
      </c>
      <c r="K1066" t="n">
        <v>352</v>
      </c>
      <c r="L1066" t="n">
        <v>41</v>
      </c>
      <c r="M1066" t="n">
        <v>16.16</v>
      </c>
      <c r="N1066" t="n">
        <v>6324.59</v>
      </c>
      <c r="O1066" t="n">
        <v>4.14</v>
      </c>
      <c r="P1066" t="n">
        <v>6</v>
      </c>
      <c r="Q1066" t="n">
        <v>1</v>
      </c>
      <c r="R1066" t="n">
        <v>2020.12</v>
      </c>
      <c r="S1066" t="b">
        <v>0</v>
      </c>
      <c r="T1066" t="n">
        <v>2176324</v>
      </c>
      <c r="U1066" t="n">
        <v>8</v>
      </c>
      <c r="V1066" t="n">
        <v>0.0775</v>
      </c>
      <c r="W1066" t="n">
        <v>1.77</v>
      </c>
      <c r="X1066" t="n">
        <v>74.20999999999999</v>
      </c>
      <c r="Y1066">
        <f>VLOOKUP(D1066,$AB$2:$AC$7,2,FALSE)</f>
        <v/>
      </c>
      <c r="Z1066">
        <f>IF(A1066&lt;Y1066,"Yes","No")</f>
        <v/>
      </c>
    </row>
    <row r="1067">
      <c r="A1067" t="n">
        <v>2015</v>
      </c>
      <c r="B1067" t="inlineStr">
        <is>
          <t>Q3</t>
        </is>
      </c>
      <c r="C1067" t="inlineStr">
        <is>
          <t>South America</t>
        </is>
      </c>
      <c r="D1067" t="inlineStr">
        <is>
          <t>Cybertruck</t>
        </is>
      </c>
      <c r="E1067" t="n">
        <v>3003</v>
      </c>
      <c r="F1067" t="n">
        <v>50074.49</v>
      </c>
      <c r="G1067" t="n">
        <v>30</v>
      </c>
      <c r="H1067" t="inlineStr">
        <is>
          <t>Standard</t>
        </is>
      </c>
      <c r="I1067" t="inlineStr">
        <is>
          <t>RWD</t>
        </is>
      </c>
      <c r="J1067" t="inlineStr">
        <is>
          <t>Blue</t>
        </is>
      </c>
      <c r="K1067" t="n">
        <v>397</v>
      </c>
      <c r="L1067" t="n">
        <v>51</v>
      </c>
      <c r="M1067" t="n">
        <v>21.26</v>
      </c>
      <c r="N1067" t="n">
        <v>7491.16</v>
      </c>
      <c r="O1067" t="n">
        <v>4.97</v>
      </c>
      <c r="P1067" t="n">
        <v>8</v>
      </c>
      <c r="Q1067" t="n">
        <v>2</v>
      </c>
      <c r="R1067" t="n">
        <v>2022.1</v>
      </c>
      <c r="S1067" t="b">
        <v>1</v>
      </c>
      <c r="T1067" t="n">
        <v>2344045</v>
      </c>
      <c r="U1067" t="n">
        <v>9</v>
      </c>
      <c r="V1067" t="n">
        <v>0.0788</v>
      </c>
      <c r="W1067" t="n">
        <v>1.28</v>
      </c>
      <c r="X1067" t="n">
        <v>64.73</v>
      </c>
      <c r="Y1067">
        <f>VLOOKUP(D1067,$AB$2:$AC$7,2,FALSE)</f>
        <v/>
      </c>
      <c r="Z1067">
        <f>IF(A1067&lt;Y1067,"Yes","No")</f>
        <v/>
      </c>
    </row>
    <row r="1068">
      <c r="A1068" t="n">
        <v>2024</v>
      </c>
      <c r="B1068" t="inlineStr">
        <is>
          <t>Q2</t>
        </is>
      </c>
      <c r="C1068" t="inlineStr">
        <is>
          <t>South America</t>
        </is>
      </c>
      <c r="D1068" t="inlineStr">
        <is>
          <t>Model S</t>
        </is>
      </c>
      <c r="E1068" t="n">
        <v>3462</v>
      </c>
      <c r="F1068" t="n">
        <v>70401.57000000001</v>
      </c>
      <c r="G1068" t="n">
        <v>6</v>
      </c>
      <c r="H1068" t="inlineStr">
        <is>
          <t>Long Range</t>
        </is>
      </c>
      <c r="I1068" t="inlineStr">
        <is>
          <t>RWD</t>
        </is>
      </c>
      <c r="J1068" t="inlineStr">
        <is>
          <t>White</t>
        </is>
      </c>
      <c r="K1068" t="n">
        <v>462</v>
      </c>
      <c r="L1068" t="n">
        <v>45</v>
      </c>
      <c r="M1068" t="n">
        <v>17.85</v>
      </c>
      <c r="N1068" t="n">
        <v>5758.03</v>
      </c>
      <c r="O1068" t="n">
        <v>4.06</v>
      </c>
      <c r="P1068" t="n">
        <v>6</v>
      </c>
      <c r="Q1068" t="n">
        <v>3</v>
      </c>
      <c r="R1068" t="n">
        <v>2022.7</v>
      </c>
      <c r="S1068" t="b">
        <v>0</v>
      </c>
      <c r="T1068" t="n">
        <v>2765738</v>
      </c>
      <c r="U1068" t="n">
        <v>12</v>
      </c>
      <c r="V1068" t="n">
        <v>0.031</v>
      </c>
      <c r="W1068" t="n">
        <v>0.92</v>
      </c>
      <c r="X1068" t="n">
        <v>77.42</v>
      </c>
      <c r="Y1068">
        <f>VLOOKUP(D1068,$AB$2:$AC$7,2,FALSE)</f>
        <v/>
      </c>
      <c r="Z1068">
        <f>IF(A1068&lt;Y1068,"Yes","No")</f>
        <v/>
      </c>
    </row>
    <row r="1069">
      <c r="A1069" t="n">
        <v>2023</v>
      </c>
      <c r="B1069" t="inlineStr">
        <is>
          <t>Q4</t>
        </is>
      </c>
      <c r="C1069" t="inlineStr">
        <is>
          <t>Europe</t>
        </is>
      </c>
      <c r="D1069" t="inlineStr">
        <is>
          <t>Semi</t>
        </is>
      </c>
      <c r="E1069" t="n">
        <v>4773</v>
      </c>
      <c r="F1069" t="n">
        <v>81872.75999999999</v>
      </c>
      <c r="G1069" t="n">
        <v>21</v>
      </c>
      <c r="H1069" t="inlineStr">
        <is>
          <t>Performance</t>
        </is>
      </c>
      <c r="I1069" t="inlineStr">
        <is>
          <t>AWD</t>
        </is>
      </c>
      <c r="J1069" t="inlineStr">
        <is>
          <t>Black</t>
        </is>
      </c>
      <c r="K1069" t="n">
        <v>498</v>
      </c>
      <c r="L1069" t="n">
        <v>42</v>
      </c>
      <c r="M1069" t="n">
        <v>23.53</v>
      </c>
      <c r="N1069" t="n">
        <v>9136.23</v>
      </c>
      <c r="O1069" t="n">
        <v>4.98</v>
      </c>
      <c r="P1069" t="n">
        <v>8</v>
      </c>
      <c r="Q1069" t="n">
        <v>1</v>
      </c>
      <c r="R1069" t="n">
        <v>2022.2</v>
      </c>
      <c r="S1069" t="b">
        <v>0</v>
      </c>
      <c r="T1069" t="n">
        <v>4083087</v>
      </c>
      <c r="U1069" t="n">
        <v>3</v>
      </c>
      <c r="V1069" t="n">
        <v>0.0241</v>
      </c>
      <c r="W1069" t="n">
        <v>1.42</v>
      </c>
      <c r="X1069" t="n">
        <v>79.34999999999999</v>
      </c>
      <c r="Y1069">
        <f>VLOOKUP(D1069,$AB$2:$AC$7,2,FALSE)</f>
        <v/>
      </c>
      <c r="Z1069">
        <f>IF(A1069&lt;Y1069,"Yes","No")</f>
        <v/>
      </c>
    </row>
    <row r="1070">
      <c r="A1070" t="n">
        <v>2018</v>
      </c>
      <c r="B1070" t="inlineStr">
        <is>
          <t>Q2</t>
        </is>
      </c>
      <c r="C1070" t="inlineStr">
        <is>
          <t>South America</t>
        </is>
      </c>
      <c r="D1070" t="inlineStr">
        <is>
          <t>Model 3</t>
        </is>
      </c>
      <c r="E1070" t="n">
        <v>2704</v>
      </c>
      <c r="F1070" t="n">
        <v>58073.54</v>
      </c>
      <c r="G1070" t="n">
        <v>60</v>
      </c>
      <c r="H1070" t="inlineStr">
        <is>
          <t>Performance</t>
        </is>
      </c>
      <c r="I1070" t="inlineStr">
        <is>
          <t>RWD</t>
        </is>
      </c>
      <c r="J1070" t="inlineStr">
        <is>
          <t>Blue</t>
        </is>
      </c>
      <c r="K1070" t="n">
        <v>630</v>
      </c>
      <c r="L1070" t="n">
        <v>51</v>
      </c>
      <c r="M1070" t="n">
        <v>19</v>
      </c>
      <c r="N1070" t="n">
        <v>3672.93</v>
      </c>
      <c r="O1070" t="n">
        <v>4.5</v>
      </c>
      <c r="P1070" t="n">
        <v>4</v>
      </c>
      <c r="Q1070" t="n">
        <v>3</v>
      </c>
      <c r="R1070" t="n">
        <v>2020.7</v>
      </c>
      <c r="S1070" t="b">
        <v>1</v>
      </c>
      <c r="T1070" t="n">
        <v>2583322</v>
      </c>
      <c r="U1070" t="n">
        <v>11</v>
      </c>
      <c r="V1070" t="n">
        <v>0.0523</v>
      </c>
      <c r="W1070" t="n">
        <v>1.78</v>
      </c>
      <c r="X1070" t="n">
        <v>78.48</v>
      </c>
      <c r="Y1070">
        <f>VLOOKUP(D1070,$AB$2:$AC$7,2,FALSE)</f>
        <v/>
      </c>
      <c r="Z1070">
        <f>IF(A1070&lt;Y1070,"Yes","No")</f>
        <v/>
      </c>
    </row>
    <row r="1071">
      <c r="A1071" t="n">
        <v>2024</v>
      </c>
      <c r="B1071" t="inlineStr">
        <is>
          <t>Q1</t>
        </is>
      </c>
      <c r="C1071" t="inlineStr">
        <is>
          <t>Australia</t>
        </is>
      </c>
      <c r="D1071" t="inlineStr">
        <is>
          <t>Model S</t>
        </is>
      </c>
      <c r="E1071" t="n">
        <v>2953</v>
      </c>
      <c r="F1071" t="n">
        <v>108137.75</v>
      </c>
      <c r="G1071" t="n">
        <v>43</v>
      </c>
      <c r="H1071" t="inlineStr">
        <is>
          <t>Performance</t>
        </is>
      </c>
      <c r="I1071" t="inlineStr">
        <is>
          <t>AWD</t>
        </is>
      </c>
      <c r="J1071" t="inlineStr">
        <is>
          <t>Red</t>
        </is>
      </c>
      <c r="K1071" t="n">
        <v>551</v>
      </c>
      <c r="L1071" t="n">
        <v>87</v>
      </c>
      <c r="M1071" t="n">
        <v>22.38</v>
      </c>
      <c r="N1071" t="n">
        <v>5349.53</v>
      </c>
      <c r="O1071" t="n">
        <v>4.54</v>
      </c>
      <c r="P1071" t="n">
        <v>4</v>
      </c>
      <c r="Q1071" t="n">
        <v>0</v>
      </c>
      <c r="R1071" t="n">
        <v>2021.1</v>
      </c>
      <c r="S1071" t="b">
        <v>0</v>
      </c>
      <c r="T1071" t="n">
        <v>1846669</v>
      </c>
      <c r="U1071" t="n">
        <v>9</v>
      </c>
      <c r="V1071" t="n">
        <v>0.0218</v>
      </c>
      <c r="W1071" t="n">
        <v>0.62</v>
      </c>
      <c r="X1071" t="n">
        <v>80.73</v>
      </c>
      <c r="Y1071">
        <f>VLOOKUP(D1071,$AB$2:$AC$7,2,FALSE)</f>
        <v/>
      </c>
      <c r="Z1071">
        <f>IF(A1071&lt;Y1071,"Yes","No")</f>
        <v/>
      </c>
    </row>
    <row r="1072">
      <c r="A1072" t="n">
        <v>2024</v>
      </c>
      <c r="B1072" t="inlineStr">
        <is>
          <t>Q1</t>
        </is>
      </c>
      <c r="C1072" t="inlineStr">
        <is>
          <t>North America</t>
        </is>
      </c>
      <c r="D1072" t="inlineStr">
        <is>
          <t>Model X</t>
        </is>
      </c>
      <c r="E1072" t="n">
        <v>4443</v>
      </c>
      <c r="F1072" t="n">
        <v>87151.28999999999</v>
      </c>
      <c r="G1072" t="n">
        <v>52</v>
      </c>
      <c r="H1072" t="inlineStr">
        <is>
          <t>Long Range</t>
        </is>
      </c>
      <c r="I1072" t="inlineStr">
        <is>
          <t>AWD</t>
        </is>
      </c>
      <c r="J1072" t="inlineStr">
        <is>
          <t>Silver</t>
        </is>
      </c>
      <c r="K1072" t="n">
        <v>421</v>
      </c>
      <c r="L1072" t="n">
        <v>54</v>
      </c>
      <c r="M1072" t="n">
        <v>21.78</v>
      </c>
      <c r="N1072" t="n">
        <v>7320.65</v>
      </c>
      <c r="O1072" t="n">
        <v>3.68</v>
      </c>
      <c r="P1072" t="n">
        <v>4</v>
      </c>
      <c r="Q1072" t="n">
        <v>2</v>
      </c>
      <c r="R1072" t="n">
        <v>2023.4</v>
      </c>
      <c r="S1072" t="b">
        <v>0</v>
      </c>
      <c r="T1072" t="n">
        <v>3807945</v>
      </c>
      <c r="U1072" t="n">
        <v>8</v>
      </c>
      <c r="V1072" t="n">
        <v>0.0266</v>
      </c>
      <c r="W1072" t="n">
        <v>1.78</v>
      </c>
      <c r="X1072" t="n">
        <v>85.15000000000001</v>
      </c>
      <c r="Y1072">
        <f>VLOOKUP(D1072,$AB$2:$AC$7,2,FALSE)</f>
        <v/>
      </c>
      <c r="Z1072">
        <f>IF(A1072&lt;Y1072,"Yes","No")</f>
        <v/>
      </c>
    </row>
    <row r="1073">
      <c r="A1073" t="n">
        <v>2023</v>
      </c>
      <c r="B1073" t="inlineStr">
        <is>
          <t>Q2</t>
        </is>
      </c>
      <c r="C1073" t="inlineStr">
        <is>
          <t>Australia</t>
        </is>
      </c>
      <c r="D1073" t="inlineStr">
        <is>
          <t>Semi</t>
        </is>
      </c>
      <c r="E1073" t="n">
        <v>2479</v>
      </c>
      <c r="F1073" t="n">
        <v>64280.18</v>
      </c>
      <c r="G1073" t="n">
        <v>25</v>
      </c>
      <c r="H1073" t="inlineStr">
        <is>
          <t>Standard</t>
        </is>
      </c>
      <c r="I1073" t="inlineStr">
        <is>
          <t>AWD</t>
        </is>
      </c>
      <c r="J1073" t="inlineStr">
        <is>
          <t>Silver</t>
        </is>
      </c>
      <c r="K1073" t="n">
        <v>405</v>
      </c>
      <c r="L1073" t="n">
        <v>59</v>
      </c>
      <c r="M1073" t="n">
        <v>14.66</v>
      </c>
      <c r="N1073" t="n">
        <v>5854.15</v>
      </c>
      <c r="O1073" t="n">
        <v>4.79</v>
      </c>
      <c r="P1073" t="n">
        <v>6</v>
      </c>
      <c r="Q1073" t="n">
        <v>0</v>
      </c>
      <c r="R1073" t="n">
        <v>2021.7</v>
      </c>
      <c r="S1073" t="b">
        <v>0</v>
      </c>
      <c r="T1073" t="n">
        <v>4341507</v>
      </c>
      <c r="U1073" t="n">
        <v>12</v>
      </c>
      <c r="V1073" t="n">
        <v>0.0172</v>
      </c>
      <c r="W1073" t="n">
        <v>1.84</v>
      </c>
      <c r="X1073" t="n">
        <v>65.45</v>
      </c>
      <c r="Y1073">
        <f>VLOOKUP(D1073,$AB$2:$AC$7,2,FALSE)</f>
        <v/>
      </c>
      <c r="Z1073">
        <f>IF(A1073&lt;Y1073,"Yes","No")</f>
        <v/>
      </c>
    </row>
    <row r="1074">
      <c r="A1074" t="n">
        <v>2018</v>
      </c>
      <c r="B1074" t="inlineStr">
        <is>
          <t>Q4</t>
        </is>
      </c>
      <c r="C1074" t="inlineStr">
        <is>
          <t>Asia</t>
        </is>
      </c>
      <c r="D1074" t="inlineStr">
        <is>
          <t>Cybertruck</t>
        </is>
      </c>
      <c r="E1074" t="n">
        <v>3819</v>
      </c>
      <c r="F1074" t="n">
        <v>42516.65</v>
      </c>
      <c r="G1074" t="n">
        <v>26</v>
      </c>
      <c r="H1074" t="inlineStr">
        <is>
          <t>Long Range</t>
        </is>
      </c>
      <c r="I1074" t="inlineStr">
        <is>
          <t>AWD</t>
        </is>
      </c>
      <c r="J1074" t="inlineStr">
        <is>
          <t>Blue</t>
        </is>
      </c>
      <c r="K1074" t="n">
        <v>699</v>
      </c>
      <c r="L1074" t="n">
        <v>86</v>
      </c>
      <c r="M1074" t="n">
        <v>19.61</v>
      </c>
      <c r="N1074" t="n">
        <v>3578.03</v>
      </c>
      <c r="O1074" t="n">
        <v>3.83</v>
      </c>
      <c r="P1074" t="n">
        <v>4</v>
      </c>
      <c r="Q1074" t="n">
        <v>0</v>
      </c>
      <c r="R1074" t="n">
        <v>2020.7</v>
      </c>
      <c r="S1074" t="b">
        <v>1</v>
      </c>
      <c r="T1074" t="n">
        <v>1524454</v>
      </c>
      <c r="U1074" t="n">
        <v>7</v>
      </c>
      <c r="V1074" t="n">
        <v>0.08069999999999999</v>
      </c>
      <c r="W1074" t="n">
        <v>1.64</v>
      </c>
      <c r="X1074" t="n">
        <v>63.41</v>
      </c>
      <c r="Y1074">
        <f>VLOOKUP(D1074,$AB$2:$AC$7,2,FALSE)</f>
        <v/>
      </c>
      <c r="Z1074">
        <f>IF(A1074&lt;Y1074,"Yes","No")</f>
        <v/>
      </c>
    </row>
    <row r="1075">
      <c r="A1075" t="n">
        <v>2024</v>
      </c>
      <c r="B1075" t="inlineStr">
        <is>
          <t>Q2</t>
        </is>
      </c>
      <c r="C1075" t="inlineStr">
        <is>
          <t>South America</t>
        </is>
      </c>
      <c r="D1075" t="inlineStr">
        <is>
          <t>Cybertruck</t>
        </is>
      </c>
      <c r="E1075" t="n">
        <v>2279</v>
      </c>
      <c r="F1075" t="n">
        <v>97167.44</v>
      </c>
      <c r="G1075" t="n">
        <v>2</v>
      </c>
      <c r="H1075" t="inlineStr">
        <is>
          <t>Standard</t>
        </is>
      </c>
      <c r="I1075" t="inlineStr">
        <is>
          <t>AWD</t>
        </is>
      </c>
      <c r="J1075" t="inlineStr">
        <is>
          <t>Black</t>
        </is>
      </c>
      <c r="K1075" t="n">
        <v>468</v>
      </c>
      <c r="L1075" t="n">
        <v>47</v>
      </c>
      <c r="M1075" t="n">
        <v>24.66</v>
      </c>
      <c r="N1075" t="n">
        <v>2121.49</v>
      </c>
      <c r="O1075" t="n">
        <v>4.88</v>
      </c>
      <c r="P1075" t="n">
        <v>8</v>
      </c>
      <c r="Q1075" t="n">
        <v>3</v>
      </c>
      <c r="R1075" t="n">
        <v>2021.11</v>
      </c>
      <c r="S1075" t="b">
        <v>0</v>
      </c>
      <c r="T1075" t="n">
        <v>4575147</v>
      </c>
      <c r="U1075" t="n">
        <v>3</v>
      </c>
      <c r="V1075" t="n">
        <v>0.0353</v>
      </c>
      <c r="W1075" t="n">
        <v>2.15</v>
      </c>
      <c r="X1075" t="n">
        <v>76.36</v>
      </c>
      <c r="Y1075">
        <f>VLOOKUP(D1075,$AB$2:$AC$7,2,FALSE)</f>
        <v/>
      </c>
      <c r="Z1075">
        <f>IF(A1075&lt;Y1075,"Yes","No")</f>
        <v/>
      </c>
    </row>
    <row r="1076">
      <c r="A1076" t="n">
        <v>2023</v>
      </c>
      <c r="B1076" t="inlineStr">
        <is>
          <t>Q3</t>
        </is>
      </c>
      <c r="C1076" t="inlineStr">
        <is>
          <t>North America</t>
        </is>
      </c>
      <c r="D1076" t="inlineStr">
        <is>
          <t>Semi</t>
        </is>
      </c>
      <c r="E1076" t="n">
        <v>558</v>
      </c>
      <c r="F1076" t="n">
        <v>116176.14</v>
      </c>
      <c r="G1076" t="n">
        <v>55</v>
      </c>
      <c r="H1076" t="inlineStr">
        <is>
          <t>Long Range</t>
        </is>
      </c>
      <c r="I1076" t="inlineStr">
        <is>
          <t>RWD</t>
        </is>
      </c>
      <c r="J1076" t="inlineStr">
        <is>
          <t>Silver</t>
        </is>
      </c>
      <c r="K1076" t="n">
        <v>460</v>
      </c>
      <c r="L1076" t="n">
        <v>32</v>
      </c>
      <c r="M1076" t="n">
        <v>13.89</v>
      </c>
      <c r="N1076" t="n">
        <v>559.17</v>
      </c>
      <c r="O1076" t="n">
        <v>4.32</v>
      </c>
      <c r="P1076" t="n">
        <v>4</v>
      </c>
      <c r="Q1076" t="n">
        <v>3</v>
      </c>
      <c r="R1076" t="n">
        <v>2020.5</v>
      </c>
      <c r="S1076" t="b">
        <v>1</v>
      </c>
      <c r="T1076" t="n">
        <v>309004</v>
      </c>
      <c r="U1076" t="n">
        <v>2</v>
      </c>
      <c r="V1076" t="n">
        <v>0.0864</v>
      </c>
      <c r="W1076" t="n">
        <v>1.81</v>
      </c>
      <c r="X1076" t="n">
        <v>87.68000000000001</v>
      </c>
      <c r="Y1076">
        <f>VLOOKUP(D1076,$AB$2:$AC$7,2,FALSE)</f>
        <v/>
      </c>
      <c r="Z1076">
        <f>IF(A1076&lt;Y1076,"Yes","No")</f>
        <v/>
      </c>
    </row>
    <row r="1077">
      <c r="A1077" t="n">
        <v>2012</v>
      </c>
      <c r="B1077" t="inlineStr">
        <is>
          <t>Q2</t>
        </is>
      </c>
      <c r="C1077" t="inlineStr">
        <is>
          <t>South America</t>
        </is>
      </c>
      <c r="D1077" t="inlineStr">
        <is>
          <t>Cybertruck</t>
        </is>
      </c>
      <c r="E1077" t="n">
        <v>3467</v>
      </c>
      <c r="F1077" t="n">
        <v>107523.34</v>
      </c>
      <c r="G1077" t="n">
        <v>59</v>
      </c>
      <c r="H1077" t="inlineStr">
        <is>
          <t>Standard</t>
        </is>
      </c>
      <c r="I1077" t="inlineStr">
        <is>
          <t>RWD</t>
        </is>
      </c>
      <c r="J1077" t="inlineStr">
        <is>
          <t>Silver</t>
        </is>
      </c>
      <c r="K1077" t="n">
        <v>366</v>
      </c>
      <c r="L1077" t="n">
        <v>77</v>
      </c>
      <c r="M1077" t="n">
        <v>24.58</v>
      </c>
      <c r="N1077" t="n">
        <v>7808.87</v>
      </c>
      <c r="O1077" t="n">
        <v>4.4</v>
      </c>
      <c r="P1077" t="n">
        <v>5</v>
      </c>
      <c r="Q1077" t="n">
        <v>2</v>
      </c>
      <c r="R1077" t="n">
        <v>2021.2</v>
      </c>
      <c r="S1077" t="b">
        <v>1</v>
      </c>
      <c r="T1077" t="n">
        <v>2262725</v>
      </c>
      <c r="U1077" t="n">
        <v>10</v>
      </c>
      <c r="V1077" t="n">
        <v>0.0906</v>
      </c>
      <c r="W1077" t="n">
        <v>2.37</v>
      </c>
      <c r="X1077" t="n">
        <v>69.06999999999999</v>
      </c>
      <c r="Y1077">
        <f>VLOOKUP(D1077,$AB$2:$AC$7,2,FALSE)</f>
        <v/>
      </c>
      <c r="Z1077">
        <f>IF(A1077&lt;Y1077,"Yes","No")</f>
        <v/>
      </c>
    </row>
    <row r="1078">
      <c r="A1078" t="n">
        <v>2016</v>
      </c>
      <c r="B1078" t="inlineStr">
        <is>
          <t>Q2</t>
        </is>
      </c>
      <c r="C1078" t="inlineStr">
        <is>
          <t>North America</t>
        </is>
      </c>
      <c r="D1078" t="inlineStr">
        <is>
          <t>Model 3</t>
        </is>
      </c>
      <c r="E1078" t="n">
        <v>2665</v>
      </c>
      <c r="F1078" t="n">
        <v>51785.95</v>
      </c>
      <c r="G1078" t="n">
        <v>27</v>
      </c>
      <c r="H1078" t="inlineStr">
        <is>
          <t>Standard</t>
        </is>
      </c>
      <c r="I1078" t="inlineStr">
        <is>
          <t>RWD</t>
        </is>
      </c>
      <c r="J1078" t="inlineStr">
        <is>
          <t>Silver</t>
        </is>
      </c>
      <c r="K1078" t="n">
        <v>693</v>
      </c>
      <c r="L1078" t="n">
        <v>36</v>
      </c>
      <c r="M1078" t="n">
        <v>18.83</v>
      </c>
      <c r="N1078" t="n">
        <v>6338.5</v>
      </c>
      <c r="O1078" t="n">
        <v>4.39</v>
      </c>
      <c r="P1078" t="n">
        <v>5</v>
      </c>
      <c r="Q1078" t="n">
        <v>3</v>
      </c>
      <c r="R1078" t="n">
        <v>2020.2</v>
      </c>
      <c r="S1078" t="b">
        <v>0</v>
      </c>
      <c r="T1078" t="n">
        <v>4131165</v>
      </c>
      <c r="U1078" t="n">
        <v>3</v>
      </c>
      <c r="V1078" t="n">
        <v>0.08699999999999999</v>
      </c>
      <c r="W1078" t="n">
        <v>2.27</v>
      </c>
      <c r="X1078" t="n">
        <v>83.72</v>
      </c>
      <c r="Y1078">
        <f>VLOOKUP(D1078,$AB$2:$AC$7,2,FALSE)</f>
        <v/>
      </c>
      <c r="Z1078">
        <f>IF(A1078&lt;Y1078,"Yes","No")</f>
        <v/>
      </c>
    </row>
    <row r="1079">
      <c r="A1079" t="n">
        <v>2013</v>
      </c>
      <c r="B1079" t="inlineStr">
        <is>
          <t>Q2</t>
        </is>
      </c>
      <c r="C1079" t="inlineStr">
        <is>
          <t>Europe</t>
        </is>
      </c>
      <c r="D1079" t="inlineStr">
        <is>
          <t>Semi</t>
        </is>
      </c>
      <c r="E1079" t="n">
        <v>850</v>
      </c>
      <c r="F1079" t="n">
        <v>84552.17999999999</v>
      </c>
      <c r="G1079" t="n">
        <v>19</v>
      </c>
      <c r="H1079" t="inlineStr">
        <is>
          <t>Standard</t>
        </is>
      </c>
      <c r="I1079" t="inlineStr">
        <is>
          <t>AWD</t>
        </is>
      </c>
      <c r="J1079" t="inlineStr">
        <is>
          <t>White</t>
        </is>
      </c>
      <c r="K1079" t="n">
        <v>587</v>
      </c>
      <c r="L1079" t="n">
        <v>72</v>
      </c>
      <c r="M1079" t="n">
        <v>23.41</v>
      </c>
      <c r="N1079" t="n">
        <v>699.67</v>
      </c>
      <c r="O1079" t="n">
        <v>4.9</v>
      </c>
      <c r="P1079" t="n">
        <v>4</v>
      </c>
      <c r="Q1079" t="n">
        <v>2</v>
      </c>
      <c r="R1079" t="n">
        <v>2020.2</v>
      </c>
      <c r="S1079" t="b">
        <v>1</v>
      </c>
      <c r="T1079" t="n">
        <v>4576309</v>
      </c>
      <c r="U1079" t="n">
        <v>9</v>
      </c>
      <c r="V1079" t="n">
        <v>0.0866</v>
      </c>
      <c r="W1079" t="n">
        <v>1.1</v>
      </c>
      <c r="X1079" t="n">
        <v>64.09999999999999</v>
      </c>
      <c r="Y1079">
        <f>VLOOKUP(D1079,$AB$2:$AC$7,2,FALSE)</f>
        <v/>
      </c>
      <c r="Z1079">
        <f>IF(A1079&lt;Y1079,"Yes","No")</f>
        <v/>
      </c>
    </row>
    <row r="1080">
      <c r="A1080" t="n">
        <v>2019</v>
      </c>
      <c r="B1080" t="inlineStr">
        <is>
          <t>Q1</t>
        </is>
      </c>
      <c r="C1080" t="inlineStr">
        <is>
          <t>South America</t>
        </is>
      </c>
      <c r="D1080" t="inlineStr">
        <is>
          <t>Model 3</t>
        </is>
      </c>
      <c r="E1080" t="n">
        <v>3622</v>
      </c>
      <c r="F1080" t="n">
        <v>75497.13</v>
      </c>
      <c r="G1080" t="n">
        <v>32</v>
      </c>
      <c r="H1080" t="inlineStr">
        <is>
          <t>Long Range</t>
        </is>
      </c>
      <c r="I1080" t="inlineStr">
        <is>
          <t>RWD</t>
        </is>
      </c>
      <c r="J1080" t="inlineStr">
        <is>
          <t>Blue</t>
        </is>
      </c>
      <c r="K1080" t="n">
        <v>500</v>
      </c>
      <c r="L1080" t="n">
        <v>85</v>
      </c>
      <c r="M1080" t="n">
        <v>18.14</v>
      </c>
      <c r="N1080" t="n">
        <v>6195.04</v>
      </c>
      <c r="O1080" t="n">
        <v>3.86</v>
      </c>
      <c r="P1080" t="n">
        <v>4</v>
      </c>
      <c r="Q1080" t="n">
        <v>0</v>
      </c>
      <c r="R1080" t="n">
        <v>2023.5</v>
      </c>
      <c r="S1080" t="b">
        <v>1</v>
      </c>
      <c r="T1080" t="n">
        <v>3278869</v>
      </c>
      <c r="U1080" t="n">
        <v>3</v>
      </c>
      <c r="V1080" t="n">
        <v>0.0804</v>
      </c>
      <c r="W1080" t="n">
        <v>2.5</v>
      </c>
      <c r="X1080" t="n">
        <v>65.08</v>
      </c>
      <c r="Y1080">
        <f>VLOOKUP(D1080,$AB$2:$AC$7,2,FALSE)</f>
        <v/>
      </c>
      <c r="Z1080">
        <f>IF(A1080&lt;Y1080,"Yes","No")</f>
        <v/>
      </c>
    </row>
    <row r="1081">
      <c r="A1081" t="n">
        <v>2022</v>
      </c>
      <c r="B1081" t="inlineStr">
        <is>
          <t>Q2</t>
        </is>
      </c>
      <c r="C1081" t="inlineStr">
        <is>
          <t>North America</t>
        </is>
      </c>
      <c r="D1081" t="inlineStr">
        <is>
          <t>Model X</t>
        </is>
      </c>
      <c r="E1081" t="n">
        <v>2376</v>
      </c>
      <c r="F1081" t="n">
        <v>109543.18</v>
      </c>
      <c r="G1081" t="n">
        <v>4</v>
      </c>
      <c r="H1081" t="inlineStr">
        <is>
          <t>Performance</t>
        </is>
      </c>
      <c r="I1081" t="inlineStr">
        <is>
          <t>AWD</t>
        </is>
      </c>
      <c r="J1081" t="inlineStr">
        <is>
          <t>Red</t>
        </is>
      </c>
      <c r="K1081" t="n">
        <v>521</v>
      </c>
      <c r="L1081" t="n">
        <v>43</v>
      </c>
      <c r="M1081" t="n">
        <v>16.98</v>
      </c>
      <c r="N1081" t="n">
        <v>3140.9</v>
      </c>
      <c r="O1081" t="n">
        <v>4.5</v>
      </c>
      <c r="P1081" t="n">
        <v>5</v>
      </c>
      <c r="Q1081" t="n">
        <v>3</v>
      </c>
      <c r="R1081" t="n">
        <v>2020.7</v>
      </c>
      <c r="S1081" t="b">
        <v>0</v>
      </c>
      <c r="T1081" t="n">
        <v>2988986</v>
      </c>
      <c r="U1081" t="n">
        <v>7</v>
      </c>
      <c r="V1081" t="n">
        <v>0.025</v>
      </c>
      <c r="W1081" t="n">
        <v>1.15</v>
      </c>
      <c r="X1081" t="n">
        <v>82.73</v>
      </c>
      <c r="Y1081">
        <f>VLOOKUP(D1081,$AB$2:$AC$7,2,FALSE)</f>
        <v/>
      </c>
      <c r="Z1081">
        <f>IF(A1081&lt;Y1081,"Yes","No")</f>
        <v/>
      </c>
    </row>
    <row r="1082">
      <c r="A1082" t="n">
        <v>2019</v>
      </c>
      <c r="B1082" t="inlineStr">
        <is>
          <t>Q3</t>
        </is>
      </c>
      <c r="C1082" t="inlineStr">
        <is>
          <t>North America</t>
        </is>
      </c>
      <c r="D1082" t="inlineStr">
        <is>
          <t>Model S</t>
        </is>
      </c>
      <c r="E1082" t="n">
        <v>1188</v>
      </c>
      <c r="F1082" t="n">
        <v>88804.71000000001</v>
      </c>
      <c r="G1082" t="n">
        <v>18</v>
      </c>
      <c r="H1082" t="inlineStr">
        <is>
          <t>Long Range</t>
        </is>
      </c>
      <c r="I1082" t="inlineStr">
        <is>
          <t>AWD</t>
        </is>
      </c>
      <c r="J1082" t="inlineStr">
        <is>
          <t>Green</t>
        </is>
      </c>
      <c r="K1082" t="n">
        <v>588</v>
      </c>
      <c r="L1082" t="n">
        <v>67</v>
      </c>
      <c r="M1082" t="n">
        <v>19.51</v>
      </c>
      <c r="N1082" t="n">
        <v>2268.57</v>
      </c>
      <c r="O1082" t="n">
        <v>3.91</v>
      </c>
      <c r="P1082" t="n">
        <v>6</v>
      </c>
      <c r="Q1082" t="n">
        <v>3</v>
      </c>
      <c r="R1082" t="n">
        <v>2023.1</v>
      </c>
      <c r="S1082" t="b">
        <v>0</v>
      </c>
      <c r="T1082" t="n">
        <v>4350369</v>
      </c>
      <c r="U1082" t="n">
        <v>11</v>
      </c>
      <c r="V1082" t="n">
        <v>0.0984</v>
      </c>
      <c r="W1082" t="n">
        <v>1.7</v>
      </c>
      <c r="X1082" t="n">
        <v>89.43000000000001</v>
      </c>
      <c r="Y1082">
        <f>VLOOKUP(D1082,$AB$2:$AC$7,2,FALSE)</f>
        <v/>
      </c>
      <c r="Z1082">
        <f>IF(A1082&lt;Y1082,"Yes","No")</f>
        <v/>
      </c>
    </row>
    <row r="1083">
      <c r="A1083" t="n">
        <v>2012</v>
      </c>
      <c r="B1083" t="inlineStr">
        <is>
          <t>Q3</t>
        </is>
      </c>
      <c r="C1083" t="inlineStr">
        <is>
          <t>North America</t>
        </is>
      </c>
      <c r="D1083" t="inlineStr">
        <is>
          <t>Cybertruck</t>
        </is>
      </c>
      <c r="E1083" t="n">
        <v>2841</v>
      </c>
      <c r="F1083" t="n">
        <v>71778.3</v>
      </c>
      <c r="G1083" t="n">
        <v>22</v>
      </c>
      <c r="H1083" t="inlineStr">
        <is>
          <t>Performance</t>
        </is>
      </c>
      <c r="I1083" t="inlineStr">
        <is>
          <t>RWD</t>
        </is>
      </c>
      <c r="J1083" t="inlineStr">
        <is>
          <t>Black</t>
        </is>
      </c>
      <c r="K1083" t="n">
        <v>537</v>
      </c>
      <c r="L1083" t="n">
        <v>53</v>
      </c>
      <c r="M1083" t="n">
        <v>22.34</v>
      </c>
      <c r="N1083" t="n">
        <v>3103.76</v>
      </c>
      <c r="O1083" t="n">
        <v>3.72</v>
      </c>
      <c r="P1083" t="n">
        <v>5</v>
      </c>
      <c r="Q1083" t="n">
        <v>3</v>
      </c>
      <c r="R1083" t="n">
        <v>2020.8</v>
      </c>
      <c r="S1083" t="b">
        <v>1</v>
      </c>
      <c r="T1083" t="n">
        <v>3369177</v>
      </c>
      <c r="U1083" t="n">
        <v>8</v>
      </c>
      <c r="V1083" t="n">
        <v>0.022</v>
      </c>
      <c r="W1083" t="n">
        <v>1.81</v>
      </c>
      <c r="X1083" t="n">
        <v>72.15000000000001</v>
      </c>
      <c r="Y1083">
        <f>VLOOKUP(D1083,$AB$2:$AC$7,2,FALSE)</f>
        <v/>
      </c>
      <c r="Z1083">
        <f>IF(A1083&lt;Y1083,"Yes","No")</f>
        <v/>
      </c>
    </row>
    <row r="1084">
      <c r="A1084" t="n">
        <v>2012</v>
      </c>
      <c r="B1084" t="inlineStr">
        <is>
          <t>Q3</t>
        </is>
      </c>
      <c r="C1084" t="inlineStr">
        <is>
          <t>Australia</t>
        </is>
      </c>
      <c r="D1084" t="inlineStr">
        <is>
          <t>Model S</t>
        </is>
      </c>
      <c r="E1084" t="n">
        <v>3952</v>
      </c>
      <c r="F1084" t="n">
        <v>36917.2</v>
      </c>
      <c r="G1084" t="n">
        <v>2</v>
      </c>
      <c r="H1084" t="inlineStr">
        <is>
          <t>Standard</t>
        </is>
      </c>
      <c r="I1084" t="inlineStr">
        <is>
          <t>RWD</t>
        </is>
      </c>
      <c r="J1084" t="inlineStr">
        <is>
          <t>Green</t>
        </is>
      </c>
      <c r="K1084" t="n">
        <v>490</v>
      </c>
      <c r="L1084" t="n">
        <v>37</v>
      </c>
      <c r="M1084" t="n">
        <v>23.07</v>
      </c>
      <c r="N1084" t="n">
        <v>2016.26</v>
      </c>
      <c r="O1084" t="n">
        <v>4.73</v>
      </c>
      <c r="P1084" t="n">
        <v>8</v>
      </c>
      <c r="Q1084" t="n">
        <v>1</v>
      </c>
      <c r="R1084" t="n">
        <v>2022.1</v>
      </c>
      <c r="S1084" t="b">
        <v>0</v>
      </c>
      <c r="T1084" t="n">
        <v>960733</v>
      </c>
      <c r="U1084" t="n">
        <v>2</v>
      </c>
      <c r="V1084" t="n">
        <v>0.0103</v>
      </c>
      <c r="W1084" t="n">
        <v>1.78</v>
      </c>
      <c r="X1084" t="n">
        <v>84.38</v>
      </c>
      <c r="Y1084">
        <f>VLOOKUP(D1084,$AB$2:$AC$7,2,FALSE)</f>
        <v/>
      </c>
      <c r="Z1084">
        <f>IF(A1084&lt;Y1084,"Yes","No")</f>
        <v/>
      </c>
    </row>
    <row r="1085">
      <c r="A1085" t="n">
        <v>2018</v>
      </c>
      <c r="B1085" t="inlineStr">
        <is>
          <t>Q1</t>
        </is>
      </c>
      <c r="C1085" t="inlineStr">
        <is>
          <t>Asia</t>
        </is>
      </c>
      <c r="D1085" t="inlineStr">
        <is>
          <t>Model S</t>
        </is>
      </c>
      <c r="E1085" t="n">
        <v>4030</v>
      </c>
      <c r="F1085" t="n">
        <v>46523.93</v>
      </c>
      <c r="G1085" t="n">
        <v>9</v>
      </c>
      <c r="H1085" t="inlineStr">
        <is>
          <t>Standard</t>
        </is>
      </c>
      <c r="I1085" t="inlineStr">
        <is>
          <t>RWD</t>
        </is>
      </c>
      <c r="J1085" t="inlineStr">
        <is>
          <t>Blue</t>
        </is>
      </c>
      <c r="K1085" t="n">
        <v>436</v>
      </c>
      <c r="L1085" t="n">
        <v>42</v>
      </c>
      <c r="M1085" t="n">
        <v>19.02</v>
      </c>
      <c r="N1085" t="n">
        <v>2912.24</v>
      </c>
      <c r="O1085" t="n">
        <v>4.03</v>
      </c>
      <c r="P1085" t="n">
        <v>5</v>
      </c>
      <c r="Q1085" t="n">
        <v>1</v>
      </c>
      <c r="R1085" t="n">
        <v>2021.3</v>
      </c>
      <c r="S1085" t="b">
        <v>1</v>
      </c>
      <c r="T1085" t="n">
        <v>1618181</v>
      </c>
      <c r="U1085" t="n">
        <v>4</v>
      </c>
      <c r="V1085" t="n">
        <v>0.06</v>
      </c>
      <c r="W1085" t="n">
        <v>1.07</v>
      </c>
      <c r="X1085" t="n">
        <v>76.08</v>
      </c>
      <c r="Y1085">
        <f>VLOOKUP(D1085,$AB$2:$AC$7,2,FALSE)</f>
        <v/>
      </c>
      <c r="Z1085">
        <f>IF(A1085&lt;Y1085,"Yes","No")</f>
        <v/>
      </c>
    </row>
    <row r="1086">
      <c r="A1086" t="n">
        <v>2019</v>
      </c>
      <c r="B1086" t="inlineStr">
        <is>
          <t>Q3</t>
        </is>
      </c>
      <c r="C1086" t="inlineStr">
        <is>
          <t>Europe</t>
        </is>
      </c>
      <c r="D1086" t="inlineStr">
        <is>
          <t>Cybertruck</t>
        </is>
      </c>
      <c r="E1086" t="n">
        <v>1627</v>
      </c>
      <c r="F1086" t="n">
        <v>65422.85</v>
      </c>
      <c r="G1086" t="n">
        <v>38</v>
      </c>
      <c r="H1086" t="inlineStr">
        <is>
          <t>Performance</t>
        </is>
      </c>
      <c r="I1086" t="inlineStr">
        <is>
          <t>RWD</t>
        </is>
      </c>
      <c r="J1086" t="inlineStr">
        <is>
          <t>Red</t>
        </is>
      </c>
      <c r="K1086" t="n">
        <v>350</v>
      </c>
      <c r="L1086" t="n">
        <v>47</v>
      </c>
      <c r="M1086" t="n">
        <v>14.11</v>
      </c>
      <c r="N1086" t="n">
        <v>3176.85</v>
      </c>
      <c r="O1086" t="n">
        <v>4.33</v>
      </c>
      <c r="P1086" t="n">
        <v>8</v>
      </c>
      <c r="Q1086" t="n">
        <v>0</v>
      </c>
      <c r="R1086" t="n">
        <v>2021.6</v>
      </c>
      <c r="S1086" t="b">
        <v>1</v>
      </c>
      <c r="T1086" t="n">
        <v>1068558</v>
      </c>
      <c r="U1086" t="n">
        <v>5</v>
      </c>
      <c r="V1086" t="n">
        <v>0.0412</v>
      </c>
      <c r="W1086" t="n">
        <v>0.5600000000000001</v>
      </c>
      <c r="X1086" t="n">
        <v>85.59</v>
      </c>
      <c r="Y1086">
        <f>VLOOKUP(D1086,$AB$2:$AC$7,2,FALSE)</f>
        <v/>
      </c>
      <c r="Z1086">
        <f>IF(A1086&lt;Y1086,"Yes","No")</f>
        <v/>
      </c>
    </row>
    <row r="1087">
      <c r="A1087" t="n">
        <v>2024</v>
      </c>
      <c r="B1087" t="inlineStr">
        <is>
          <t>Q3</t>
        </is>
      </c>
      <c r="C1087" t="inlineStr">
        <is>
          <t>Europe</t>
        </is>
      </c>
      <c r="D1087" t="inlineStr">
        <is>
          <t>Model X</t>
        </is>
      </c>
      <c r="E1087" t="n">
        <v>3679</v>
      </c>
      <c r="F1087" t="n">
        <v>113849.87</v>
      </c>
      <c r="G1087" t="n">
        <v>10</v>
      </c>
      <c r="H1087" t="inlineStr">
        <is>
          <t>Performance</t>
        </is>
      </c>
      <c r="I1087" t="inlineStr">
        <is>
          <t>AWD</t>
        </is>
      </c>
      <c r="J1087" t="inlineStr">
        <is>
          <t>Red</t>
        </is>
      </c>
      <c r="K1087" t="n">
        <v>573</v>
      </c>
      <c r="L1087" t="n">
        <v>48</v>
      </c>
      <c r="M1087" t="n">
        <v>14.41</v>
      </c>
      <c r="N1087" t="n">
        <v>6991.64</v>
      </c>
      <c r="O1087" t="n">
        <v>4.5</v>
      </c>
      <c r="P1087" t="n">
        <v>8</v>
      </c>
      <c r="Q1087" t="n">
        <v>0</v>
      </c>
      <c r="R1087" t="n">
        <v>2024.8</v>
      </c>
      <c r="S1087" t="b">
        <v>1</v>
      </c>
      <c r="T1087" t="n">
        <v>345036</v>
      </c>
      <c r="U1087" t="n">
        <v>4</v>
      </c>
      <c r="V1087" t="n">
        <v>0.0934</v>
      </c>
      <c r="W1087" t="n">
        <v>0.53</v>
      </c>
      <c r="X1087" t="n">
        <v>62.18</v>
      </c>
      <c r="Y1087">
        <f>VLOOKUP(D1087,$AB$2:$AC$7,2,FALSE)</f>
        <v/>
      </c>
      <c r="Z1087">
        <f>IF(A1087&lt;Y1087,"Yes","No")</f>
        <v/>
      </c>
    </row>
    <row r="1088">
      <c r="A1088" t="n">
        <v>2016</v>
      </c>
      <c r="B1088" t="inlineStr">
        <is>
          <t>Q1</t>
        </is>
      </c>
      <c r="C1088" t="inlineStr">
        <is>
          <t>South America</t>
        </is>
      </c>
      <c r="D1088" t="inlineStr">
        <is>
          <t>Model X</t>
        </is>
      </c>
      <c r="E1088" t="n">
        <v>2748</v>
      </c>
      <c r="F1088" t="n">
        <v>55619.71</v>
      </c>
      <c r="G1088" t="n">
        <v>4</v>
      </c>
      <c r="H1088" t="inlineStr">
        <is>
          <t>Performance</t>
        </is>
      </c>
      <c r="I1088" t="inlineStr">
        <is>
          <t>RWD</t>
        </is>
      </c>
      <c r="J1088" t="inlineStr">
        <is>
          <t>Black</t>
        </is>
      </c>
      <c r="K1088" t="n">
        <v>611</v>
      </c>
      <c r="L1088" t="n">
        <v>78</v>
      </c>
      <c r="M1088" t="n">
        <v>23.88</v>
      </c>
      <c r="N1088" t="n">
        <v>6484.37</v>
      </c>
      <c r="O1088" t="n">
        <v>3.89</v>
      </c>
      <c r="P1088" t="n">
        <v>8</v>
      </c>
      <c r="Q1088" t="n">
        <v>3</v>
      </c>
      <c r="R1088" t="n">
        <v>2023.5</v>
      </c>
      <c r="S1088" t="b">
        <v>1</v>
      </c>
      <c r="T1088" t="n">
        <v>4718790</v>
      </c>
      <c r="U1088" t="n">
        <v>2</v>
      </c>
      <c r="V1088" t="n">
        <v>0.0258</v>
      </c>
      <c r="W1088" t="n">
        <v>1.78</v>
      </c>
      <c r="X1088" t="n">
        <v>80.22</v>
      </c>
      <c r="Y1088">
        <f>VLOOKUP(D1088,$AB$2:$AC$7,2,FALSE)</f>
        <v/>
      </c>
      <c r="Z1088">
        <f>IF(A1088&lt;Y1088,"Yes","No")</f>
        <v/>
      </c>
    </row>
    <row r="1089">
      <c r="A1089" t="n">
        <v>2021</v>
      </c>
      <c r="B1089" t="inlineStr">
        <is>
          <t>Q2</t>
        </is>
      </c>
      <c r="C1089" t="inlineStr">
        <is>
          <t>North America</t>
        </is>
      </c>
      <c r="D1089" t="inlineStr">
        <is>
          <t>Model Y</t>
        </is>
      </c>
      <c r="E1089" t="n">
        <v>1868</v>
      </c>
      <c r="F1089" t="n">
        <v>99260.74000000001</v>
      </c>
      <c r="G1089" t="n">
        <v>31</v>
      </c>
      <c r="H1089" t="inlineStr">
        <is>
          <t>Performance</t>
        </is>
      </c>
      <c r="I1089" t="inlineStr">
        <is>
          <t>AWD</t>
        </is>
      </c>
      <c r="J1089" t="inlineStr">
        <is>
          <t>Green</t>
        </is>
      </c>
      <c r="K1089" t="n">
        <v>466</v>
      </c>
      <c r="L1089" t="n">
        <v>59</v>
      </c>
      <c r="M1089" t="n">
        <v>19.7</v>
      </c>
      <c r="N1089" t="n">
        <v>3822.33</v>
      </c>
      <c r="O1089" t="n">
        <v>4.5</v>
      </c>
      <c r="P1089" t="n">
        <v>4</v>
      </c>
      <c r="Q1089" t="n">
        <v>1</v>
      </c>
      <c r="R1089" t="n">
        <v>2024.12</v>
      </c>
      <c r="S1089" t="b">
        <v>0</v>
      </c>
      <c r="T1089" t="n">
        <v>2202025</v>
      </c>
      <c r="U1089" t="n">
        <v>5</v>
      </c>
      <c r="V1089" t="n">
        <v>0.08400000000000001</v>
      </c>
      <c r="W1089" t="n">
        <v>1.3</v>
      </c>
      <c r="X1089" t="n">
        <v>77.27</v>
      </c>
      <c r="Y1089">
        <f>VLOOKUP(D1089,$AB$2:$AC$7,2,FALSE)</f>
        <v/>
      </c>
      <c r="Z1089">
        <f>IF(A1089&lt;Y1089,"Yes","No")</f>
        <v/>
      </c>
    </row>
    <row r="1090">
      <c r="A1090" t="n">
        <v>2017</v>
      </c>
      <c r="B1090" t="inlineStr">
        <is>
          <t>Q3</t>
        </is>
      </c>
      <c r="C1090" t="inlineStr">
        <is>
          <t>South America</t>
        </is>
      </c>
      <c r="D1090" t="inlineStr">
        <is>
          <t>Model X</t>
        </is>
      </c>
      <c r="E1090" t="n">
        <v>2871</v>
      </c>
      <c r="F1090" t="n">
        <v>112772.16</v>
      </c>
      <c r="G1090" t="n">
        <v>50</v>
      </c>
      <c r="H1090" t="inlineStr">
        <is>
          <t>Long Range</t>
        </is>
      </c>
      <c r="I1090" t="inlineStr">
        <is>
          <t>RWD</t>
        </is>
      </c>
      <c r="J1090" t="inlineStr">
        <is>
          <t>Green</t>
        </is>
      </c>
      <c r="K1090" t="n">
        <v>360</v>
      </c>
      <c r="L1090" t="n">
        <v>64</v>
      </c>
      <c r="M1090" t="n">
        <v>22.11</v>
      </c>
      <c r="N1090" t="n">
        <v>2506.8</v>
      </c>
      <c r="O1090" t="n">
        <v>4.84</v>
      </c>
      <c r="P1090" t="n">
        <v>4</v>
      </c>
      <c r="Q1090" t="n">
        <v>3</v>
      </c>
      <c r="R1090" t="n">
        <v>2024.7</v>
      </c>
      <c r="S1090" t="b">
        <v>1</v>
      </c>
      <c r="T1090" t="n">
        <v>2600118</v>
      </c>
      <c r="U1090" t="n">
        <v>7</v>
      </c>
      <c r="V1090" t="n">
        <v>0.09039999999999999</v>
      </c>
      <c r="W1090" t="n">
        <v>1.54</v>
      </c>
      <c r="X1090" t="n">
        <v>84.03</v>
      </c>
      <c r="Y1090">
        <f>VLOOKUP(D1090,$AB$2:$AC$7,2,FALSE)</f>
        <v/>
      </c>
      <c r="Z1090">
        <f>IF(A1090&lt;Y1090,"Yes","No")</f>
        <v/>
      </c>
    </row>
    <row r="1091">
      <c r="A1091" t="n">
        <v>2018</v>
      </c>
      <c r="B1091" t="inlineStr">
        <is>
          <t>Q1</t>
        </is>
      </c>
      <c r="C1091" t="inlineStr">
        <is>
          <t>Australia</t>
        </is>
      </c>
      <c r="D1091" t="inlineStr">
        <is>
          <t>Model S</t>
        </is>
      </c>
      <c r="E1091" t="n">
        <v>447</v>
      </c>
      <c r="F1091" t="n">
        <v>68023.12</v>
      </c>
      <c r="G1091" t="n">
        <v>26</v>
      </c>
      <c r="H1091" t="inlineStr">
        <is>
          <t>Long Range</t>
        </is>
      </c>
      <c r="I1091" t="inlineStr">
        <is>
          <t>AWD</t>
        </is>
      </c>
      <c r="J1091" t="inlineStr">
        <is>
          <t>Black</t>
        </is>
      </c>
      <c r="K1091" t="n">
        <v>581</v>
      </c>
      <c r="L1091" t="n">
        <v>78</v>
      </c>
      <c r="M1091" t="n">
        <v>16.28</v>
      </c>
      <c r="N1091" t="n">
        <v>620.48</v>
      </c>
      <c r="O1091" t="n">
        <v>3.56</v>
      </c>
      <c r="P1091" t="n">
        <v>8</v>
      </c>
      <c r="Q1091" t="n">
        <v>2</v>
      </c>
      <c r="R1091" t="n">
        <v>2021.8</v>
      </c>
      <c r="S1091" t="b">
        <v>0</v>
      </c>
      <c r="T1091" t="n">
        <v>882098</v>
      </c>
      <c r="U1091" t="n">
        <v>5</v>
      </c>
      <c r="V1091" t="n">
        <v>0.0476</v>
      </c>
      <c r="W1091" t="n">
        <v>1.62</v>
      </c>
      <c r="X1091" t="n">
        <v>68.97</v>
      </c>
      <c r="Y1091">
        <f>VLOOKUP(D1091,$AB$2:$AC$7,2,FALSE)</f>
        <v/>
      </c>
      <c r="Z1091">
        <f>IF(A1091&lt;Y1091,"Yes","No")</f>
        <v/>
      </c>
    </row>
    <row r="1092">
      <c r="A1092" t="n">
        <v>2020</v>
      </c>
      <c r="B1092" t="inlineStr">
        <is>
          <t>Q1</t>
        </is>
      </c>
      <c r="C1092" t="inlineStr">
        <is>
          <t>Europe</t>
        </is>
      </c>
      <c r="D1092" t="inlineStr">
        <is>
          <t>Model X</t>
        </is>
      </c>
      <c r="E1092" t="n">
        <v>1851</v>
      </c>
      <c r="F1092" t="n">
        <v>88976.55</v>
      </c>
      <c r="G1092" t="n">
        <v>32</v>
      </c>
      <c r="H1092" t="inlineStr">
        <is>
          <t>Long Range</t>
        </is>
      </c>
      <c r="I1092" t="inlineStr">
        <is>
          <t>AWD</t>
        </is>
      </c>
      <c r="J1092" t="inlineStr">
        <is>
          <t>Blue</t>
        </is>
      </c>
      <c r="K1092" t="n">
        <v>554</v>
      </c>
      <c r="L1092" t="n">
        <v>69</v>
      </c>
      <c r="M1092" t="n">
        <v>20.37</v>
      </c>
      <c r="N1092" t="n">
        <v>3295.33</v>
      </c>
      <c r="O1092" t="n">
        <v>4.77</v>
      </c>
      <c r="P1092" t="n">
        <v>6</v>
      </c>
      <c r="Q1092" t="n">
        <v>2</v>
      </c>
      <c r="R1092" t="n">
        <v>2022.8</v>
      </c>
      <c r="S1092" t="b">
        <v>0</v>
      </c>
      <c r="T1092" t="n">
        <v>1612885</v>
      </c>
      <c r="U1092" t="n">
        <v>7</v>
      </c>
      <c r="V1092" t="n">
        <v>0.0822</v>
      </c>
      <c r="W1092" t="n">
        <v>2.12</v>
      </c>
      <c r="X1092" t="n">
        <v>75.95</v>
      </c>
      <c r="Y1092">
        <f>VLOOKUP(D1092,$AB$2:$AC$7,2,FALSE)</f>
        <v/>
      </c>
      <c r="Z1092">
        <f>IF(A1092&lt;Y1092,"Yes","No")</f>
        <v/>
      </c>
    </row>
    <row r="1093">
      <c r="A1093" t="n">
        <v>2022</v>
      </c>
      <c r="B1093" t="inlineStr">
        <is>
          <t>Q2</t>
        </is>
      </c>
      <c r="C1093" t="inlineStr">
        <is>
          <t>Europe</t>
        </is>
      </c>
      <c r="D1093" t="inlineStr">
        <is>
          <t>Semi</t>
        </is>
      </c>
      <c r="E1093" t="n">
        <v>1203</v>
      </c>
      <c r="F1093" t="n">
        <v>111581.1</v>
      </c>
      <c r="G1093" t="n">
        <v>11</v>
      </c>
      <c r="H1093" t="inlineStr">
        <is>
          <t>Standard</t>
        </is>
      </c>
      <c r="I1093" t="inlineStr">
        <is>
          <t>RWD</t>
        </is>
      </c>
      <c r="J1093" t="inlineStr">
        <is>
          <t>Silver</t>
        </is>
      </c>
      <c r="K1093" t="n">
        <v>352</v>
      </c>
      <c r="L1093" t="n">
        <v>79</v>
      </c>
      <c r="M1093" t="n">
        <v>13.38</v>
      </c>
      <c r="N1093" t="n">
        <v>794.02</v>
      </c>
      <c r="O1093" t="n">
        <v>4.56</v>
      </c>
      <c r="P1093" t="n">
        <v>6</v>
      </c>
      <c r="Q1093" t="n">
        <v>0</v>
      </c>
      <c r="R1093" t="n">
        <v>2022.6</v>
      </c>
      <c r="S1093" t="b">
        <v>1</v>
      </c>
      <c r="T1093" t="n">
        <v>3441352</v>
      </c>
      <c r="U1093" t="n">
        <v>11</v>
      </c>
      <c r="V1093" t="n">
        <v>0.0197</v>
      </c>
      <c r="W1093" t="n">
        <v>1.57</v>
      </c>
      <c r="X1093" t="n">
        <v>69.45999999999999</v>
      </c>
      <c r="Y1093">
        <f>VLOOKUP(D1093,$AB$2:$AC$7,2,FALSE)</f>
        <v/>
      </c>
      <c r="Z1093">
        <f>IF(A1093&lt;Y1093,"Yes","No")</f>
        <v/>
      </c>
    </row>
    <row r="1094">
      <c r="A1094" t="n">
        <v>2016</v>
      </c>
      <c r="B1094" t="inlineStr">
        <is>
          <t>Q1</t>
        </is>
      </c>
      <c r="C1094" t="inlineStr">
        <is>
          <t>Australia</t>
        </is>
      </c>
      <c r="D1094" t="inlineStr">
        <is>
          <t>Model 3</t>
        </is>
      </c>
      <c r="E1094" t="n">
        <v>4137</v>
      </c>
      <c r="F1094" t="n">
        <v>82863.47</v>
      </c>
      <c r="G1094" t="n">
        <v>24</v>
      </c>
      <c r="H1094" t="inlineStr">
        <is>
          <t>Standard</t>
        </is>
      </c>
      <c r="I1094" t="inlineStr">
        <is>
          <t>AWD</t>
        </is>
      </c>
      <c r="J1094" t="inlineStr">
        <is>
          <t>White</t>
        </is>
      </c>
      <c r="K1094" t="n">
        <v>434</v>
      </c>
      <c r="L1094" t="n">
        <v>53</v>
      </c>
      <c r="M1094" t="n">
        <v>18.43</v>
      </c>
      <c r="N1094" t="n">
        <v>4047.33</v>
      </c>
      <c r="O1094" t="n">
        <v>4.64</v>
      </c>
      <c r="P1094" t="n">
        <v>5</v>
      </c>
      <c r="Q1094" t="n">
        <v>1</v>
      </c>
      <c r="R1094" t="n">
        <v>2024.6</v>
      </c>
      <c r="S1094" t="b">
        <v>0</v>
      </c>
      <c r="T1094" t="n">
        <v>3110137</v>
      </c>
      <c r="U1094" t="n">
        <v>4</v>
      </c>
      <c r="V1094" t="n">
        <v>0.09379999999999999</v>
      </c>
      <c r="W1094" t="n">
        <v>2.2</v>
      </c>
      <c r="X1094" t="n">
        <v>69.66</v>
      </c>
      <c r="Y1094">
        <f>VLOOKUP(D1094,$AB$2:$AC$7,2,FALSE)</f>
        <v/>
      </c>
      <c r="Z1094">
        <f>IF(A1094&lt;Y1094,"Yes","No")</f>
        <v/>
      </c>
    </row>
    <row r="1095">
      <c r="A1095" t="n">
        <v>2020</v>
      </c>
      <c r="B1095" t="inlineStr">
        <is>
          <t>Q2</t>
        </is>
      </c>
      <c r="C1095" t="inlineStr">
        <is>
          <t>South America</t>
        </is>
      </c>
      <c r="D1095" t="inlineStr">
        <is>
          <t>Model Y</t>
        </is>
      </c>
      <c r="E1095" t="n">
        <v>1904</v>
      </c>
      <c r="F1095" t="n">
        <v>38917.66</v>
      </c>
      <c r="G1095" t="n">
        <v>1</v>
      </c>
      <c r="H1095" t="inlineStr">
        <is>
          <t>Standard</t>
        </is>
      </c>
      <c r="I1095" t="inlineStr">
        <is>
          <t>RWD</t>
        </is>
      </c>
      <c r="J1095" t="inlineStr">
        <is>
          <t>Blue</t>
        </is>
      </c>
      <c r="K1095" t="n">
        <v>444</v>
      </c>
      <c r="L1095" t="n">
        <v>87</v>
      </c>
      <c r="M1095" t="n">
        <v>23.58</v>
      </c>
      <c r="N1095" t="n">
        <v>3302.44</v>
      </c>
      <c r="O1095" t="n">
        <v>3.64</v>
      </c>
      <c r="P1095" t="n">
        <v>5</v>
      </c>
      <c r="Q1095" t="n">
        <v>0</v>
      </c>
      <c r="R1095" t="n">
        <v>2023.5</v>
      </c>
      <c r="S1095" t="b">
        <v>1</v>
      </c>
      <c r="T1095" t="n">
        <v>1264628</v>
      </c>
      <c r="U1095" t="n">
        <v>4</v>
      </c>
      <c r="V1095" t="n">
        <v>0.0124</v>
      </c>
      <c r="W1095" t="n">
        <v>0.67</v>
      </c>
      <c r="X1095" t="n">
        <v>73.92</v>
      </c>
      <c r="Y1095">
        <f>VLOOKUP(D1095,$AB$2:$AC$7,2,FALSE)</f>
        <v/>
      </c>
      <c r="Z1095">
        <f>IF(A1095&lt;Y1095,"Yes","No")</f>
        <v/>
      </c>
    </row>
    <row r="1096">
      <c r="A1096" t="n">
        <v>2024</v>
      </c>
      <c r="B1096" t="inlineStr">
        <is>
          <t>Q2</t>
        </is>
      </c>
      <c r="C1096" t="inlineStr">
        <is>
          <t>North America</t>
        </is>
      </c>
      <c r="D1096" t="inlineStr">
        <is>
          <t>Model X</t>
        </is>
      </c>
      <c r="E1096" t="n">
        <v>2022</v>
      </c>
      <c r="F1096" t="n">
        <v>85178.92</v>
      </c>
      <c r="G1096" t="n">
        <v>57</v>
      </c>
      <c r="H1096" t="inlineStr">
        <is>
          <t>Long Range</t>
        </is>
      </c>
      <c r="I1096" t="inlineStr">
        <is>
          <t>RWD</t>
        </is>
      </c>
      <c r="J1096" t="inlineStr">
        <is>
          <t>Silver</t>
        </is>
      </c>
      <c r="K1096" t="n">
        <v>457</v>
      </c>
      <c r="L1096" t="n">
        <v>60</v>
      </c>
      <c r="M1096" t="n">
        <v>23.3</v>
      </c>
      <c r="N1096" t="n">
        <v>4384.56</v>
      </c>
      <c r="O1096" t="n">
        <v>4.09</v>
      </c>
      <c r="P1096" t="n">
        <v>5</v>
      </c>
      <c r="Q1096" t="n">
        <v>2</v>
      </c>
      <c r="R1096" t="n">
        <v>2020.4</v>
      </c>
      <c r="S1096" t="b">
        <v>1</v>
      </c>
      <c r="T1096" t="n">
        <v>2034648</v>
      </c>
      <c r="U1096" t="n">
        <v>11</v>
      </c>
      <c r="V1096" t="n">
        <v>0.0241</v>
      </c>
      <c r="W1096" t="n">
        <v>0.59</v>
      </c>
      <c r="X1096" t="n">
        <v>75.95</v>
      </c>
      <c r="Y1096">
        <f>VLOOKUP(D1096,$AB$2:$AC$7,2,FALSE)</f>
        <v/>
      </c>
      <c r="Z1096">
        <f>IF(A1096&lt;Y1096,"Yes","No")</f>
        <v/>
      </c>
    </row>
    <row r="1097">
      <c r="A1097" t="n">
        <v>2017</v>
      </c>
      <c r="B1097" t="inlineStr">
        <is>
          <t>Q1</t>
        </is>
      </c>
      <c r="C1097" t="inlineStr">
        <is>
          <t>Europe</t>
        </is>
      </c>
      <c r="D1097" t="inlineStr">
        <is>
          <t>Model 3</t>
        </is>
      </c>
      <c r="E1097" t="n">
        <v>419</v>
      </c>
      <c r="F1097" t="n">
        <v>70528.88</v>
      </c>
      <c r="G1097" t="n">
        <v>42</v>
      </c>
      <c r="H1097" t="inlineStr">
        <is>
          <t>Performance</t>
        </is>
      </c>
      <c r="I1097" t="inlineStr">
        <is>
          <t>AWD</t>
        </is>
      </c>
      <c r="J1097" t="inlineStr">
        <is>
          <t>Red</t>
        </is>
      </c>
      <c r="K1097" t="n">
        <v>645</v>
      </c>
      <c r="L1097" t="n">
        <v>45</v>
      </c>
      <c r="M1097" t="n">
        <v>20.72</v>
      </c>
      <c r="N1097" t="n">
        <v>386.86</v>
      </c>
      <c r="O1097" t="n">
        <v>4.43</v>
      </c>
      <c r="P1097" t="n">
        <v>8</v>
      </c>
      <c r="Q1097" t="n">
        <v>3</v>
      </c>
      <c r="R1097" t="n">
        <v>2020.1</v>
      </c>
      <c r="S1097" t="b">
        <v>1</v>
      </c>
      <c r="T1097" t="n">
        <v>117294</v>
      </c>
      <c r="U1097" t="n">
        <v>2</v>
      </c>
      <c r="V1097" t="n">
        <v>0.0682</v>
      </c>
      <c r="W1097" t="n">
        <v>0.87</v>
      </c>
      <c r="X1097" t="n">
        <v>77.45</v>
      </c>
      <c r="Y1097">
        <f>VLOOKUP(D1097,$AB$2:$AC$7,2,FALSE)</f>
        <v/>
      </c>
      <c r="Z1097">
        <f>IF(A1097&lt;Y1097,"Yes","No")</f>
        <v/>
      </c>
    </row>
    <row r="1098">
      <c r="A1098" t="n">
        <v>2017</v>
      </c>
      <c r="B1098" t="inlineStr">
        <is>
          <t>Q4</t>
        </is>
      </c>
      <c r="C1098" t="inlineStr">
        <is>
          <t>North America</t>
        </is>
      </c>
      <c r="D1098" t="inlineStr">
        <is>
          <t>Model Y</t>
        </is>
      </c>
      <c r="E1098" t="n">
        <v>1247</v>
      </c>
      <c r="F1098" t="n">
        <v>50657.5</v>
      </c>
      <c r="G1098" t="n">
        <v>21</v>
      </c>
      <c r="H1098" t="inlineStr">
        <is>
          <t>Long Range</t>
        </is>
      </c>
      <c r="I1098" t="inlineStr">
        <is>
          <t>RWD</t>
        </is>
      </c>
      <c r="J1098" t="inlineStr">
        <is>
          <t>Green</t>
        </is>
      </c>
      <c r="K1098" t="n">
        <v>602</v>
      </c>
      <c r="L1098" t="n">
        <v>34</v>
      </c>
      <c r="M1098" t="n">
        <v>19.17</v>
      </c>
      <c r="N1098" t="n">
        <v>1542.45</v>
      </c>
      <c r="O1098" t="n">
        <v>4.95</v>
      </c>
      <c r="P1098" t="n">
        <v>6</v>
      </c>
      <c r="Q1098" t="n">
        <v>0</v>
      </c>
      <c r="R1098" t="n">
        <v>2023.1</v>
      </c>
      <c r="S1098" t="b">
        <v>1</v>
      </c>
      <c r="T1098" t="n">
        <v>2003412</v>
      </c>
      <c r="U1098" t="n">
        <v>2</v>
      </c>
      <c r="V1098" t="n">
        <v>0.0357</v>
      </c>
      <c r="W1098" t="n">
        <v>2.06</v>
      </c>
      <c r="X1098" t="n">
        <v>81.81</v>
      </c>
      <c r="Y1098">
        <f>VLOOKUP(D1098,$AB$2:$AC$7,2,FALSE)</f>
        <v/>
      </c>
      <c r="Z1098">
        <f>IF(A1098&lt;Y1098,"Yes","No")</f>
        <v/>
      </c>
    </row>
    <row r="1099">
      <c r="A1099" t="n">
        <v>2015</v>
      </c>
      <c r="B1099" t="inlineStr">
        <is>
          <t>Q2</t>
        </is>
      </c>
      <c r="C1099" t="inlineStr">
        <is>
          <t>Europe</t>
        </is>
      </c>
      <c r="D1099" t="inlineStr">
        <is>
          <t>Model S</t>
        </is>
      </c>
      <c r="E1099" t="n">
        <v>3204</v>
      </c>
      <c r="F1099" t="n">
        <v>90325.61</v>
      </c>
      <c r="G1099" t="n">
        <v>29</v>
      </c>
      <c r="H1099" t="inlineStr">
        <is>
          <t>Long Range</t>
        </is>
      </c>
      <c r="I1099" t="inlineStr">
        <is>
          <t>AWD</t>
        </is>
      </c>
      <c r="J1099" t="inlineStr">
        <is>
          <t>White</t>
        </is>
      </c>
      <c r="K1099" t="n">
        <v>519</v>
      </c>
      <c r="L1099" t="n">
        <v>54</v>
      </c>
      <c r="M1099" t="n">
        <v>16.48</v>
      </c>
      <c r="N1099" t="n">
        <v>6304.94</v>
      </c>
      <c r="O1099" t="n">
        <v>4.76</v>
      </c>
      <c r="P1099" t="n">
        <v>8</v>
      </c>
      <c r="Q1099" t="n">
        <v>0</v>
      </c>
      <c r="R1099" t="n">
        <v>2020.1</v>
      </c>
      <c r="S1099" t="b">
        <v>0</v>
      </c>
      <c r="T1099" t="n">
        <v>3059029</v>
      </c>
      <c r="U1099" t="n">
        <v>5</v>
      </c>
      <c r="V1099" t="n">
        <v>0.07099999999999999</v>
      </c>
      <c r="W1099" t="n">
        <v>1.9</v>
      </c>
      <c r="X1099" t="n">
        <v>63.13</v>
      </c>
      <c r="Y1099">
        <f>VLOOKUP(D1099,$AB$2:$AC$7,2,FALSE)</f>
        <v/>
      </c>
      <c r="Z1099">
        <f>IF(A1099&lt;Y1099,"Yes","No")</f>
        <v/>
      </c>
    </row>
    <row r="1100">
      <c r="A1100" t="n">
        <v>2013</v>
      </c>
      <c r="B1100" t="inlineStr">
        <is>
          <t>Q4</t>
        </is>
      </c>
      <c r="C1100" t="inlineStr">
        <is>
          <t>Australia</t>
        </is>
      </c>
      <c r="D1100" t="inlineStr">
        <is>
          <t>Model Y</t>
        </is>
      </c>
      <c r="E1100" t="n">
        <v>3496</v>
      </c>
      <c r="F1100" t="n">
        <v>95477.37</v>
      </c>
      <c r="G1100" t="n">
        <v>21</v>
      </c>
      <c r="H1100" t="inlineStr">
        <is>
          <t>Standard</t>
        </is>
      </c>
      <c r="I1100" t="inlineStr">
        <is>
          <t>RWD</t>
        </is>
      </c>
      <c r="J1100" t="inlineStr">
        <is>
          <t>Black</t>
        </is>
      </c>
      <c r="K1100" t="n">
        <v>687</v>
      </c>
      <c r="L1100" t="n">
        <v>60</v>
      </c>
      <c r="M1100" t="n">
        <v>20.78</v>
      </c>
      <c r="N1100" t="n">
        <v>7059.58</v>
      </c>
      <c r="O1100" t="n">
        <v>3.6</v>
      </c>
      <c r="P1100" t="n">
        <v>4</v>
      </c>
      <c r="Q1100" t="n">
        <v>1</v>
      </c>
      <c r="R1100" t="n">
        <v>2024.2</v>
      </c>
      <c r="S1100" t="b">
        <v>0</v>
      </c>
      <c r="T1100" t="n">
        <v>4099605</v>
      </c>
      <c r="U1100" t="n">
        <v>10</v>
      </c>
      <c r="V1100" t="n">
        <v>0.0149</v>
      </c>
      <c r="W1100" t="n">
        <v>1.82</v>
      </c>
      <c r="X1100" t="n">
        <v>83.91</v>
      </c>
      <c r="Y1100">
        <f>VLOOKUP(D1100,$AB$2:$AC$7,2,FALSE)</f>
        <v/>
      </c>
      <c r="Z1100">
        <f>IF(A1100&lt;Y1100,"Yes","No")</f>
        <v/>
      </c>
    </row>
    <row r="1101">
      <c r="A1101" t="n">
        <v>2021</v>
      </c>
      <c r="B1101" t="inlineStr">
        <is>
          <t>Q1</t>
        </is>
      </c>
      <c r="C1101" t="inlineStr">
        <is>
          <t>Europe</t>
        </is>
      </c>
      <c r="D1101" t="inlineStr">
        <is>
          <t>Model 3</t>
        </is>
      </c>
      <c r="E1101" t="n">
        <v>2064</v>
      </c>
      <c r="F1101" t="n">
        <v>40886.04</v>
      </c>
      <c r="G1101" t="n">
        <v>7</v>
      </c>
      <c r="H1101" t="inlineStr">
        <is>
          <t>Long Range</t>
        </is>
      </c>
      <c r="I1101" t="inlineStr">
        <is>
          <t>RWD</t>
        </is>
      </c>
      <c r="J1101" t="inlineStr">
        <is>
          <t>Green</t>
        </is>
      </c>
      <c r="K1101" t="n">
        <v>630</v>
      </c>
      <c r="L1101" t="n">
        <v>73</v>
      </c>
      <c r="M1101" t="n">
        <v>24.13</v>
      </c>
      <c r="N1101" t="n">
        <v>1131.24</v>
      </c>
      <c r="O1101" t="n">
        <v>4.44</v>
      </c>
      <c r="P1101" t="n">
        <v>8</v>
      </c>
      <c r="Q1101" t="n">
        <v>3</v>
      </c>
      <c r="R1101" t="n">
        <v>2021.6</v>
      </c>
      <c r="S1101" t="b">
        <v>1</v>
      </c>
      <c r="T1101" t="n">
        <v>1236516</v>
      </c>
      <c r="U1101" t="n">
        <v>4</v>
      </c>
      <c r="V1101" t="n">
        <v>0.0279</v>
      </c>
      <c r="W1101" t="n">
        <v>1.47</v>
      </c>
      <c r="X1101" t="n">
        <v>76.17</v>
      </c>
      <c r="Y1101">
        <f>VLOOKUP(D1101,$AB$2:$AC$7,2,FALSE)</f>
        <v/>
      </c>
      <c r="Z1101">
        <f>IF(A1101&lt;Y1101,"Yes","No")</f>
        <v/>
      </c>
    </row>
    <row r="1102">
      <c r="A1102" t="n">
        <v>2021</v>
      </c>
      <c r="B1102" t="inlineStr">
        <is>
          <t>Q2</t>
        </is>
      </c>
      <c r="C1102" t="inlineStr">
        <is>
          <t>North America</t>
        </is>
      </c>
      <c r="D1102" t="inlineStr">
        <is>
          <t>Model 3</t>
        </is>
      </c>
      <c r="E1102" t="n">
        <v>3151</v>
      </c>
      <c r="F1102" t="n">
        <v>104592.51</v>
      </c>
      <c r="G1102" t="n">
        <v>33</v>
      </c>
      <c r="H1102" t="inlineStr">
        <is>
          <t>Performance</t>
        </is>
      </c>
      <c r="I1102" t="inlineStr">
        <is>
          <t>RWD</t>
        </is>
      </c>
      <c r="J1102" t="inlineStr">
        <is>
          <t>Green</t>
        </is>
      </c>
      <c r="K1102" t="n">
        <v>612</v>
      </c>
      <c r="L1102" t="n">
        <v>53</v>
      </c>
      <c r="M1102" t="n">
        <v>17.97</v>
      </c>
      <c r="N1102" t="n">
        <v>7320.5</v>
      </c>
      <c r="O1102" t="n">
        <v>3.63</v>
      </c>
      <c r="P1102" t="n">
        <v>6</v>
      </c>
      <c r="Q1102" t="n">
        <v>1</v>
      </c>
      <c r="R1102" t="n">
        <v>2024.5</v>
      </c>
      <c r="S1102" t="b">
        <v>1</v>
      </c>
      <c r="T1102" t="n">
        <v>280971</v>
      </c>
      <c r="U1102" t="n">
        <v>2</v>
      </c>
      <c r="V1102" t="n">
        <v>0.0126</v>
      </c>
      <c r="W1102" t="n">
        <v>1.99</v>
      </c>
      <c r="X1102" t="n">
        <v>73.61</v>
      </c>
      <c r="Y1102">
        <f>VLOOKUP(D1102,$AB$2:$AC$7,2,FALSE)</f>
        <v/>
      </c>
      <c r="Z1102">
        <f>IF(A1102&lt;Y1102,"Yes","No")</f>
        <v/>
      </c>
    </row>
    <row r="1103">
      <c r="A1103" t="n">
        <v>2017</v>
      </c>
      <c r="B1103" t="inlineStr">
        <is>
          <t>Q2</t>
        </is>
      </c>
      <c r="C1103" t="inlineStr">
        <is>
          <t>South America</t>
        </is>
      </c>
      <c r="D1103" t="inlineStr">
        <is>
          <t>Cybertruck</t>
        </is>
      </c>
      <c r="E1103" t="n">
        <v>4675</v>
      </c>
      <c r="F1103" t="n">
        <v>112168.43</v>
      </c>
      <c r="G1103" t="n">
        <v>9</v>
      </c>
      <c r="H1103" t="inlineStr">
        <is>
          <t>Standard</t>
        </is>
      </c>
      <c r="I1103" t="inlineStr">
        <is>
          <t>AWD</t>
        </is>
      </c>
      <c r="J1103" t="inlineStr">
        <is>
          <t>Black</t>
        </is>
      </c>
      <c r="K1103" t="n">
        <v>423</v>
      </c>
      <c r="L1103" t="n">
        <v>46</v>
      </c>
      <c r="M1103" t="n">
        <v>18.25</v>
      </c>
      <c r="N1103" t="n">
        <v>7942.25</v>
      </c>
      <c r="O1103" t="n">
        <v>4.44</v>
      </c>
      <c r="P1103" t="n">
        <v>8</v>
      </c>
      <c r="Q1103" t="n">
        <v>3</v>
      </c>
      <c r="R1103" t="n">
        <v>2024.4</v>
      </c>
      <c r="S1103" t="b">
        <v>1</v>
      </c>
      <c r="T1103" t="n">
        <v>4116027</v>
      </c>
      <c r="U1103" t="n">
        <v>10</v>
      </c>
      <c r="V1103" t="n">
        <v>0.0742</v>
      </c>
      <c r="W1103" t="n">
        <v>0.71</v>
      </c>
      <c r="X1103" t="n">
        <v>79.77</v>
      </c>
      <c r="Y1103">
        <f>VLOOKUP(D1103,$AB$2:$AC$7,2,FALSE)</f>
        <v/>
      </c>
      <c r="Z1103">
        <f>IF(A1103&lt;Y1103,"Yes","No")</f>
        <v/>
      </c>
    </row>
    <row r="1104">
      <c r="A1104" t="n">
        <v>2015</v>
      </c>
      <c r="B1104" t="inlineStr">
        <is>
          <t>Q4</t>
        </is>
      </c>
      <c r="C1104" t="inlineStr">
        <is>
          <t>Australia</t>
        </is>
      </c>
      <c r="D1104" t="inlineStr">
        <is>
          <t>Model X</t>
        </is>
      </c>
      <c r="E1104" t="n">
        <v>4720</v>
      </c>
      <c r="F1104" t="n">
        <v>41084.16</v>
      </c>
      <c r="G1104" t="n">
        <v>21</v>
      </c>
      <c r="H1104" t="inlineStr">
        <is>
          <t>Standard</t>
        </is>
      </c>
      <c r="I1104" t="inlineStr">
        <is>
          <t>AWD</t>
        </is>
      </c>
      <c r="J1104" t="inlineStr">
        <is>
          <t>Red</t>
        </is>
      </c>
      <c r="K1104" t="n">
        <v>398</v>
      </c>
      <c r="L1104" t="n">
        <v>36</v>
      </c>
      <c r="M1104" t="n">
        <v>22.35</v>
      </c>
      <c r="N1104" t="n">
        <v>8659.299999999999</v>
      </c>
      <c r="O1104" t="n">
        <v>3.55</v>
      </c>
      <c r="P1104" t="n">
        <v>8</v>
      </c>
      <c r="Q1104" t="n">
        <v>2</v>
      </c>
      <c r="R1104" t="n">
        <v>2021.12</v>
      </c>
      <c r="S1104" t="b">
        <v>0</v>
      </c>
      <c r="T1104" t="n">
        <v>3396046</v>
      </c>
      <c r="U1104" t="n">
        <v>6</v>
      </c>
      <c r="V1104" t="n">
        <v>0.0266</v>
      </c>
      <c r="W1104" t="n">
        <v>1.39</v>
      </c>
      <c r="X1104" t="n">
        <v>83.79000000000001</v>
      </c>
      <c r="Y1104">
        <f>VLOOKUP(D1104,$AB$2:$AC$7,2,FALSE)</f>
        <v/>
      </c>
      <c r="Z1104">
        <f>IF(A1104&lt;Y1104,"Yes","No")</f>
        <v/>
      </c>
    </row>
    <row r="1105">
      <c r="A1105" t="n">
        <v>2015</v>
      </c>
      <c r="B1105" t="inlineStr">
        <is>
          <t>Q3</t>
        </is>
      </c>
      <c r="C1105" t="inlineStr">
        <is>
          <t>North America</t>
        </is>
      </c>
      <c r="D1105" t="inlineStr">
        <is>
          <t>Model 3</t>
        </is>
      </c>
      <c r="E1105" t="n">
        <v>4046</v>
      </c>
      <c r="F1105" t="n">
        <v>50561.69</v>
      </c>
      <c r="G1105" t="n">
        <v>17</v>
      </c>
      <c r="H1105" t="inlineStr">
        <is>
          <t>Long Range</t>
        </is>
      </c>
      <c r="I1105" t="inlineStr">
        <is>
          <t>RWD</t>
        </is>
      </c>
      <c r="J1105" t="inlineStr">
        <is>
          <t>Black</t>
        </is>
      </c>
      <c r="K1105" t="n">
        <v>477</v>
      </c>
      <c r="L1105" t="n">
        <v>61</v>
      </c>
      <c r="M1105" t="n">
        <v>24.4</v>
      </c>
      <c r="N1105" t="n">
        <v>4980.07</v>
      </c>
      <c r="O1105" t="n">
        <v>4.09</v>
      </c>
      <c r="P1105" t="n">
        <v>8</v>
      </c>
      <c r="Q1105" t="n">
        <v>3</v>
      </c>
      <c r="R1105" t="n">
        <v>2023.5</v>
      </c>
      <c r="S1105" t="b">
        <v>0</v>
      </c>
      <c r="T1105" t="n">
        <v>4389173</v>
      </c>
      <c r="U1105" t="n">
        <v>6</v>
      </c>
      <c r="V1105" t="n">
        <v>0.063</v>
      </c>
      <c r="W1105" t="n">
        <v>0.82</v>
      </c>
      <c r="X1105" t="n">
        <v>68.36</v>
      </c>
      <c r="Y1105">
        <f>VLOOKUP(D1105,$AB$2:$AC$7,2,FALSE)</f>
        <v/>
      </c>
      <c r="Z1105">
        <f>IF(A1105&lt;Y1105,"Yes","No")</f>
        <v/>
      </c>
    </row>
    <row r="1106">
      <c r="A1106" t="n">
        <v>2024</v>
      </c>
      <c r="B1106" t="inlineStr">
        <is>
          <t>Q3</t>
        </is>
      </c>
      <c r="C1106" t="inlineStr">
        <is>
          <t>Asia</t>
        </is>
      </c>
      <c r="D1106" t="inlineStr">
        <is>
          <t>Model S</t>
        </is>
      </c>
      <c r="E1106" t="n">
        <v>227</v>
      </c>
      <c r="F1106" t="n">
        <v>61080.3</v>
      </c>
      <c r="G1106" t="n">
        <v>40</v>
      </c>
      <c r="H1106" t="inlineStr">
        <is>
          <t>Standard</t>
        </is>
      </c>
      <c r="I1106" t="inlineStr">
        <is>
          <t>RWD</t>
        </is>
      </c>
      <c r="J1106" t="inlineStr">
        <is>
          <t>Red</t>
        </is>
      </c>
      <c r="K1106" t="n">
        <v>561</v>
      </c>
      <c r="L1106" t="n">
        <v>67</v>
      </c>
      <c r="M1106" t="n">
        <v>14.56</v>
      </c>
      <c r="N1106" t="n">
        <v>371.14</v>
      </c>
      <c r="O1106" t="n">
        <v>3.99</v>
      </c>
      <c r="P1106" t="n">
        <v>6</v>
      </c>
      <c r="Q1106" t="n">
        <v>0</v>
      </c>
      <c r="R1106" t="n">
        <v>2021.11</v>
      </c>
      <c r="S1106" t="b">
        <v>1</v>
      </c>
      <c r="T1106" t="n">
        <v>3637487</v>
      </c>
      <c r="U1106" t="n">
        <v>4</v>
      </c>
      <c r="V1106" t="n">
        <v>0.0776</v>
      </c>
      <c r="W1106" t="n">
        <v>2.25</v>
      </c>
      <c r="X1106" t="n">
        <v>81.33</v>
      </c>
      <c r="Y1106">
        <f>VLOOKUP(D1106,$AB$2:$AC$7,2,FALSE)</f>
        <v/>
      </c>
      <c r="Z1106">
        <f>IF(A1106&lt;Y1106,"Yes","No")</f>
        <v/>
      </c>
    </row>
    <row r="1107">
      <c r="A1107" t="n">
        <v>2014</v>
      </c>
      <c r="B1107" t="inlineStr">
        <is>
          <t>Q2</t>
        </is>
      </c>
      <c r="C1107" t="inlineStr">
        <is>
          <t>Asia</t>
        </is>
      </c>
      <c r="D1107" t="inlineStr">
        <is>
          <t>Semi</t>
        </is>
      </c>
      <c r="E1107" t="n">
        <v>228</v>
      </c>
      <c r="F1107" t="n">
        <v>87180.56</v>
      </c>
      <c r="G1107" t="n">
        <v>37</v>
      </c>
      <c r="H1107" t="inlineStr">
        <is>
          <t>Standard</t>
        </is>
      </c>
      <c r="I1107" t="inlineStr">
        <is>
          <t>RWD</t>
        </is>
      </c>
      <c r="J1107" t="inlineStr">
        <is>
          <t>Green</t>
        </is>
      </c>
      <c r="K1107" t="n">
        <v>487</v>
      </c>
      <c r="L1107" t="n">
        <v>85</v>
      </c>
      <c r="M1107" t="n">
        <v>14.66</v>
      </c>
      <c r="N1107" t="n">
        <v>173.73</v>
      </c>
      <c r="O1107" t="n">
        <v>3.67</v>
      </c>
      <c r="P1107" t="n">
        <v>8</v>
      </c>
      <c r="Q1107" t="n">
        <v>2</v>
      </c>
      <c r="R1107" t="n">
        <v>2020.3</v>
      </c>
      <c r="S1107" t="b">
        <v>1</v>
      </c>
      <c r="T1107" t="n">
        <v>1743190</v>
      </c>
      <c r="U1107" t="n">
        <v>6</v>
      </c>
      <c r="V1107" t="n">
        <v>0.09039999999999999</v>
      </c>
      <c r="W1107" t="n">
        <v>1.42</v>
      </c>
      <c r="X1107" t="n">
        <v>89.52</v>
      </c>
      <c r="Y1107">
        <f>VLOOKUP(D1107,$AB$2:$AC$7,2,FALSE)</f>
        <v/>
      </c>
      <c r="Z1107">
        <f>IF(A1107&lt;Y1107,"Yes","No")</f>
        <v/>
      </c>
    </row>
    <row r="1108">
      <c r="A1108" t="n">
        <v>2023</v>
      </c>
      <c r="B1108" t="inlineStr">
        <is>
          <t>Q1</t>
        </is>
      </c>
      <c r="C1108" t="inlineStr">
        <is>
          <t>Asia</t>
        </is>
      </c>
      <c r="D1108" t="inlineStr">
        <is>
          <t>Model X</t>
        </is>
      </c>
      <c r="E1108" t="n">
        <v>4086</v>
      </c>
      <c r="F1108" t="n">
        <v>96458.36</v>
      </c>
      <c r="G1108" t="n">
        <v>29</v>
      </c>
      <c r="H1108" t="inlineStr">
        <is>
          <t>Standard</t>
        </is>
      </c>
      <c r="I1108" t="inlineStr">
        <is>
          <t>RWD</t>
        </is>
      </c>
      <c r="J1108" t="inlineStr">
        <is>
          <t>Red</t>
        </is>
      </c>
      <c r="K1108" t="n">
        <v>616</v>
      </c>
      <c r="L1108" t="n">
        <v>48</v>
      </c>
      <c r="M1108" t="n">
        <v>21.38</v>
      </c>
      <c r="N1108" t="n">
        <v>2467.45</v>
      </c>
      <c r="O1108" t="n">
        <v>3.54</v>
      </c>
      <c r="P1108" t="n">
        <v>5</v>
      </c>
      <c r="Q1108" t="n">
        <v>1</v>
      </c>
      <c r="R1108" t="n">
        <v>2020.5</v>
      </c>
      <c r="S1108" t="b">
        <v>0</v>
      </c>
      <c r="T1108" t="n">
        <v>4759876</v>
      </c>
      <c r="U1108" t="n">
        <v>12</v>
      </c>
      <c r="V1108" t="n">
        <v>0.0857</v>
      </c>
      <c r="W1108" t="n">
        <v>2.39</v>
      </c>
      <c r="X1108" t="n">
        <v>88.42</v>
      </c>
      <c r="Y1108">
        <f>VLOOKUP(D1108,$AB$2:$AC$7,2,FALSE)</f>
        <v/>
      </c>
      <c r="Z1108">
        <f>IF(A1108&lt;Y1108,"Yes","No")</f>
        <v/>
      </c>
    </row>
    <row r="1109">
      <c r="A1109" t="n">
        <v>2024</v>
      </c>
      <c r="B1109" t="inlineStr">
        <is>
          <t>Q2</t>
        </is>
      </c>
      <c r="C1109" t="inlineStr">
        <is>
          <t>Europe</t>
        </is>
      </c>
      <c r="D1109" t="inlineStr">
        <is>
          <t>Model Y</t>
        </is>
      </c>
      <c r="E1109" t="n">
        <v>1328</v>
      </c>
      <c r="F1109" t="n">
        <v>93940.32000000001</v>
      </c>
      <c r="G1109" t="n">
        <v>59</v>
      </c>
      <c r="H1109" t="inlineStr">
        <is>
          <t>Performance</t>
        </is>
      </c>
      <c r="I1109" t="inlineStr">
        <is>
          <t>RWD</t>
        </is>
      </c>
      <c r="J1109" t="inlineStr">
        <is>
          <t>White</t>
        </is>
      </c>
      <c r="K1109" t="n">
        <v>382</v>
      </c>
      <c r="L1109" t="n">
        <v>75</v>
      </c>
      <c r="M1109" t="n">
        <v>24.07</v>
      </c>
      <c r="N1109" t="n">
        <v>1960.76</v>
      </c>
      <c r="O1109" t="n">
        <v>4.65</v>
      </c>
      <c r="P1109" t="n">
        <v>8</v>
      </c>
      <c r="Q1109" t="n">
        <v>0</v>
      </c>
      <c r="R1109" t="n">
        <v>2023.4</v>
      </c>
      <c r="S1109" t="b">
        <v>0</v>
      </c>
      <c r="T1109" t="n">
        <v>1943058</v>
      </c>
      <c r="U1109" t="n">
        <v>12</v>
      </c>
      <c r="V1109" t="n">
        <v>0.0227</v>
      </c>
      <c r="W1109" t="n">
        <v>2.23</v>
      </c>
      <c r="X1109" t="n">
        <v>89.39</v>
      </c>
      <c r="Y1109">
        <f>VLOOKUP(D1109,$AB$2:$AC$7,2,FALSE)</f>
        <v/>
      </c>
      <c r="Z1109">
        <f>IF(A1109&lt;Y1109,"Yes","No")</f>
        <v/>
      </c>
    </row>
    <row r="1110">
      <c r="A1110" t="n">
        <v>2020</v>
      </c>
      <c r="B1110" t="inlineStr">
        <is>
          <t>Q4</t>
        </is>
      </c>
      <c r="C1110" t="inlineStr">
        <is>
          <t>Europe</t>
        </is>
      </c>
      <c r="D1110" t="inlineStr">
        <is>
          <t>Model S</t>
        </is>
      </c>
      <c r="E1110" t="n">
        <v>974</v>
      </c>
      <c r="F1110" t="n">
        <v>40725.91</v>
      </c>
      <c r="G1110" t="n">
        <v>8</v>
      </c>
      <c r="H1110" t="inlineStr">
        <is>
          <t>Standard</t>
        </is>
      </c>
      <c r="I1110" t="inlineStr">
        <is>
          <t>AWD</t>
        </is>
      </c>
      <c r="J1110" t="inlineStr">
        <is>
          <t>Red</t>
        </is>
      </c>
      <c r="K1110" t="n">
        <v>696</v>
      </c>
      <c r="L1110" t="n">
        <v>63</v>
      </c>
      <c r="M1110" t="n">
        <v>16.51</v>
      </c>
      <c r="N1110" t="n">
        <v>2275.47</v>
      </c>
      <c r="O1110" t="n">
        <v>3.69</v>
      </c>
      <c r="P1110" t="n">
        <v>6</v>
      </c>
      <c r="Q1110" t="n">
        <v>1</v>
      </c>
      <c r="R1110" t="n">
        <v>2021.4</v>
      </c>
      <c r="S1110" t="b">
        <v>0</v>
      </c>
      <c r="T1110" t="n">
        <v>3886272</v>
      </c>
      <c r="U1110" t="n">
        <v>12</v>
      </c>
      <c r="V1110" t="n">
        <v>0.0619</v>
      </c>
      <c r="W1110" t="n">
        <v>0.55</v>
      </c>
      <c r="X1110" t="n">
        <v>83.7</v>
      </c>
      <c r="Y1110">
        <f>VLOOKUP(D1110,$AB$2:$AC$7,2,FALSE)</f>
        <v/>
      </c>
      <c r="Z1110">
        <f>IF(A1110&lt;Y1110,"Yes","No")</f>
        <v/>
      </c>
    </row>
    <row r="1111">
      <c r="A1111" t="n">
        <v>2014</v>
      </c>
      <c r="B1111" t="inlineStr">
        <is>
          <t>Q4</t>
        </is>
      </c>
      <c r="C1111" t="inlineStr">
        <is>
          <t>Australia</t>
        </is>
      </c>
      <c r="D1111" t="inlineStr">
        <is>
          <t>Semi</t>
        </is>
      </c>
      <c r="E1111" t="n">
        <v>752</v>
      </c>
      <c r="F1111" t="n">
        <v>94271.50999999999</v>
      </c>
      <c r="G1111" t="n">
        <v>24</v>
      </c>
      <c r="H1111" t="inlineStr">
        <is>
          <t>Standard</t>
        </is>
      </c>
      <c r="I1111" t="inlineStr">
        <is>
          <t>RWD</t>
        </is>
      </c>
      <c r="J1111" t="inlineStr">
        <is>
          <t>Green</t>
        </is>
      </c>
      <c r="K1111" t="n">
        <v>696</v>
      </c>
      <c r="L1111" t="n">
        <v>46</v>
      </c>
      <c r="M1111" t="n">
        <v>20.28</v>
      </c>
      <c r="N1111" t="n">
        <v>806.2</v>
      </c>
      <c r="O1111" t="n">
        <v>4.15</v>
      </c>
      <c r="P1111" t="n">
        <v>5</v>
      </c>
      <c r="Q1111" t="n">
        <v>0</v>
      </c>
      <c r="R1111" t="n">
        <v>2024.6</v>
      </c>
      <c r="S1111" t="b">
        <v>0</v>
      </c>
      <c r="T1111" t="n">
        <v>2448237</v>
      </c>
      <c r="U1111" t="n">
        <v>11</v>
      </c>
      <c r="V1111" t="n">
        <v>0.07439999999999999</v>
      </c>
      <c r="W1111" t="n">
        <v>0.6</v>
      </c>
      <c r="X1111" t="n">
        <v>86.01000000000001</v>
      </c>
      <c r="Y1111">
        <f>VLOOKUP(D1111,$AB$2:$AC$7,2,FALSE)</f>
        <v/>
      </c>
      <c r="Z1111">
        <f>IF(A1111&lt;Y1111,"Yes","No")</f>
        <v/>
      </c>
    </row>
    <row r="1112">
      <c r="A1112" t="n">
        <v>2014</v>
      </c>
      <c r="B1112" t="inlineStr">
        <is>
          <t>Q3</t>
        </is>
      </c>
      <c r="C1112" t="inlineStr">
        <is>
          <t>South America</t>
        </is>
      </c>
      <c r="D1112" t="inlineStr">
        <is>
          <t>Model X</t>
        </is>
      </c>
      <c r="E1112" t="n">
        <v>816</v>
      </c>
      <c r="F1112" t="n">
        <v>112188.23</v>
      </c>
      <c r="G1112" t="n">
        <v>59</v>
      </c>
      <c r="H1112" t="inlineStr">
        <is>
          <t>Standard</t>
        </is>
      </c>
      <c r="I1112" t="inlineStr">
        <is>
          <t>RWD</t>
        </is>
      </c>
      <c r="J1112" t="inlineStr">
        <is>
          <t>Red</t>
        </is>
      </c>
      <c r="K1112" t="n">
        <v>684</v>
      </c>
      <c r="L1112" t="n">
        <v>86</v>
      </c>
      <c r="M1112" t="n">
        <v>23.5</v>
      </c>
      <c r="N1112" t="n">
        <v>534.39</v>
      </c>
      <c r="O1112" t="n">
        <v>4.85</v>
      </c>
      <c r="P1112" t="n">
        <v>6</v>
      </c>
      <c r="Q1112" t="n">
        <v>3</v>
      </c>
      <c r="R1112" t="n">
        <v>2020.8</v>
      </c>
      <c r="S1112" t="b">
        <v>0</v>
      </c>
      <c r="T1112" t="n">
        <v>4550964</v>
      </c>
      <c r="U1112" t="n">
        <v>12</v>
      </c>
      <c r="V1112" t="n">
        <v>0.0154</v>
      </c>
      <c r="W1112" t="n">
        <v>2.26</v>
      </c>
      <c r="X1112" t="n">
        <v>66.5</v>
      </c>
      <c r="Y1112">
        <f>VLOOKUP(D1112,$AB$2:$AC$7,2,FALSE)</f>
        <v/>
      </c>
      <c r="Z1112">
        <f>IF(A1112&lt;Y1112,"Yes","No")</f>
        <v/>
      </c>
    </row>
    <row r="1113">
      <c r="A1113" t="n">
        <v>2020</v>
      </c>
      <c r="B1113" t="inlineStr">
        <is>
          <t>Q1</t>
        </is>
      </c>
      <c r="C1113" t="inlineStr">
        <is>
          <t>Asia</t>
        </is>
      </c>
      <c r="D1113" t="inlineStr">
        <is>
          <t>Model X</t>
        </is>
      </c>
      <c r="E1113" t="n">
        <v>608</v>
      </c>
      <c r="F1113" t="n">
        <v>40206.35</v>
      </c>
      <c r="G1113" t="n">
        <v>3</v>
      </c>
      <c r="H1113" t="inlineStr">
        <is>
          <t>Long Range</t>
        </is>
      </c>
      <c r="I1113" t="inlineStr">
        <is>
          <t>AWD</t>
        </is>
      </c>
      <c r="J1113" t="inlineStr">
        <is>
          <t>Red</t>
        </is>
      </c>
      <c r="K1113" t="n">
        <v>528</v>
      </c>
      <c r="L1113" t="n">
        <v>55</v>
      </c>
      <c r="M1113" t="n">
        <v>17.62</v>
      </c>
      <c r="N1113" t="n">
        <v>922.91</v>
      </c>
      <c r="O1113" t="n">
        <v>3.61</v>
      </c>
      <c r="P1113" t="n">
        <v>5</v>
      </c>
      <c r="Q1113" t="n">
        <v>2</v>
      </c>
      <c r="R1113" t="n">
        <v>2021.9</v>
      </c>
      <c r="S1113" t="b">
        <v>1</v>
      </c>
      <c r="T1113" t="n">
        <v>2402173</v>
      </c>
      <c r="U1113" t="n">
        <v>10</v>
      </c>
      <c r="V1113" t="n">
        <v>0.06809999999999999</v>
      </c>
      <c r="W1113" t="n">
        <v>1.45</v>
      </c>
      <c r="X1113" t="n">
        <v>73.73999999999999</v>
      </c>
      <c r="Y1113">
        <f>VLOOKUP(D1113,$AB$2:$AC$7,2,FALSE)</f>
        <v/>
      </c>
      <c r="Z1113">
        <f>IF(A1113&lt;Y1113,"Yes","No")</f>
        <v/>
      </c>
    </row>
    <row r="1114">
      <c r="A1114" t="n">
        <v>2017</v>
      </c>
      <c r="B1114" t="inlineStr">
        <is>
          <t>Q1</t>
        </is>
      </c>
      <c r="C1114" t="inlineStr">
        <is>
          <t>Europe</t>
        </is>
      </c>
      <c r="D1114" t="inlineStr">
        <is>
          <t>Model S</t>
        </is>
      </c>
      <c r="E1114" t="n">
        <v>148</v>
      </c>
      <c r="F1114" t="n">
        <v>43764.29</v>
      </c>
      <c r="G1114" t="n">
        <v>25</v>
      </c>
      <c r="H1114" t="inlineStr">
        <is>
          <t>Performance</t>
        </is>
      </c>
      <c r="I1114" t="inlineStr">
        <is>
          <t>RWD</t>
        </is>
      </c>
      <c r="J1114" t="inlineStr">
        <is>
          <t>Blue</t>
        </is>
      </c>
      <c r="K1114" t="n">
        <v>494</v>
      </c>
      <c r="L1114" t="n">
        <v>58</v>
      </c>
      <c r="M1114" t="n">
        <v>14.32</v>
      </c>
      <c r="N1114" t="n">
        <v>322.88</v>
      </c>
      <c r="O1114" t="n">
        <v>4.18</v>
      </c>
      <c r="P1114" t="n">
        <v>6</v>
      </c>
      <c r="Q1114" t="n">
        <v>0</v>
      </c>
      <c r="R1114" t="n">
        <v>2020.1</v>
      </c>
      <c r="S1114" t="b">
        <v>1</v>
      </c>
      <c r="T1114" t="n">
        <v>1398285</v>
      </c>
      <c r="U1114" t="n">
        <v>9</v>
      </c>
      <c r="V1114" t="n">
        <v>0.08110000000000001</v>
      </c>
      <c r="W1114" t="n">
        <v>1.81</v>
      </c>
      <c r="X1114" t="n">
        <v>72.14</v>
      </c>
      <c r="Y1114">
        <f>VLOOKUP(D1114,$AB$2:$AC$7,2,FALSE)</f>
        <v/>
      </c>
      <c r="Z1114">
        <f>IF(A1114&lt;Y1114,"Yes","No")</f>
        <v/>
      </c>
    </row>
    <row r="1115">
      <c r="A1115" t="n">
        <v>2021</v>
      </c>
      <c r="B1115" t="inlineStr">
        <is>
          <t>Q2</t>
        </is>
      </c>
      <c r="C1115" t="inlineStr">
        <is>
          <t>Australia</t>
        </is>
      </c>
      <c r="D1115" t="inlineStr">
        <is>
          <t>Semi</t>
        </is>
      </c>
      <c r="E1115" t="n">
        <v>892</v>
      </c>
      <c r="F1115" t="n">
        <v>72054.17</v>
      </c>
      <c r="G1115" t="n">
        <v>6</v>
      </c>
      <c r="H1115" t="inlineStr">
        <is>
          <t>Long Range</t>
        </is>
      </c>
      <c r="I1115" t="inlineStr">
        <is>
          <t>RWD</t>
        </is>
      </c>
      <c r="J1115" t="inlineStr">
        <is>
          <t>Blue</t>
        </is>
      </c>
      <c r="K1115" t="n">
        <v>614</v>
      </c>
      <c r="L1115" t="n">
        <v>57</v>
      </c>
      <c r="M1115" t="n">
        <v>14.35</v>
      </c>
      <c r="N1115" t="n">
        <v>1460.65</v>
      </c>
      <c r="O1115" t="n">
        <v>4.21</v>
      </c>
      <c r="P1115" t="n">
        <v>8</v>
      </c>
      <c r="Q1115" t="n">
        <v>3</v>
      </c>
      <c r="R1115" t="n">
        <v>2022.1</v>
      </c>
      <c r="S1115" t="b">
        <v>1</v>
      </c>
      <c r="T1115" t="n">
        <v>1771062</v>
      </c>
      <c r="U1115" t="n">
        <v>4</v>
      </c>
      <c r="V1115" t="n">
        <v>0.0472</v>
      </c>
      <c r="W1115" t="n">
        <v>1.45</v>
      </c>
      <c r="X1115" t="n">
        <v>61.25</v>
      </c>
      <c r="Y1115">
        <f>VLOOKUP(D1115,$AB$2:$AC$7,2,FALSE)</f>
        <v/>
      </c>
      <c r="Z1115">
        <f>IF(A1115&lt;Y1115,"Yes","No")</f>
        <v/>
      </c>
    </row>
    <row r="1116">
      <c r="A1116" t="n">
        <v>2017</v>
      </c>
      <c r="B1116" t="inlineStr">
        <is>
          <t>Q1</t>
        </is>
      </c>
      <c r="C1116" t="inlineStr">
        <is>
          <t>Asia</t>
        </is>
      </c>
      <c r="D1116" t="inlineStr">
        <is>
          <t>Cybertruck</t>
        </is>
      </c>
      <c r="E1116" t="n">
        <v>1748</v>
      </c>
      <c r="F1116" t="n">
        <v>66868.53999999999</v>
      </c>
      <c r="G1116" t="n">
        <v>16</v>
      </c>
      <c r="H1116" t="inlineStr">
        <is>
          <t>Long Range</t>
        </is>
      </c>
      <c r="I1116" t="inlineStr">
        <is>
          <t>AWD</t>
        </is>
      </c>
      <c r="J1116" t="inlineStr">
        <is>
          <t>Silver</t>
        </is>
      </c>
      <c r="K1116" t="n">
        <v>528</v>
      </c>
      <c r="L1116" t="n">
        <v>57</v>
      </c>
      <c r="M1116" t="n">
        <v>16.93</v>
      </c>
      <c r="N1116" t="n">
        <v>3340.74</v>
      </c>
      <c r="O1116" t="n">
        <v>4.32</v>
      </c>
      <c r="P1116" t="n">
        <v>5</v>
      </c>
      <c r="Q1116" t="n">
        <v>2</v>
      </c>
      <c r="R1116" t="n">
        <v>2021.4</v>
      </c>
      <c r="S1116" t="b">
        <v>1</v>
      </c>
      <c r="T1116" t="n">
        <v>2468008</v>
      </c>
      <c r="U1116" t="n">
        <v>4</v>
      </c>
      <c r="V1116" t="n">
        <v>0.0449</v>
      </c>
      <c r="W1116" t="n">
        <v>1.82</v>
      </c>
      <c r="X1116" t="n">
        <v>62.83</v>
      </c>
      <c r="Y1116">
        <f>VLOOKUP(D1116,$AB$2:$AC$7,2,FALSE)</f>
        <v/>
      </c>
      <c r="Z1116">
        <f>IF(A1116&lt;Y1116,"Yes","No")</f>
        <v/>
      </c>
    </row>
    <row r="1117">
      <c r="A1117" t="n">
        <v>2024</v>
      </c>
      <c r="B1117" t="inlineStr">
        <is>
          <t>Q4</t>
        </is>
      </c>
      <c r="C1117" t="inlineStr">
        <is>
          <t>Asia</t>
        </is>
      </c>
      <c r="D1117" t="inlineStr">
        <is>
          <t>Cybertruck</t>
        </is>
      </c>
      <c r="E1117" t="n">
        <v>404</v>
      </c>
      <c r="F1117" t="n">
        <v>40655.55</v>
      </c>
      <c r="G1117" t="n">
        <v>21</v>
      </c>
      <c r="H1117" t="inlineStr">
        <is>
          <t>Performance</t>
        </is>
      </c>
      <c r="I1117" t="inlineStr">
        <is>
          <t>RWD</t>
        </is>
      </c>
      <c r="J1117" t="inlineStr">
        <is>
          <t>Blue</t>
        </is>
      </c>
      <c r="K1117" t="n">
        <v>569</v>
      </c>
      <c r="L1117" t="n">
        <v>65</v>
      </c>
      <c r="M1117" t="n">
        <v>18.82</v>
      </c>
      <c r="N1117" t="n">
        <v>904.16</v>
      </c>
      <c r="O1117" t="n">
        <v>3.51</v>
      </c>
      <c r="P1117" t="n">
        <v>5</v>
      </c>
      <c r="Q1117" t="n">
        <v>0</v>
      </c>
      <c r="R1117" t="n">
        <v>2021.9</v>
      </c>
      <c r="S1117" t="b">
        <v>0</v>
      </c>
      <c r="T1117" t="n">
        <v>1815542</v>
      </c>
      <c r="U1117" t="n">
        <v>4</v>
      </c>
      <c r="V1117" t="n">
        <v>0.0911</v>
      </c>
      <c r="W1117" t="n">
        <v>1.42</v>
      </c>
      <c r="X1117" t="n">
        <v>74.37</v>
      </c>
      <c r="Y1117">
        <f>VLOOKUP(D1117,$AB$2:$AC$7,2,FALSE)</f>
        <v/>
      </c>
      <c r="Z1117">
        <f>IF(A1117&lt;Y1117,"Yes","No")</f>
        <v/>
      </c>
    </row>
    <row r="1118">
      <c r="A1118" t="n">
        <v>2018</v>
      </c>
      <c r="B1118" t="inlineStr">
        <is>
          <t>Q4</t>
        </is>
      </c>
      <c r="C1118" t="inlineStr">
        <is>
          <t>South America</t>
        </is>
      </c>
      <c r="D1118" t="inlineStr">
        <is>
          <t>Cybertruck</t>
        </is>
      </c>
      <c r="E1118" t="n">
        <v>1868</v>
      </c>
      <c r="F1118" t="n">
        <v>56678.93</v>
      </c>
      <c r="G1118" t="n">
        <v>4</v>
      </c>
      <c r="H1118" t="inlineStr">
        <is>
          <t>Performance</t>
        </is>
      </c>
      <c r="I1118" t="inlineStr">
        <is>
          <t>RWD</t>
        </is>
      </c>
      <c r="J1118" t="inlineStr">
        <is>
          <t>Green</t>
        </is>
      </c>
      <c r="K1118" t="n">
        <v>381</v>
      </c>
      <c r="L1118" t="n">
        <v>40</v>
      </c>
      <c r="M1118" t="n">
        <v>16.84</v>
      </c>
      <c r="N1118" t="n">
        <v>4202.21</v>
      </c>
      <c r="O1118" t="n">
        <v>4.06</v>
      </c>
      <c r="P1118" t="n">
        <v>6</v>
      </c>
      <c r="Q1118" t="n">
        <v>3</v>
      </c>
      <c r="R1118" t="n">
        <v>2020.4</v>
      </c>
      <c r="S1118" t="b">
        <v>1</v>
      </c>
      <c r="T1118" t="n">
        <v>4666493</v>
      </c>
      <c r="U1118" t="n">
        <v>9</v>
      </c>
      <c r="V1118" t="n">
        <v>0.08359999999999999</v>
      </c>
      <c r="W1118" t="n">
        <v>2.38</v>
      </c>
      <c r="X1118" t="n">
        <v>60.23</v>
      </c>
      <c r="Y1118">
        <f>VLOOKUP(D1118,$AB$2:$AC$7,2,FALSE)</f>
        <v/>
      </c>
      <c r="Z1118">
        <f>IF(A1118&lt;Y1118,"Yes","No")</f>
        <v/>
      </c>
    </row>
    <row r="1119">
      <c r="A1119" t="n">
        <v>2021</v>
      </c>
      <c r="B1119" t="inlineStr">
        <is>
          <t>Q4</t>
        </is>
      </c>
      <c r="C1119" t="inlineStr">
        <is>
          <t>Europe</t>
        </is>
      </c>
      <c r="D1119" t="inlineStr">
        <is>
          <t>Semi</t>
        </is>
      </c>
      <c r="E1119" t="n">
        <v>115</v>
      </c>
      <c r="F1119" t="n">
        <v>89307.23</v>
      </c>
      <c r="G1119" t="n">
        <v>48</v>
      </c>
      <c r="H1119" t="inlineStr">
        <is>
          <t>Standard</t>
        </is>
      </c>
      <c r="I1119" t="inlineStr">
        <is>
          <t>AWD</t>
        </is>
      </c>
      <c r="J1119" t="inlineStr">
        <is>
          <t>Blue</t>
        </is>
      </c>
      <c r="K1119" t="n">
        <v>593</v>
      </c>
      <c r="L1119" t="n">
        <v>60</v>
      </c>
      <c r="M1119" t="n">
        <v>18.47</v>
      </c>
      <c r="N1119" t="n">
        <v>229.29</v>
      </c>
      <c r="O1119" t="n">
        <v>4.63</v>
      </c>
      <c r="P1119" t="n">
        <v>4</v>
      </c>
      <c r="Q1119" t="n">
        <v>2</v>
      </c>
      <c r="R1119" t="n">
        <v>2021.6</v>
      </c>
      <c r="S1119" t="b">
        <v>1</v>
      </c>
      <c r="T1119" t="n">
        <v>4132667</v>
      </c>
      <c r="U1119" t="n">
        <v>12</v>
      </c>
      <c r="V1119" t="n">
        <v>0.0554</v>
      </c>
      <c r="W1119" t="n">
        <v>1.28</v>
      </c>
      <c r="X1119" t="n">
        <v>60.03</v>
      </c>
      <c r="Y1119">
        <f>VLOOKUP(D1119,$AB$2:$AC$7,2,FALSE)</f>
        <v/>
      </c>
      <c r="Z1119">
        <f>IF(A1119&lt;Y1119,"Yes","No")</f>
        <v/>
      </c>
    </row>
    <row r="1120">
      <c r="A1120" t="n">
        <v>2021</v>
      </c>
      <c r="B1120" t="inlineStr">
        <is>
          <t>Q1</t>
        </is>
      </c>
      <c r="C1120" t="inlineStr">
        <is>
          <t>North America</t>
        </is>
      </c>
      <c r="D1120" t="inlineStr">
        <is>
          <t>Model Y</t>
        </is>
      </c>
      <c r="E1120" t="n">
        <v>729</v>
      </c>
      <c r="F1120" t="n">
        <v>47446.28</v>
      </c>
      <c r="G1120" t="n">
        <v>3</v>
      </c>
      <c r="H1120" t="inlineStr">
        <is>
          <t>Standard</t>
        </is>
      </c>
      <c r="I1120" t="inlineStr">
        <is>
          <t>RWD</t>
        </is>
      </c>
      <c r="J1120" t="inlineStr">
        <is>
          <t>Black</t>
        </is>
      </c>
      <c r="K1120" t="n">
        <v>449</v>
      </c>
      <c r="L1120" t="n">
        <v>48</v>
      </c>
      <c r="M1120" t="n">
        <v>21.1</v>
      </c>
      <c r="N1120" t="n">
        <v>1077.26</v>
      </c>
      <c r="O1120" t="n">
        <v>4.83</v>
      </c>
      <c r="P1120" t="n">
        <v>4</v>
      </c>
      <c r="Q1120" t="n">
        <v>2</v>
      </c>
      <c r="R1120" t="n">
        <v>2023.12</v>
      </c>
      <c r="S1120" t="b">
        <v>0</v>
      </c>
      <c r="T1120" t="n">
        <v>4039718</v>
      </c>
      <c r="U1120" t="n">
        <v>3</v>
      </c>
      <c r="V1120" t="n">
        <v>0.07820000000000001</v>
      </c>
      <c r="W1120" t="n">
        <v>2.17</v>
      </c>
      <c r="X1120" t="n">
        <v>83.51000000000001</v>
      </c>
      <c r="Y1120">
        <f>VLOOKUP(D1120,$AB$2:$AC$7,2,FALSE)</f>
        <v/>
      </c>
      <c r="Z1120">
        <f>IF(A1120&lt;Y1120,"Yes","No")</f>
        <v/>
      </c>
    </row>
    <row r="1121">
      <c r="A1121" t="n">
        <v>2018</v>
      </c>
      <c r="B1121" t="inlineStr">
        <is>
          <t>Q1</t>
        </is>
      </c>
      <c r="C1121" t="inlineStr">
        <is>
          <t>South America</t>
        </is>
      </c>
      <c r="D1121" t="inlineStr">
        <is>
          <t>Cybertruck</t>
        </is>
      </c>
      <c r="E1121" t="n">
        <v>3939</v>
      </c>
      <c r="F1121" t="n">
        <v>44208.6</v>
      </c>
      <c r="G1121" t="n">
        <v>23</v>
      </c>
      <c r="H1121" t="inlineStr">
        <is>
          <t>Performance</t>
        </is>
      </c>
      <c r="I1121" t="inlineStr">
        <is>
          <t>RWD</t>
        </is>
      </c>
      <c r="J1121" t="inlineStr">
        <is>
          <t>White</t>
        </is>
      </c>
      <c r="K1121" t="n">
        <v>554</v>
      </c>
      <c r="L1121" t="n">
        <v>55</v>
      </c>
      <c r="M1121" t="n">
        <v>22.24</v>
      </c>
      <c r="N1121" t="n">
        <v>5173.64</v>
      </c>
      <c r="O1121" t="n">
        <v>3.56</v>
      </c>
      <c r="P1121" t="n">
        <v>8</v>
      </c>
      <c r="Q1121" t="n">
        <v>1</v>
      </c>
      <c r="R1121" t="n">
        <v>2021.5</v>
      </c>
      <c r="S1121" t="b">
        <v>0</v>
      </c>
      <c r="T1121" t="n">
        <v>234870</v>
      </c>
      <c r="U1121" t="n">
        <v>2</v>
      </c>
      <c r="V1121" t="n">
        <v>0.0653</v>
      </c>
      <c r="W1121" t="n">
        <v>1.23</v>
      </c>
      <c r="X1121" t="n">
        <v>64.84</v>
      </c>
      <c r="Y1121">
        <f>VLOOKUP(D1121,$AB$2:$AC$7,2,FALSE)</f>
        <v/>
      </c>
      <c r="Z1121">
        <f>IF(A1121&lt;Y1121,"Yes","No")</f>
        <v/>
      </c>
    </row>
    <row r="1122">
      <c r="A1122" t="n">
        <v>2016</v>
      </c>
      <c r="B1122" t="inlineStr">
        <is>
          <t>Q2</t>
        </is>
      </c>
      <c r="C1122" t="inlineStr">
        <is>
          <t>Australia</t>
        </is>
      </c>
      <c r="D1122" t="inlineStr">
        <is>
          <t>Semi</t>
        </is>
      </c>
      <c r="E1122" t="n">
        <v>3036</v>
      </c>
      <c r="F1122" t="n">
        <v>51683.52</v>
      </c>
      <c r="G1122" t="n">
        <v>29</v>
      </c>
      <c r="H1122" t="inlineStr">
        <is>
          <t>Performance</t>
        </is>
      </c>
      <c r="I1122" t="inlineStr">
        <is>
          <t>AWD</t>
        </is>
      </c>
      <c r="J1122" t="inlineStr">
        <is>
          <t>Green</t>
        </is>
      </c>
      <c r="K1122" t="n">
        <v>443</v>
      </c>
      <c r="L1122" t="n">
        <v>38</v>
      </c>
      <c r="M1122" t="n">
        <v>23.05</v>
      </c>
      <c r="N1122" t="n">
        <v>5036.45</v>
      </c>
      <c r="O1122" t="n">
        <v>4.64</v>
      </c>
      <c r="P1122" t="n">
        <v>5</v>
      </c>
      <c r="Q1122" t="n">
        <v>0</v>
      </c>
      <c r="R1122" t="n">
        <v>2023.1</v>
      </c>
      <c r="S1122" t="b">
        <v>0</v>
      </c>
      <c r="T1122" t="n">
        <v>2486675</v>
      </c>
      <c r="U1122" t="n">
        <v>9</v>
      </c>
      <c r="V1122" t="n">
        <v>0.07049999999999999</v>
      </c>
      <c r="W1122" t="n">
        <v>1.34</v>
      </c>
      <c r="X1122" t="n">
        <v>82.87</v>
      </c>
      <c r="Y1122">
        <f>VLOOKUP(D1122,$AB$2:$AC$7,2,FALSE)</f>
        <v/>
      </c>
      <c r="Z1122">
        <f>IF(A1122&lt;Y1122,"Yes","No")</f>
        <v/>
      </c>
    </row>
    <row r="1123">
      <c r="A1123" t="n">
        <v>2017</v>
      </c>
      <c r="B1123" t="inlineStr">
        <is>
          <t>Q4</t>
        </is>
      </c>
      <c r="C1123" t="inlineStr">
        <is>
          <t>South America</t>
        </is>
      </c>
      <c r="D1123" t="inlineStr">
        <is>
          <t>Model S</t>
        </is>
      </c>
      <c r="E1123" t="n">
        <v>726</v>
      </c>
      <c r="F1123" t="n">
        <v>112169.2</v>
      </c>
      <c r="G1123" t="n">
        <v>21</v>
      </c>
      <c r="H1123" t="inlineStr">
        <is>
          <t>Standard</t>
        </is>
      </c>
      <c r="I1123" t="inlineStr">
        <is>
          <t>AWD</t>
        </is>
      </c>
      <c r="J1123" t="inlineStr">
        <is>
          <t>Red</t>
        </is>
      </c>
      <c r="K1123" t="n">
        <v>385</v>
      </c>
      <c r="L1123" t="n">
        <v>55</v>
      </c>
      <c r="M1123" t="n">
        <v>21.51</v>
      </c>
      <c r="N1123" t="n">
        <v>1683.64</v>
      </c>
      <c r="O1123" t="n">
        <v>4.13</v>
      </c>
      <c r="P1123" t="n">
        <v>4</v>
      </c>
      <c r="Q1123" t="n">
        <v>0</v>
      </c>
      <c r="R1123" t="n">
        <v>2021.7</v>
      </c>
      <c r="S1123" t="b">
        <v>0</v>
      </c>
      <c r="T1123" t="n">
        <v>4802024</v>
      </c>
      <c r="U1123" t="n">
        <v>11</v>
      </c>
      <c r="V1123" t="n">
        <v>0.0746</v>
      </c>
      <c r="W1123" t="n">
        <v>1.84</v>
      </c>
      <c r="X1123" t="n">
        <v>85.34</v>
      </c>
      <c r="Y1123">
        <f>VLOOKUP(D1123,$AB$2:$AC$7,2,FALSE)</f>
        <v/>
      </c>
      <c r="Z1123">
        <f>IF(A1123&lt;Y1123,"Yes","No")</f>
        <v/>
      </c>
    </row>
    <row r="1124">
      <c r="A1124" t="n">
        <v>2017</v>
      </c>
      <c r="B1124" t="inlineStr">
        <is>
          <t>Q4</t>
        </is>
      </c>
      <c r="C1124" t="inlineStr">
        <is>
          <t>South America</t>
        </is>
      </c>
      <c r="D1124" t="inlineStr">
        <is>
          <t>Model 3</t>
        </is>
      </c>
      <c r="E1124" t="n">
        <v>1857</v>
      </c>
      <c r="F1124" t="n">
        <v>62084.78</v>
      </c>
      <c r="G1124" t="n">
        <v>32</v>
      </c>
      <c r="H1124" t="inlineStr">
        <is>
          <t>Performance</t>
        </is>
      </c>
      <c r="I1124" t="inlineStr">
        <is>
          <t>AWD</t>
        </is>
      </c>
      <c r="J1124" t="inlineStr">
        <is>
          <t>White</t>
        </is>
      </c>
      <c r="K1124" t="n">
        <v>601</v>
      </c>
      <c r="L1124" t="n">
        <v>87</v>
      </c>
      <c r="M1124" t="n">
        <v>14.07</v>
      </c>
      <c r="N1124" t="n">
        <v>1622.61</v>
      </c>
      <c r="O1124" t="n">
        <v>3.93</v>
      </c>
      <c r="P1124" t="n">
        <v>8</v>
      </c>
      <c r="Q1124" t="n">
        <v>3</v>
      </c>
      <c r="R1124" t="n">
        <v>2024.2</v>
      </c>
      <c r="S1124" t="b">
        <v>0</v>
      </c>
      <c r="T1124" t="n">
        <v>3324613</v>
      </c>
      <c r="U1124" t="n">
        <v>5</v>
      </c>
      <c r="V1124" t="n">
        <v>0.0973</v>
      </c>
      <c r="W1124" t="n">
        <v>1.92</v>
      </c>
      <c r="X1124" t="n">
        <v>87.72</v>
      </c>
      <c r="Y1124">
        <f>VLOOKUP(D1124,$AB$2:$AC$7,2,FALSE)</f>
        <v/>
      </c>
      <c r="Z1124">
        <f>IF(A1124&lt;Y1124,"Yes","No")</f>
        <v/>
      </c>
    </row>
    <row r="1125">
      <c r="A1125" t="n">
        <v>2022</v>
      </c>
      <c r="B1125" t="inlineStr">
        <is>
          <t>Q4</t>
        </is>
      </c>
      <c r="C1125" t="inlineStr">
        <is>
          <t>Asia</t>
        </is>
      </c>
      <c r="D1125" t="inlineStr">
        <is>
          <t>Semi</t>
        </is>
      </c>
      <c r="E1125" t="n">
        <v>2016</v>
      </c>
      <c r="F1125" t="n">
        <v>104046.61</v>
      </c>
      <c r="G1125" t="n">
        <v>1</v>
      </c>
      <c r="H1125" t="inlineStr">
        <is>
          <t>Standard</t>
        </is>
      </c>
      <c r="I1125" t="inlineStr">
        <is>
          <t>AWD</t>
        </is>
      </c>
      <c r="J1125" t="inlineStr">
        <is>
          <t>Blue</t>
        </is>
      </c>
      <c r="K1125" t="n">
        <v>421</v>
      </c>
      <c r="L1125" t="n">
        <v>82</v>
      </c>
      <c r="M1125" t="n">
        <v>20.89</v>
      </c>
      <c r="N1125" t="n">
        <v>2714.68</v>
      </c>
      <c r="O1125" t="n">
        <v>3.72</v>
      </c>
      <c r="P1125" t="n">
        <v>5</v>
      </c>
      <c r="Q1125" t="n">
        <v>2</v>
      </c>
      <c r="R1125" t="n">
        <v>2023.9</v>
      </c>
      <c r="S1125" t="b">
        <v>0</v>
      </c>
      <c r="T1125" t="n">
        <v>2313498</v>
      </c>
      <c r="U1125" t="n">
        <v>11</v>
      </c>
      <c r="V1125" t="n">
        <v>0.0911</v>
      </c>
      <c r="W1125" t="n">
        <v>2.48</v>
      </c>
      <c r="X1125" t="n">
        <v>74.94</v>
      </c>
      <c r="Y1125">
        <f>VLOOKUP(D1125,$AB$2:$AC$7,2,FALSE)</f>
        <v/>
      </c>
      <c r="Z1125">
        <f>IF(A1125&lt;Y1125,"Yes","No")</f>
        <v/>
      </c>
    </row>
    <row r="1126">
      <c r="A1126" t="n">
        <v>2014</v>
      </c>
      <c r="B1126" t="inlineStr">
        <is>
          <t>Q3</t>
        </is>
      </c>
      <c r="C1126" t="inlineStr">
        <is>
          <t>North America</t>
        </is>
      </c>
      <c r="D1126" t="inlineStr">
        <is>
          <t>Model S</t>
        </is>
      </c>
      <c r="E1126" t="n">
        <v>331</v>
      </c>
      <c r="F1126" t="n">
        <v>93582.52</v>
      </c>
      <c r="G1126" t="n">
        <v>47</v>
      </c>
      <c r="H1126" t="inlineStr">
        <is>
          <t>Performance</t>
        </is>
      </c>
      <c r="I1126" t="inlineStr">
        <is>
          <t>AWD</t>
        </is>
      </c>
      <c r="J1126" t="inlineStr">
        <is>
          <t>Red</t>
        </is>
      </c>
      <c r="K1126" t="n">
        <v>629</v>
      </c>
      <c r="L1126" t="n">
        <v>55</v>
      </c>
      <c r="M1126" t="n">
        <v>20.97</v>
      </c>
      <c r="N1126" t="n">
        <v>222.67</v>
      </c>
      <c r="O1126" t="n">
        <v>4.5</v>
      </c>
      <c r="P1126" t="n">
        <v>8</v>
      </c>
      <c r="Q1126" t="n">
        <v>0</v>
      </c>
      <c r="R1126" t="n">
        <v>2022.2</v>
      </c>
      <c r="S1126" t="b">
        <v>1</v>
      </c>
      <c r="T1126" t="n">
        <v>4793244</v>
      </c>
      <c r="U1126" t="n">
        <v>7</v>
      </c>
      <c r="V1126" t="n">
        <v>0.0352</v>
      </c>
      <c r="W1126" t="n">
        <v>2.15</v>
      </c>
      <c r="X1126" t="n">
        <v>74.87</v>
      </c>
      <c r="Y1126">
        <f>VLOOKUP(D1126,$AB$2:$AC$7,2,FALSE)</f>
        <v/>
      </c>
      <c r="Z1126">
        <f>IF(A1126&lt;Y1126,"Yes","No")</f>
        <v/>
      </c>
    </row>
    <row r="1127">
      <c r="A1127" t="n">
        <v>2013</v>
      </c>
      <c r="B1127" t="inlineStr">
        <is>
          <t>Q4</t>
        </is>
      </c>
      <c r="C1127" t="inlineStr">
        <is>
          <t>Europe</t>
        </is>
      </c>
      <c r="D1127" t="inlineStr">
        <is>
          <t>Semi</t>
        </is>
      </c>
      <c r="E1127" t="n">
        <v>517</v>
      </c>
      <c r="F1127" t="n">
        <v>109724.2</v>
      </c>
      <c r="G1127" t="n">
        <v>44</v>
      </c>
      <c r="H1127" t="inlineStr">
        <is>
          <t>Performance</t>
        </is>
      </c>
      <c r="I1127" t="inlineStr">
        <is>
          <t>AWD</t>
        </is>
      </c>
      <c r="J1127" t="inlineStr">
        <is>
          <t>Black</t>
        </is>
      </c>
      <c r="K1127" t="n">
        <v>513</v>
      </c>
      <c r="L1127" t="n">
        <v>87</v>
      </c>
      <c r="M1127" t="n">
        <v>18.05</v>
      </c>
      <c r="N1127" t="n">
        <v>936.24</v>
      </c>
      <c r="O1127" t="n">
        <v>3.83</v>
      </c>
      <c r="P1127" t="n">
        <v>5</v>
      </c>
      <c r="Q1127" t="n">
        <v>0</v>
      </c>
      <c r="R1127" t="n">
        <v>2020.1</v>
      </c>
      <c r="S1127" t="b">
        <v>1</v>
      </c>
      <c r="T1127" t="n">
        <v>416386</v>
      </c>
      <c r="U1127" t="n">
        <v>11</v>
      </c>
      <c r="V1127" t="n">
        <v>0.0147</v>
      </c>
      <c r="W1127" t="n">
        <v>2.14</v>
      </c>
      <c r="X1127" t="n">
        <v>77.66</v>
      </c>
      <c r="Y1127">
        <f>VLOOKUP(D1127,$AB$2:$AC$7,2,FALSE)</f>
        <v/>
      </c>
      <c r="Z1127">
        <f>IF(A1127&lt;Y1127,"Yes","No")</f>
        <v/>
      </c>
    </row>
    <row r="1128">
      <c r="A1128" t="n">
        <v>2013</v>
      </c>
      <c r="B1128" t="inlineStr">
        <is>
          <t>Q4</t>
        </is>
      </c>
      <c r="C1128" t="inlineStr">
        <is>
          <t>South America</t>
        </is>
      </c>
      <c r="D1128" t="inlineStr">
        <is>
          <t>Model S</t>
        </is>
      </c>
      <c r="E1128" t="n">
        <v>79</v>
      </c>
      <c r="F1128" t="n">
        <v>103811.09</v>
      </c>
      <c r="G1128" t="n">
        <v>19</v>
      </c>
      <c r="H1128" t="inlineStr">
        <is>
          <t>Performance</t>
        </is>
      </c>
      <c r="I1128" t="inlineStr">
        <is>
          <t>AWD</t>
        </is>
      </c>
      <c r="J1128" t="inlineStr">
        <is>
          <t>Black</t>
        </is>
      </c>
      <c r="K1128" t="n">
        <v>619</v>
      </c>
      <c r="L1128" t="n">
        <v>71</v>
      </c>
      <c r="M1128" t="n">
        <v>24.79</v>
      </c>
      <c r="N1128" t="n">
        <v>75.94</v>
      </c>
      <c r="O1128" t="n">
        <v>4.55</v>
      </c>
      <c r="P1128" t="n">
        <v>6</v>
      </c>
      <c r="Q1128" t="n">
        <v>0</v>
      </c>
      <c r="R1128" t="n">
        <v>2022.9</v>
      </c>
      <c r="S1128" t="b">
        <v>1</v>
      </c>
      <c r="T1128" t="n">
        <v>524231</v>
      </c>
      <c r="U1128" t="n">
        <v>11</v>
      </c>
      <c r="V1128" t="n">
        <v>0.0766</v>
      </c>
      <c r="W1128" t="n">
        <v>0.6</v>
      </c>
      <c r="X1128" t="n">
        <v>67.88</v>
      </c>
      <c r="Y1128">
        <f>VLOOKUP(D1128,$AB$2:$AC$7,2,FALSE)</f>
        <v/>
      </c>
      <c r="Z1128">
        <f>IF(A1128&lt;Y1128,"Yes","No")</f>
        <v/>
      </c>
    </row>
    <row r="1129">
      <c r="A1129" t="n">
        <v>2015</v>
      </c>
      <c r="B1129" t="inlineStr">
        <is>
          <t>Q4</t>
        </is>
      </c>
      <c r="C1129" t="inlineStr">
        <is>
          <t>Australia</t>
        </is>
      </c>
      <c r="D1129" t="inlineStr">
        <is>
          <t>Model Y</t>
        </is>
      </c>
      <c r="E1129" t="n">
        <v>775</v>
      </c>
      <c r="F1129" t="n">
        <v>55607.53</v>
      </c>
      <c r="G1129" t="n">
        <v>26</v>
      </c>
      <c r="H1129" t="inlineStr">
        <is>
          <t>Long Range</t>
        </is>
      </c>
      <c r="I1129" t="inlineStr">
        <is>
          <t>AWD</t>
        </is>
      </c>
      <c r="J1129" t="inlineStr">
        <is>
          <t>Silver</t>
        </is>
      </c>
      <c r="K1129" t="n">
        <v>679</v>
      </c>
      <c r="L1129" t="n">
        <v>31</v>
      </c>
      <c r="M1129" t="n">
        <v>19.14</v>
      </c>
      <c r="N1129" t="n">
        <v>1644.2</v>
      </c>
      <c r="O1129" t="n">
        <v>3.71</v>
      </c>
      <c r="P1129" t="n">
        <v>5</v>
      </c>
      <c r="Q1129" t="n">
        <v>3</v>
      </c>
      <c r="R1129" t="n">
        <v>2024.2</v>
      </c>
      <c r="S1129" t="b">
        <v>0</v>
      </c>
      <c r="T1129" t="n">
        <v>4898942</v>
      </c>
      <c r="U1129" t="n">
        <v>6</v>
      </c>
      <c r="V1129" t="n">
        <v>0.08019999999999999</v>
      </c>
      <c r="W1129" t="n">
        <v>2.29</v>
      </c>
      <c r="X1129" t="n">
        <v>89.44</v>
      </c>
      <c r="Y1129">
        <f>VLOOKUP(D1129,$AB$2:$AC$7,2,FALSE)</f>
        <v/>
      </c>
      <c r="Z1129">
        <f>IF(A1129&lt;Y1129,"Yes","No")</f>
        <v/>
      </c>
    </row>
    <row r="1130">
      <c r="A1130" t="n">
        <v>2024</v>
      </c>
      <c r="B1130" t="inlineStr">
        <is>
          <t>Q4</t>
        </is>
      </c>
      <c r="C1130" t="inlineStr">
        <is>
          <t>North America</t>
        </is>
      </c>
      <c r="D1130" t="inlineStr">
        <is>
          <t>Model X</t>
        </is>
      </c>
      <c r="E1130" t="n">
        <v>1854</v>
      </c>
      <c r="F1130" t="n">
        <v>41260.26</v>
      </c>
      <c r="G1130" t="n">
        <v>53</v>
      </c>
      <c r="H1130" t="inlineStr">
        <is>
          <t>Standard</t>
        </is>
      </c>
      <c r="I1130" t="inlineStr">
        <is>
          <t>AWD</t>
        </is>
      </c>
      <c r="J1130" t="inlineStr">
        <is>
          <t>White</t>
        </is>
      </c>
      <c r="K1130" t="n">
        <v>698</v>
      </c>
      <c r="L1130" t="n">
        <v>65</v>
      </c>
      <c r="M1130" t="n">
        <v>24.36</v>
      </c>
      <c r="N1130" t="n">
        <v>3427.46</v>
      </c>
      <c r="O1130" t="n">
        <v>4.61</v>
      </c>
      <c r="P1130" t="n">
        <v>4</v>
      </c>
      <c r="Q1130" t="n">
        <v>3</v>
      </c>
      <c r="R1130" t="n">
        <v>2023.4</v>
      </c>
      <c r="S1130" t="b">
        <v>0</v>
      </c>
      <c r="T1130" t="n">
        <v>4326500</v>
      </c>
      <c r="U1130" t="n">
        <v>6</v>
      </c>
      <c r="V1130" t="n">
        <v>0.09810000000000001</v>
      </c>
      <c r="W1130" t="n">
        <v>0.6899999999999999</v>
      </c>
      <c r="X1130" t="n">
        <v>77.54000000000001</v>
      </c>
      <c r="Y1130">
        <f>VLOOKUP(D1130,$AB$2:$AC$7,2,FALSE)</f>
        <v/>
      </c>
      <c r="Z1130">
        <f>IF(A1130&lt;Y1130,"Yes","No")</f>
        <v/>
      </c>
    </row>
    <row r="1131">
      <c r="A1131" t="n">
        <v>2013</v>
      </c>
      <c r="B1131" t="inlineStr">
        <is>
          <t>Q3</t>
        </is>
      </c>
      <c r="C1131" t="inlineStr">
        <is>
          <t>Europe</t>
        </is>
      </c>
      <c r="D1131" t="inlineStr">
        <is>
          <t>Semi</t>
        </is>
      </c>
      <c r="E1131" t="n">
        <v>3508</v>
      </c>
      <c r="F1131" t="n">
        <v>86544.35000000001</v>
      </c>
      <c r="G1131" t="n">
        <v>30</v>
      </c>
      <c r="H1131" t="inlineStr">
        <is>
          <t>Long Range</t>
        </is>
      </c>
      <c r="I1131" t="inlineStr">
        <is>
          <t>RWD</t>
        </is>
      </c>
      <c r="J1131" t="inlineStr">
        <is>
          <t>Green</t>
        </is>
      </c>
      <c r="K1131" t="n">
        <v>364</v>
      </c>
      <c r="L1131" t="n">
        <v>78</v>
      </c>
      <c r="M1131" t="n">
        <v>21.74</v>
      </c>
      <c r="N1131" t="n">
        <v>4599.24</v>
      </c>
      <c r="O1131" t="n">
        <v>4.23</v>
      </c>
      <c r="P1131" t="n">
        <v>8</v>
      </c>
      <c r="Q1131" t="n">
        <v>0</v>
      </c>
      <c r="R1131" t="n">
        <v>2024.8</v>
      </c>
      <c r="S1131" t="b">
        <v>0</v>
      </c>
      <c r="T1131" t="n">
        <v>3439743</v>
      </c>
      <c r="U1131" t="n">
        <v>4</v>
      </c>
      <c r="V1131" t="n">
        <v>0.0692</v>
      </c>
      <c r="W1131" t="n">
        <v>1.59</v>
      </c>
      <c r="X1131" t="n">
        <v>88.75</v>
      </c>
      <c r="Y1131">
        <f>VLOOKUP(D1131,$AB$2:$AC$7,2,FALSE)</f>
        <v/>
      </c>
      <c r="Z1131">
        <f>IF(A1131&lt;Y1131,"Yes","No")</f>
        <v/>
      </c>
    </row>
    <row r="1132">
      <c r="A1132" t="n">
        <v>2018</v>
      </c>
      <c r="B1132" t="inlineStr">
        <is>
          <t>Q2</t>
        </is>
      </c>
      <c r="C1132" t="inlineStr">
        <is>
          <t>Australia</t>
        </is>
      </c>
      <c r="D1132" t="inlineStr">
        <is>
          <t>Cybertruck</t>
        </is>
      </c>
      <c r="E1132" t="n">
        <v>4358</v>
      </c>
      <c r="F1132" t="n">
        <v>112014.43</v>
      </c>
      <c r="G1132" t="n">
        <v>42</v>
      </c>
      <c r="H1132" t="inlineStr">
        <is>
          <t>Long Range</t>
        </is>
      </c>
      <c r="I1132" t="inlineStr">
        <is>
          <t>AWD</t>
        </is>
      </c>
      <c r="J1132" t="inlineStr">
        <is>
          <t>Red</t>
        </is>
      </c>
      <c r="K1132" t="n">
        <v>685</v>
      </c>
      <c r="L1132" t="n">
        <v>55</v>
      </c>
      <c r="M1132" t="n">
        <v>23.55</v>
      </c>
      <c r="N1132" t="n">
        <v>8997.67</v>
      </c>
      <c r="O1132" t="n">
        <v>3.74</v>
      </c>
      <c r="P1132" t="n">
        <v>8</v>
      </c>
      <c r="Q1132" t="n">
        <v>1</v>
      </c>
      <c r="R1132" t="n">
        <v>2024.3</v>
      </c>
      <c r="S1132" t="b">
        <v>1</v>
      </c>
      <c r="T1132" t="n">
        <v>3666116</v>
      </c>
      <c r="U1132" t="n">
        <v>8</v>
      </c>
      <c r="V1132" t="n">
        <v>0.0491</v>
      </c>
      <c r="W1132" t="n">
        <v>1.53</v>
      </c>
      <c r="X1132" t="n">
        <v>80.73</v>
      </c>
      <c r="Y1132">
        <f>VLOOKUP(D1132,$AB$2:$AC$7,2,FALSE)</f>
        <v/>
      </c>
      <c r="Z1132">
        <f>IF(A1132&lt;Y1132,"Yes","No")</f>
        <v/>
      </c>
    </row>
    <row r="1133">
      <c r="A1133" t="n">
        <v>2012</v>
      </c>
      <c r="B1133" t="inlineStr">
        <is>
          <t>Q2</t>
        </is>
      </c>
      <c r="C1133" t="inlineStr">
        <is>
          <t>Australia</t>
        </is>
      </c>
      <c r="D1133" t="inlineStr">
        <is>
          <t>Semi</t>
        </is>
      </c>
      <c r="E1133" t="n">
        <v>3302</v>
      </c>
      <c r="F1133" t="n">
        <v>42278.15</v>
      </c>
      <c r="G1133" t="n">
        <v>25</v>
      </c>
      <c r="H1133" t="inlineStr">
        <is>
          <t>Long Range</t>
        </is>
      </c>
      <c r="I1133" t="inlineStr">
        <is>
          <t>AWD</t>
        </is>
      </c>
      <c r="J1133" t="inlineStr">
        <is>
          <t>Black</t>
        </is>
      </c>
      <c r="K1133" t="n">
        <v>631</v>
      </c>
      <c r="L1133" t="n">
        <v>88</v>
      </c>
      <c r="M1133" t="n">
        <v>20.69</v>
      </c>
      <c r="N1133" t="n">
        <v>6115.16</v>
      </c>
      <c r="O1133" t="n">
        <v>4.57</v>
      </c>
      <c r="P1133" t="n">
        <v>4</v>
      </c>
      <c r="Q1133" t="n">
        <v>3</v>
      </c>
      <c r="R1133" t="n">
        <v>2022.1</v>
      </c>
      <c r="S1133" t="b">
        <v>1</v>
      </c>
      <c r="T1133" t="n">
        <v>2767502</v>
      </c>
      <c r="U1133" t="n">
        <v>11</v>
      </c>
      <c r="V1133" t="n">
        <v>0.0582</v>
      </c>
      <c r="W1133" t="n">
        <v>0.77</v>
      </c>
      <c r="X1133" t="n">
        <v>70.23999999999999</v>
      </c>
      <c r="Y1133">
        <f>VLOOKUP(D1133,$AB$2:$AC$7,2,FALSE)</f>
        <v/>
      </c>
      <c r="Z1133">
        <f>IF(A1133&lt;Y1133,"Yes","No")</f>
        <v/>
      </c>
    </row>
    <row r="1134">
      <c r="A1134" t="n">
        <v>2019</v>
      </c>
      <c r="B1134" t="inlineStr">
        <is>
          <t>Q4</t>
        </is>
      </c>
      <c r="C1134" t="inlineStr">
        <is>
          <t>Australia</t>
        </is>
      </c>
      <c r="D1134" t="inlineStr">
        <is>
          <t>Model 3</t>
        </is>
      </c>
      <c r="E1134" t="n">
        <v>3603</v>
      </c>
      <c r="F1134" t="n">
        <v>62430.87</v>
      </c>
      <c r="G1134" t="n">
        <v>38</v>
      </c>
      <c r="H1134" t="inlineStr">
        <is>
          <t>Long Range</t>
        </is>
      </c>
      <c r="I1134" t="inlineStr">
        <is>
          <t>RWD</t>
        </is>
      </c>
      <c r="J1134" t="inlineStr">
        <is>
          <t>White</t>
        </is>
      </c>
      <c r="K1134" t="n">
        <v>362</v>
      </c>
      <c r="L1134" t="n">
        <v>65</v>
      </c>
      <c r="M1134" t="n">
        <v>23.06</v>
      </c>
      <c r="N1134" t="n">
        <v>8374.34</v>
      </c>
      <c r="O1134" t="n">
        <v>4.05</v>
      </c>
      <c r="P1134" t="n">
        <v>4</v>
      </c>
      <c r="Q1134" t="n">
        <v>2</v>
      </c>
      <c r="R1134" t="n">
        <v>2020.2</v>
      </c>
      <c r="S1134" t="b">
        <v>0</v>
      </c>
      <c r="T1134" t="n">
        <v>1146885</v>
      </c>
      <c r="U1134" t="n">
        <v>9</v>
      </c>
      <c r="V1134" t="n">
        <v>0.0198</v>
      </c>
      <c r="W1134" t="n">
        <v>2.39</v>
      </c>
      <c r="X1134" t="n">
        <v>71.63</v>
      </c>
      <c r="Y1134">
        <f>VLOOKUP(D1134,$AB$2:$AC$7,2,FALSE)</f>
        <v/>
      </c>
      <c r="Z1134">
        <f>IF(A1134&lt;Y1134,"Yes","No")</f>
        <v/>
      </c>
    </row>
    <row r="1135">
      <c r="A1135" t="n">
        <v>2019</v>
      </c>
      <c r="B1135" t="inlineStr">
        <is>
          <t>Q2</t>
        </is>
      </c>
      <c r="C1135" t="inlineStr">
        <is>
          <t>South America</t>
        </is>
      </c>
      <c r="D1135" t="inlineStr">
        <is>
          <t>Model S</t>
        </is>
      </c>
      <c r="E1135" t="n">
        <v>1189</v>
      </c>
      <c r="F1135" t="n">
        <v>85169.66</v>
      </c>
      <c r="G1135" t="n">
        <v>60</v>
      </c>
      <c r="H1135" t="inlineStr">
        <is>
          <t>Long Range</t>
        </is>
      </c>
      <c r="I1135" t="inlineStr">
        <is>
          <t>RWD</t>
        </is>
      </c>
      <c r="J1135" t="inlineStr">
        <is>
          <t>White</t>
        </is>
      </c>
      <c r="K1135" t="n">
        <v>397</v>
      </c>
      <c r="L1135" t="n">
        <v>64</v>
      </c>
      <c r="M1135" t="n">
        <v>19.39</v>
      </c>
      <c r="N1135" t="n">
        <v>785.4</v>
      </c>
      <c r="O1135" t="n">
        <v>3.67</v>
      </c>
      <c r="P1135" t="n">
        <v>6</v>
      </c>
      <c r="Q1135" t="n">
        <v>3</v>
      </c>
      <c r="R1135" t="n">
        <v>2020.1</v>
      </c>
      <c r="S1135" t="b">
        <v>0</v>
      </c>
      <c r="T1135" t="n">
        <v>465633</v>
      </c>
      <c r="U1135" t="n">
        <v>2</v>
      </c>
      <c r="V1135" t="n">
        <v>0.0747</v>
      </c>
      <c r="W1135" t="n">
        <v>0.87</v>
      </c>
      <c r="X1135" t="n">
        <v>68.09</v>
      </c>
      <c r="Y1135">
        <f>VLOOKUP(D1135,$AB$2:$AC$7,2,FALSE)</f>
        <v/>
      </c>
      <c r="Z1135">
        <f>IF(A1135&lt;Y1135,"Yes","No")</f>
        <v/>
      </c>
    </row>
    <row r="1136">
      <c r="A1136" t="n">
        <v>2023</v>
      </c>
      <c r="B1136" t="inlineStr">
        <is>
          <t>Q2</t>
        </is>
      </c>
      <c r="C1136" t="inlineStr">
        <is>
          <t>South America</t>
        </is>
      </c>
      <c r="D1136" t="inlineStr">
        <is>
          <t>Model Y</t>
        </is>
      </c>
      <c r="E1136" t="n">
        <v>4647</v>
      </c>
      <c r="F1136" t="n">
        <v>105998.01</v>
      </c>
      <c r="G1136" t="n">
        <v>31</v>
      </c>
      <c r="H1136" t="inlineStr">
        <is>
          <t>Long Range</t>
        </is>
      </c>
      <c r="I1136" t="inlineStr">
        <is>
          <t>RWD</t>
        </is>
      </c>
      <c r="J1136" t="inlineStr">
        <is>
          <t>Red</t>
        </is>
      </c>
      <c r="K1136" t="n">
        <v>670</v>
      </c>
      <c r="L1136" t="n">
        <v>44</v>
      </c>
      <c r="M1136" t="n">
        <v>20.71</v>
      </c>
      <c r="N1136" t="n">
        <v>9516.51</v>
      </c>
      <c r="O1136" t="n">
        <v>4.38</v>
      </c>
      <c r="P1136" t="n">
        <v>4</v>
      </c>
      <c r="Q1136" t="n">
        <v>0</v>
      </c>
      <c r="R1136" t="n">
        <v>2020.12</v>
      </c>
      <c r="S1136" t="b">
        <v>1</v>
      </c>
      <c r="T1136" t="n">
        <v>2951249</v>
      </c>
      <c r="U1136" t="n">
        <v>12</v>
      </c>
      <c r="V1136" t="n">
        <v>0.0112</v>
      </c>
      <c r="W1136" t="n">
        <v>1.79</v>
      </c>
      <c r="X1136" t="n">
        <v>71.73999999999999</v>
      </c>
      <c r="Y1136">
        <f>VLOOKUP(D1136,$AB$2:$AC$7,2,FALSE)</f>
        <v/>
      </c>
      <c r="Z1136">
        <f>IF(A1136&lt;Y1136,"Yes","No")</f>
        <v/>
      </c>
    </row>
    <row r="1137">
      <c r="A1137" t="n">
        <v>2022</v>
      </c>
      <c r="B1137" t="inlineStr">
        <is>
          <t>Q1</t>
        </is>
      </c>
      <c r="C1137" t="inlineStr">
        <is>
          <t>Australia</t>
        </is>
      </c>
      <c r="D1137" t="inlineStr">
        <is>
          <t>Model X</t>
        </is>
      </c>
      <c r="E1137" t="n">
        <v>1450</v>
      </c>
      <c r="F1137" t="n">
        <v>83587.75999999999</v>
      </c>
      <c r="G1137" t="n">
        <v>1</v>
      </c>
      <c r="H1137" t="inlineStr">
        <is>
          <t>Long Range</t>
        </is>
      </c>
      <c r="I1137" t="inlineStr">
        <is>
          <t>RWD</t>
        </is>
      </c>
      <c r="J1137" t="inlineStr">
        <is>
          <t>Black</t>
        </is>
      </c>
      <c r="K1137" t="n">
        <v>442</v>
      </c>
      <c r="L1137" t="n">
        <v>40</v>
      </c>
      <c r="M1137" t="n">
        <v>15.72</v>
      </c>
      <c r="N1137" t="n">
        <v>1273.19</v>
      </c>
      <c r="O1137" t="n">
        <v>4.41</v>
      </c>
      <c r="P1137" t="n">
        <v>4</v>
      </c>
      <c r="Q1137" t="n">
        <v>0</v>
      </c>
      <c r="R1137" t="n">
        <v>2023.3</v>
      </c>
      <c r="S1137" t="b">
        <v>1</v>
      </c>
      <c r="T1137" t="n">
        <v>214421</v>
      </c>
      <c r="U1137" t="n">
        <v>9</v>
      </c>
      <c r="V1137" t="n">
        <v>0.0675</v>
      </c>
      <c r="W1137" t="n">
        <v>0.54</v>
      </c>
      <c r="X1137" t="n">
        <v>64.08</v>
      </c>
      <c r="Y1137">
        <f>VLOOKUP(D1137,$AB$2:$AC$7,2,FALSE)</f>
        <v/>
      </c>
      <c r="Z1137">
        <f>IF(A1137&lt;Y1137,"Yes","No")</f>
        <v/>
      </c>
    </row>
    <row r="1138">
      <c r="A1138" t="n">
        <v>2016</v>
      </c>
      <c r="B1138" t="inlineStr">
        <is>
          <t>Q2</t>
        </is>
      </c>
      <c r="C1138" t="inlineStr">
        <is>
          <t>Australia</t>
        </is>
      </c>
      <c r="D1138" t="inlineStr">
        <is>
          <t>Semi</t>
        </is>
      </c>
      <c r="E1138" t="n">
        <v>3519</v>
      </c>
      <c r="F1138" t="n">
        <v>46805.89</v>
      </c>
      <c r="G1138" t="n">
        <v>44</v>
      </c>
      <c r="H1138" t="inlineStr">
        <is>
          <t>Performance</t>
        </is>
      </c>
      <c r="I1138" t="inlineStr">
        <is>
          <t>RWD</t>
        </is>
      </c>
      <c r="J1138" t="inlineStr">
        <is>
          <t>White</t>
        </is>
      </c>
      <c r="K1138" t="n">
        <v>472</v>
      </c>
      <c r="L1138" t="n">
        <v>60</v>
      </c>
      <c r="M1138" t="n">
        <v>24.34</v>
      </c>
      <c r="N1138" t="n">
        <v>6930.86</v>
      </c>
      <c r="O1138" t="n">
        <v>3.93</v>
      </c>
      <c r="P1138" t="n">
        <v>4</v>
      </c>
      <c r="Q1138" t="n">
        <v>2</v>
      </c>
      <c r="R1138" t="n">
        <v>2023.12</v>
      </c>
      <c r="S1138" t="b">
        <v>1</v>
      </c>
      <c r="T1138" t="n">
        <v>2424394</v>
      </c>
      <c r="U1138" t="n">
        <v>6</v>
      </c>
      <c r="V1138" t="n">
        <v>0.0452</v>
      </c>
      <c r="W1138" t="n">
        <v>1.83</v>
      </c>
      <c r="X1138" t="n">
        <v>77.93000000000001</v>
      </c>
      <c r="Y1138">
        <f>VLOOKUP(D1138,$AB$2:$AC$7,2,FALSE)</f>
        <v/>
      </c>
      <c r="Z1138">
        <f>IF(A1138&lt;Y1138,"Yes","No")</f>
        <v/>
      </c>
    </row>
    <row r="1139">
      <c r="A1139" t="n">
        <v>2018</v>
      </c>
      <c r="B1139" t="inlineStr">
        <is>
          <t>Q4</t>
        </is>
      </c>
      <c r="C1139" t="inlineStr">
        <is>
          <t>Asia</t>
        </is>
      </c>
      <c r="D1139" t="inlineStr">
        <is>
          <t>Model S</t>
        </is>
      </c>
      <c r="E1139" t="n">
        <v>3166</v>
      </c>
      <c r="F1139" t="n">
        <v>81133.75999999999</v>
      </c>
      <c r="G1139" t="n">
        <v>31</v>
      </c>
      <c r="H1139" t="inlineStr">
        <is>
          <t>Standard</t>
        </is>
      </c>
      <c r="I1139" t="inlineStr">
        <is>
          <t>RWD</t>
        </is>
      </c>
      <c r="J1139" t="inlineStr">
        <is>
          <t>Green</t>
        </is>
      </c>
      <c r="K1139" t="n">
        <v>505</v>
      </c>
      <c r="L1139" t="n">
        <v>46</v>
      </c>
      <c r="M1139" t="n">
        <v>24.28</v>
      </c>
      <c r="N1139" t="n">
        <v>2968.88</v>
      </c>
      <c r="O1139" t="n">
        <v>4</v>
      </c>
      <c r="P1139" t="n">
        <v>4</v>
      </c>
      <c r="Q1139" t="n">
        <v>2</v>
      </c>
      <c r="R1139" t="n">
        <v>2023.11</v>
      </c>
      <c r="S1139" t="b">
        <v>0</v>
      </c>
      <c r="T1139" t="n">
        <v>4705119</v>
      </c>
      <c r="U1139" t="n">
        <v>10</v>
      </c>
      <c r="V1139" t="n">
        <v>0.0696</v>
      </c>
      <c r="W1139" t="n">
        <v>1.34</v>
      </c>
      <c r="X1139" t="n">
        <v>87.81999999999999</v>
      </c>
      <c r="Y1139">
        <f>VLOOKUP(D1139,$AB$2:$AC$7,2,FALSE)</f>
        <v/>
      </c>
      <c r="Z1139">
        <f>IF(A1139&lt;Y1139,"Yes","No")</f>
        <v/>
      </c>
    </row>
    <row r="1140">
      <c r="A1140" t="n">
        <v>2020</v>
      </c>
      <c r="B1140" t="inlineStr">
        <is>
          <t>Q2</t>
        </is>
      </c>
      <c r="C1140" t="inlineStr">
        <is>
          <t>Asia</t>
        </is>
      </c>
      <c r="D1140" t="inlineStr">
        <is>
          <t>Cybertruck</t>
        </is>
      </c>
      <c r="E1140" t="n">
        <v>1674</v>
      </c>
      <c r="F1140" t="n">
        <v>101856.66</v>
      </c>
      <c r="G1140" t="n">
        <v>35</v>
      </c>
      <c r="H1140" t="inlineStr">
        <is>
          <t>Performance</t>
        </is>
      </c>
      <c r="I1140" t="inlineStr">
        <is>
          <t>AWD</t>
        </is>
      </c>
      <c r="J1140" t="inlineStr">
        <is>
          <t>Green</t>
        </is>
      </c>
      <c r="K1140" t="n">
        <v>530</v>
      </c>
      <c r="L1140" t="n">
        <v>71</v>
      </c>
      <c r="M1140" t="n">
        <v>19.56</v>
      </c>
      <c r="N1140" t="n">
        <v>2273.16</v>
      </c>
      <c r="O1140" t="n">
        <v>3.74</v>
      </c>
      <c r="P1140" t="n">
        <v>8</v>
      </c>
      <c r="Q1140" t="n">
        <v>3</v>
      </c>
      <c r="R1140" t="n">
        <v>2021.7</v>
      </c>
      <c r="S1140" t="b">
        <v>0</v>
      </c>
      <c r="T1140" t="n">
        <v>2614179</v>
      </c>
      <c r="U1140" t="n">
        <v>10</v>
      </c>
      <c r="V1140" t="n">
        <v>0.0382</v>
      </c>
      <c r="W1140" t="n">
        <v>0.8100000000000001</v>
      </c>
      <c r="X1140" t="n">
        <v>85.81999999999999</v>
      </c>
      <c r="Y1140">
        <f>VLOOKUP(D1140,$AB$2:$AC$7,2,FALSE)</f>
        <v/>
      </c>
      <c r="Z1140">
        <f>IF(A1140&lt;Y1140,"Yes","No")</f>
        <v/>
      </c>
    </row>
    <row r="1141">
      <c r="A1141" t="n">
        <v>2024</v>
      </c>
      <c r="B1141" t="inlineStr">
        <is>
          <t>Q4</t>
        </is>
      </c>
      <c r="C1141" t="inlineStr">
        <is>
          <t>Australia</t>
        </is>
      </c>
      <c r="D1141" t="inlineStr">
        <is>
          <t>Model X</t>
        </is>
      </c>
      <c r="E1141" t="n">
        <v>4346</v>
      </c>
      <c r="F1141" t="n">
        <v>75034.96000000001</v>
      </c>
      <c r="G1141" t="n">
        <v>59</v>
      </c>
      <c r="H1141" t="inlineStr">
        <is>
          <t>Performance</t>
        </is>
      </c>
      <c r="I1141" t="inlineStr">
        <is>
          <t>RWD</t>
        </is>
      </c>
      <c r="J1141" t="inlineStr">
        <is>
          <t>Black</t>
        </is>
      </c>
      <c r="K1141" t="n">
        <v>431</v>
      </c>
      <c r="L1141" t="n">
        <v>79</v>
      </c>
      <c r="M1141" t="n">
        <v>23.61</v>
      </c>
      <c r="N1141" t="n">
        <v>5723.8</v>
      </c>
      <c r="O1141" t="n">
        <v>4.71</v>
      </c>
      <c r="P1141" t="n">
        <v>5</v>
      </c>
      <c r="Q1141" t="n">
        <v>2</v>
      </c>
      <c r="R1141" t="n">
        <v>2022.4</v>
      </c>
      <c r="S1141" t="b">
        <v>0</v>
      </c>
      <c r="T1141" t="n">
        <v>2928776</v>
      </c>
      <c r="U1141" t="n">
        <v>10</v>
      </c>
      <c r="V1141" t="n">
        <v>0.0129</v>
      </c>
      <c r="W1141" t="n">
        <v>0.55</v>
      </c>
      <c r="X1141" t="n">
        <v>81.72</v>
      </c>
      <c r="Y1141">
        <f>VLOOKUP(D1141,$AB$2:$AC$7,2,FALSE)</f>
        <v/>
      </c>
      <c r="Z1141">
        <f>IF(A1141&lt;Y1141,"Yes","No")</f>
        <v/>
      </c>
    </row>
    <row r="1142">
      <c r="A1142" t="n">
        <v>2016</v>
      </c>
      <c r="B1142" t="inlineStr">
        <is>
          <t>Q3</t>
        </is>
      </c>
      <c r="C1142" t="inlineStr">
        <is>
          <t>North America</t>
        </is>
      </c>
      <c r="D1142" t="inlineStr">
        <is>
          <t>Model X</t>
        </is>
      </c>
      <c r="E1142" t="n">
        <v>311</v>
      </c>
      <c r="F1142" t="n">
        <v>85649.86</v>
      </c>
      <c r="G1142" t="n">
        <v>34</v>
      </c>
      <c r="H1142" t="inlineStr">
        <is>
          <t>Long Range</t>
        </is>
      </c>
      <c r="I1142" t="inlineStr">
        <is>
          <t>RWD</t>
        </is>
      </c>
      <c r="J1142" t="inlineStr">
        <is>
          <t>Blue</t>
        </is>
      </c>
      <c r="K1142" t="n">
        <v>434</v>
      </c>
      <c r="L1142" t="n">
        <v>76</v>
      </c>
      <c r="M1142" t="n">
        <v>22.87</v>
      </c>
      <c r="N1142" t="n">
        <v>187.31</v>
      </c>
      <c r="O1142" t="n">
        <v>3.8</v>
      </c>
      <c r="P1142" t="n">
        <v>5</v>
      </c>
      <c r="Q1142" t="n">
        <v>1</v>
      </c>
      <c r="R1142" t="n">
        <v>2024.1</v>
      </c>
      <c r="S1142" t="b">
        <v>0</v>
      </c>
      <c r="T1142" t="n">
        <v>3848336</v>
      </c>
      <c r="U1142" t="n">
        <v>5</v>
      </c>
      <c r="V1142" t="n">
        <v>0.09229999999999999</v>
      </c>
      <c r="W1142" t="n">
        <v>1.48</v>
      </c>
      <c r="X1142" t="n">
        <v>64.26000000000001</v>
      </c>
      <c r="Y1142">
        <f>VLOOKUP(D1142,$AB$2:$AC$7,2,FALSE)</f>
        <v/>
      </c>
      <c r="Z1142">
        <f>IF(A1142&lt;Y1142,"Yes","No")</f>
        <v/>
      </c>
    </row>
    <row r="1143">
      <c r="A1143" t="n">
        <v>2021</v>
      </c>
      <c r="B1143" t="inlineStr">
        <is>
          <t>Q3</t>
        </is>
      </c>
      <c r="C1143" t="inlineStr">
        <is>
          <t>Asia</t>
        </is>
      </c>
      <c r="D1143" t="inlineStr">
        <is>
          <t>Semi</t>
        </is>
      </c>
      <c r="E1143" t="n">
        <v>2879</v>
      </c>
      <c r="F1143" t="n">
        <v>91691.12</v>
      </c>
      <c r="G1143" t="n">
        <v>43</v>
      </c>
      <c r="H1143" t="inlineStr">
        <is>
          <t>Standard</t>
        </is>
      </c>
      <c r="I1143" t="inlineStr">
        <is>
          <t>AWD</t>
        </is>
      </c>
      <c r="J1143" t="inlineStr">
        <is>
          <t>Silver</t>
        </is>
      </c>
      <c r="K1143" t="n">
        <v>364</v>
      </c>
      <c r="L1143" t="n">
        <v>34</v>
      </c>
      <c r="M1143" t="n">
        <v>18.06</v>
      </c>
      <c r="N1143" t="n">
        <v>3368.91</v>
      </c>
      <c r="O1143" t="n">
        <v>4.99</v>
      </c>
      <c r="P1143" t="n">
        <v>4</v>
      </c>
      <c r="Q1143" t="n">
        <v>2</v>
      </c>
      <c r="R1143" t="n">
        <v>2020.11</v>
      </c>
      <c r="S1143" t="b">
        <v>1</v>
      </c>
      <c r="T1143" t="n">
        <v>140815</v>
      </c>
      <c r="U1143" t="n">
        <v>6</v>
      </c>
      <c r="V1143" t="n">
        <v>0.0993</v>
      </c>
      <c r="W1143" t="n">
        <v>0.55</v>
      </c>
      <c r="X1143" t="n">
        <v>65.55</v>
      </c>
      <c r="Y1143">
        <f>VLOOKUP(D1143,$AB$2:$AC$7,2,FALSE)</f>
        <v/>
      </c>
      <c r="Z1143">
        <f>IF(A1143&lt;Y1143,"Yes","No")</f>
        <v/>
      </c>
    </row>
    <row r="1144">
      <c r="A1144" t="n">
        <v>2020</v>
      </c>
      <c r="B1144" t="inlineStr">
        <is>
          <t>Q1</t>
        </is>
      </c>
      <c r="C1144" t="inlineStr">
        <is>
          <t>Asia</t>
        </is>
      </c>
      <c r="D1144" t="inlineStr">
        <is>
          <t>Model 3</t>
        </is>
      </c>
      <c r="E1144" t="n">
        <v>2863</v>
      </c>
      <c r="F1144" t="n">
        <v>54292.95</v>
      </c>
      <c r="G1144" t="n">
        <v>4</v>
      </c>
      <c r="H1144" t="inlineStr">
        <is>
          <t>Standard</t>
        </is>
      </c>
      <c r="I1144" t="inlineStr">
        <is>
          <t>RWD</t>
        </is>
      </c>
      <c r="J1144" t="inlineStr">
        <is>
          <t>Silver</t>
        </is>
      </c>
      <c r="K1144" t="n">
        <v>485</v>
      </c>
      <c r="L1144" t="n">
        <v>79</v>
      </c>
      <c r="M1144" t="n">
        <v>21.21</v>
      </c>
      <c r="N1144" t="n">
        <v>5281.29</v>
      </c>
      <c r="O1144" t="n">
        <v>3.85</v>
      </c>
      <c r="P1144" t="n">
        <v>5</v>
      </c>
      <c r="Q1144" t="n">
        <v>3</v>
      </c>
      <c r="R1144" t="n">
        <v>2024.6</v>
      </c>
      <c r="S1144" t="b">
        <v>1</v>
      </c>
      <c r="T1144" t="n">
        <v>759926</v>
      </c>
      <c r="U1144" t="n">
        <v>3</v>
      </c>
      <c r="V1144" t="n">
        <v>0.0201</v>
      </c>
      <c r="W1144" t="n">
        <v>0.98</v>
      </c>
      <c r="X1144" t="n">
        <v>70.58</v>
      </c>
      <c r="Y1144">
        <f>VLOOKUP(D1144,$AB$2:$AC$7,2,FALSE)</f>
        <v/>
      </c>
      <c r="Z1144">
        <f>IF(A1144&lt;Y1144,"Yes","No")</f>
        <v/>
      </c>
    </row>
    <row r="1145">
      <c r="A1145" t="n">
        <v>2012</v>
      </c>
      <c r="B1145" t="inlineStr">
        <is>
          <t>Q3</t>
        </is>
      </c>
      <c r="C1145" t="inlineStr">
        <is>
          <t>Europe</t>
        </is>
      </c>
      <c r="D1145" t="inlineStr">
        <is>
          <t>Model Y</t>
        </is>
      </c>
      <c r="E1145" t="n">
        <v>2982</v>
      </c>
      <c r="F1145" t="n">
        <v>50695.3</v>
      </c>
      <c r="G1145" t="n">
        <v>29</v>
      </c>
      <c r="H1145" t="inlineStr">
        <is>
          <t>Long Range</t>
        </is>
      </c>
      <c r="I1145" t="inlineStr">
        <is>
          <t>AWD</t>
        </is>
      </c>
      <c r="J1145" t="inlineStr">
        <is>
          <t>Silver</t>
        </is>
      </c>
      <c r="K1145" t="n">
        <v>572</v>
      </c>
      <c r="L1145" t="n">
        <v>83</v>
      </c>
      <c r="M1145" t="n">
        <v>21.11</v>
      </c>
      <c r="N1145" t="n">
        <v>6895.04</v>
      </c>
      <c r="O1145" t="n">
        <v>4.71</v>
      </c>
      <c r="P1145" t="n">
        <v>6</v>
      </c>
      <c r="Q1145" t="n">
        <v>0</v>
      </c>
      <c r="R1145" t="n">
        <v>2020.9</v>
      </c>
      <c r="S1145" t="b">
        <v>0</v>
      </c>
      <c r="T1145" t="n">
        <v>4259996</v>
      </c>
      <c r="U1145" t="n">
        <v>5</v>
      </c>
      <c r="V1145" t="n">
        <v>0.0576</v>
      </c>
      <c r="W1145" t="n">
        <v>1.61</v>
      </c>
      <c r="X1145" t="n">
        <v>80.31</v>
      </c>
      <c r="Y1145">
        <f>VLOOKUP(D1145,$AB$2:$AC$7,2,FALSE)</f>
        <v/>
      </c>
      <c r="Z1145">
        <f>IF(A1145&lt;Y1145,"Yes","No")</f>
        <v/>
      </c>
    </row>
    <row r="1146">
      <c r="A1146" t="n">
        <v>2017</v>
      </c>
      <c r="B1146" t="inlineStr">
        <is>
          <t>Q3</t>
        </is>
      </c>
      <c r="C1146" t="inlineStr">
        <is>
          <t>Asia</t>
        </is>
      </c>
      <c r="D1146" t="inlineStr">
        <is>
          <t>Model S</t>
        </is>
      </c>
      <c r="E1146" t="n">
        <v>2176</v>
      </c>
      <c r="F1146" t="n">
        <v>88713.25999999999</v>
      </c>
      <c r="G1146" t="n">
        <v>27</v>
      </c>
      <c r="H1146" t="inlineStr">
        <is>
          <t>Standard</t>
        </is>
      </c>
      <c r="I1146" t="inlineStr">
        <is>
          <t>AWD</t>
        </is>
      </c>
      <c r="J1146" t="inlineStr">
        <is>
          <t>Silver</t>
        </is>
      </c>
      <c r="K1146" t="n">
        <v>468</v>
      </c>
      <c r="L1146" t="n">
        <v>50</v>
      </c>
      <c r="M1146" t="n">
        <v>14.13</v>
      </c>
      <c r="N1146" t="n">
        <v>3162.32</v>
      </c>
      <c r="O1146" t="n">
        <v>4.85</v>
      </c>
      <c r="P1146" t="n">
        <v>6</v>
      </c>
      <c r="Q1146" t="n">
        <v>2</v>
      </c>
      <c r="R1146" t="n">
        <v>2022.6</v>
      </c>
      <c r="S1146" t="b">
        <v>1</v>
      </c>
      <c r="T1146" t="n">
        <v>3906376</v>
      </c>
      <c r="U1146" t="n">
        <v>2</v>
      </c>
      <c r="V1146" t="n">
        <v>0.0931</v>
      </c>
      <c r="W1146" t="n">
        <v>1.34</v>
      </c>
      <c r="X1146" t="n">
        <v>74.22</v>
      </c>
      <c r="Y1146">
        <f>VLOOKUP(D1146,$AB$2:$AC$7,2,FALSE)</f>
        <v/>
      </c>
      <c r="Z1146">
        <f>IF(A1146&lt;Y1146,"Yes","No")</f>
        <v/>
      </c>
    </row>
    <row r="1147">
      <c r="A1147" t="n">
        <v>2020</v>
      </c>
      <c r="B1147" t="inlineStr">
        <is>
          <t>Q1</t>
        </is>
      </c>
      <c r="C1147" t="inlineStr">
        <is>
          <t>Australia</t>
        </is>
      </c>
      <c r="D1147" t="inlineStr">
        <is>
          <t>Model Y</t>
        </is>
      </c>
      <c r="E1147" t="n">
        <v>1686</v>
      </c>
      <c r="F1147" t="n">
        <v>56033.31</v>
      </c>
      <c r="G1147" t="n">
        <v>16</v>
      </c>
      <c r="H1147" t="inlineStr">
        <is>
          <t>Long Range</t>
        </is>
      </c>
      <c r="I1147" t="inlineStr">
        <is>
          <t>AWD</t>
        </is>
      </c>
      <c r="J1147" t="inlineStr">
        <is>
          <t>Black</t>
        </is>
      </c>
      <c r="K1147" t="n">
        <v>394</v>
      </c>
      <c r="L1147" t="n">
        <v>72</v>
      </c>
      <c r="M1147" t="n">
        <v>16.81</v>
      </c>
      <c r="N1147" t="n">
        <v>2446.82</v>
      </c>
      <c r="O1147" t="n">
        <v>4.94</v>
      </c>
      <c r="P1147" t="n">
        <v>5</v>
      </c>
      <c r="Q1147" t="n">
        <v>3</v>
      </c>
      <c r="R1147" t="n">
        <v>2022.2</v>
      </c>
      <c r="S1147" t="b">
        <v>1</v>
      </c>
      <c r="T1147" t="n">
        <v>3659411</v>
      </c>
      <c r="U1147" t="n">
        <v>2</v>
      </c>
      <c r="V1147" t="n">
        <v>0.0562</v>
      </c>
      <c r="W1147" t="n">
        <v>1.55</v>
      </c>
      <c r="X1147" t="n">
        <v>75.33</v>
      </c>
      <c r="Y1147">
        <f>VLOOKUP(D1147,$AB$2:$AC$7,2,FALSE)</f>
        <v/>
      </c>
      <c r="Z1147">
        <f>IF(A1147&lt;Y1147,"Yes","No")</f>
        <v/>
      </c>
    </row>
    <row r="1148">
      <c r="A1148" t="n">
        <v>2024</v>
      </c>
      <c r="B1148" t="inlineStr">
        <is>
          <t>Q4</t>
        </is>
      </c>
      <c r="C1148" t="inlineStr">
        <is>
          <t>Australia</t>
        </is>
      </c>
      <c r="D1148" t="inlineStr">
        <is>
          <t>Model 3</t>
        </is>
      </c>
      <c r="E1148" t="n">
        <v>165</v>
      </c>
      <c r="F1148" t="n">
        <v>85078.21000000001</v>
      </c>
      <c r="G1148" t="n">
        <v>59</v>
      </c>
      <c r="H1148" t="inlineStr">
        <is>
          <t>Standard</t>
        </is>
      </c>
      <c r="I1148" t="inlineStr">
        <is>
          <t>RWD</t>
        </is>
      </c>
      <c r="J1148" t="inlineStr">
        <is>
          <t>Silver</t>
        </is>
      </c>
      <c r="K1148" t="n">
        <v>469</v>
      </c>
      <c r="L1148" t="n">
        <v>35</v>
      </c>
      <c r="M1148" t="n">
        <v>20.24</v>
      </c>
      <c r="N1148" t="n">
        <v>224.89</v>
      </c>
      <c r="O1148" t="n">
        <v>3.53</v>
      </c>
      <c r="P1148" t="n">
        <v>5</v>
      </c>
      <c r="Q1148" t="n">
        <v>2</v>
      </c>
      <c r="R1148" t="n">
        <v>2020.7</v>
      </c>
      <c r="S1148" t="b">
        <v>0</v>
      </c>
      <c r="T1148" t="n">
        <v>597581</v>
      </c>
      <c r="U1148" t="n">
        <v>6</v>
      </c>
      <c r="V1148" t="n">
        <v>0.0402</v>
      </c>
      <c r="W1148" t="n">
        <v>1.92</v>
      </c>
      <c r="X1148" t="n">
        <v>81.63</v>
      </c>
      <c r="Y1148">
        <f>VLOOKUP(D1148,$AB$2:$AC$7,2,FALSE)</f>
        <v/>
      </c>
      <c r="Z1148">
        <f>IF(A1148&lt;Y1148,"Yes","No")</f>
        <v/>
      </c>
    </row>
    <row r="1149">
      <c r="A1149" t="n">
        <v>2021</v>
      </c>
      <c r="B1149" t="inlineStr">
        <is>
          <t>Q2</t>
        </is>
      </c>
      <c r="C1149" t="inlineStr">
        <is>
          <t>Europe</t>
        </is>
      </c>
      <c r="D1149" t="inlineStr">
        <is>
          <t>Semi</t>
        </is>
      </c>
      <c r="E1149" t="n">
        <v>3480</v>
      </c>
      <c r="F1149" t="n">
        <v>72460.62</v>
      </c>
      <c r="G1149" t="n">
        <v>43</v>
      </c>
      <c r="H1149" t="inlineStr">
        <is>
          <t>Standard</t>
        </is>
      </c>
      <c r="I1149" t="inlineStr">
        <is>
          <t>AWD</t>
        </is>
      </c>
      <c r="J1149" t="inlineStr">
        <is>
          <t>Black</t>
        </is>
      </c>
      <c r="K1149" t="n">
        <v>493</v>
      </c>
      <c r="L1149" t="n">
        <v>80</v>
      </c>
      <c r="M1149" t="n">
        <v>15.75</v>
      </c>
      <c r="N1149" t="n">
        <v>7136.78</v>
      </c>
      <c r="O1149" t="n">
        <v>4.88</v>
      </c>
      <c r="P1149" t="n">
        <v>4</v>
      </c>
      <c r="Q1149" t="n">
        <v>2</v>
      </c>
      <c r="R1149" t="n">
        <v>2024.6</v>
      </c>
      <c r="S1149" t="b">
        <v>1</v>
      </c>
      <c r="T1149" t="n">
        <v>2547395</v>
      </c>
      <c r="U1149" t="n">
        <v>12</v>
      </c>
      <c r="V1149" t="n">
        <v>0.0237</v>
      </c>
      <c r="W1149" t="n">
        <v>0.79</v>
      </c>
      <c r="X1149" t="n">
        <v>78.23</v>
      </c>
      <c r="Y1149">
        <f>VLOOKUP(D1149,$AB$2:$AC$7,2,FALSE)</f>
        <v/>
      </c>
      <c r="Z1149">
        <f>IF(A1149&lt;Y1149,"Yes","No")</f>
        <v/>
      </c>
    </row>
    <row r="1150">
      <c r="A1150" t="n">
        <v>2015</v>
      </c>
      <c r="B1150" t="inlineStr">
        <is>
          <t>Q4</t>
        </is>
      </c>
      <c r="C1150" t="inlineStr">
        <is>
          <t>Asia</t>
        </is>
      </c>
      <c r="D1150" t="inlineStr">
        <is>
          <t>Model X</t>
        </is>
      </c>
      <c r="E1150" t="n">
        <v>428</v>
      </c>
      <c r="F1150" t="n">
        <v>108016.79</v>
      </c>
      <c r="G1150" t="n">
        <v>9</v>
      </c>
      <c r="H1150" t="inlineStr">
        <is>
          <t>Performance</t>
        </is>
      </c>
      <c r="I1150" t="inlineStr">
        <is>
          <t>AWD</t>
        </is>
      </c>
      <c r="J1150" t="inlineStr">
        <is>
          <t>Green</t>
        </is>
      </c>
      <c r="K1150" t="n">
        <v>471</v>
      </c>
      <c r="L1150" t="n">
        <v>36</v>
      </c>
      <c r="M1150" t="n">
        <v>15.96</v>
      </c>
      <c r="N1150" t="n">
        <v>327.43</v>
      </c>
      <c r="O1150" t="n">
        <v>4.04</v>
      </c>
      <c r="P1150" t="n">
        <v>6</v>
      </c>
      <c r="Q1150" t="n">
        <v>3</v>
      </c>
      <c r="R1150" t="n">
        <v>2023.8</v>
      </c>
      <c r="S1150" t="b">
        <v>1</v>
      </c>
      <c r="T1150" t="n">
        <v>636228</v>
      </c>
      <c r="U1150" t="n">
        <v>3</v>
      </c>
      <c r="V1150" t="n">
        <v>0.0747</v>
      </c>
      <c r="W1150" t="n">
        <v>1.09</v>
      </c>
      <c r="X1150" t="n">
        <v>60.73</v>
      </c>
      <c r="Y1150">
        <f>VLOOKUP(D1150,$AB$2:$AC$7,2,FALSE)</f>
        <v/>
      </c>
      <c r="Z1150">
        <f>IF(A1150&lt;Y1150,"Yes","No")</f>
        <v/>
      </c>
    </row>
    <row r="1151">
      <c r="A1151" t="n">
        <v>2016</v>
      </c>
      <c r="B1151" t="inlineStr">
        <is>
          <t>Q3</t>
        </is>
      </c>
      <c r="C1151" t="inlineStr">
        <is>
          <t>Europe</t>
        </is>
      </c>
      <c r="D1151" t="inlineStr">
        <is>
          <t>Model S</t>
        </is>
      </c>
      <c r="E1151" t="n">
        <v>4320</v>
      </c>
      <c r="F1151" t="n">
        <v>107321.36</v>
      </c>
      <c r="G1151" t="n">
        <v>12</v>
      </c>
      <c r="H1151" t="inlineStr">
        <is>
          <t>Performance</t>
        </is>
      </c>
      <c r="I1151" t="inlineStr">
        <is>
          <t>RWD</t>
        </is>
      </c>
      <c r="J1151" t="inlineStr">
        <is>
          <t>Black</t>
        </is>
      </c>
      <c r="K1151" t="n">
        <v>573</v>
      </c>
      <c r="L1151" t="n">
        <v>86</v>
      </c>
      <c r="M1151" t="n">
        <v>20.38</v>
      </c>
      <c r="N1151" t="n">
        <v>4104.21</v>
      </c>
      <c r="O1151" t="n">
        <v>4.69</v>
      </c>
      <c r="P1151" t="n">
        <v>4</v>
      </c>
      <c r="Q1151" t="n">
        <v>1</v>
      </c>
      <c r="R1151" t="n">
        <v>2024.8</v>
      </c>
      <c r="S1151" t="b">
        <v>0</v>
      </c>
      <c r="T1151" t="n">
        <v>1095747</v>
      </c>
      <c r="U1151" t="n">
        <v>12</v>
      </c>
      <c r="V1151" t="n">
        <v>0.0678</v>
      </c>
      <c r="W1151" t="n">
        <v>1.14</v>
      </c>
      <c r="X1151" t="n">
        <v>72.23999999999999</v>
      </c>
      <c r="Y1151">
        <f>VLOOKUP(D1151,$AB$2:$AC$7,2,FALSE)</f>
        <v/>
      </c>
      <c r="Z1151">
        <f>IF(A1151&lt;Y1151,"Yes","No")</f>
        <v/>
      </c>
    </row>
    <row r="1152">
      <c r="A1152" t="n">
        <v>2022</v>
      </c>
      <c r="B1152" t="inlineStr">
        <is>
          <t>Q1</t>
        </is>
      </c>
      <c r="C1152" t="inlineStr">
        <is>
          <t>Australia</t>
        </is>
      </c>
      <c r="D1152" t="inlineStr">
        <is>
          <t>Cybertruck</t>
        </is>
      </c>
      <c r="E1152" t="n">
        <v>1086</v>
      </c>
      <c r="F1152" t="n">
        <v>68135.28</v>
      </c>
      <c r="G1152" t="n">
        <v>50</v>
      </c>
      <c r="H1152" t="inlineStr">
        <is>
          <t>Long Range</t>
        </is>
      </c>
      <c r="I1152" t="inlineStr">
        <is>
          <t>AWD</t>
        </is>
      </c>
      <c r="J1152" t="inlineStr">
        <is>
          <t>Blue</t>
        </is>
      </c>
      <c r="K1152" t="n">
        <v>459</v>
      </c>
      <c r="L1152" t="n">
        <v>84</v>
      </c>
      <c r="M1152" t="n">
        <v>14.94</v>
      </c>
      <c r="N1152" t="n">
        <v>785.27</v>
      </c>
      <c r="O1152" t="n">
        <v>4.14</v>
      </c>
      <c r="P1152" t="n">
        <v>4</v>
      </c>
      <c r="Q1152" t="n">
        <v>0</v>
      </c>
      <c r="R1152" t="n">
        <v>2024.8</v>
      </c>
      <c r="S1152" t="b">
        <v>1</v>
      </c>
      <c r="T1152" t="n">
        <v>1405433</v>
      </c>
      <c r="U1152" t="n">
        <v>4</v>
      </c>
      <c r="V1152" t="n">
        <v>0.0188</v>
      </c>
      <c r="W1152" t="n">
        <v>1.6</v>
      </c>
      <c r="X1152" t="n">
        <v>71.91</v>
      </c>
      <c r="Y1152">
        <f>VLOOKUP(D1152,$AB$2:$AC$7,2,FALSE)</f>
        <v/>
      </c>
      <c r="Z1152">
        <f>IF(A1152&lt;Y1152,"Yes","No")</f>
        <v/>
      </c>
    </row>
    <row r="1153">
      <c r="A1153" t="n">
        <v>2013</v>
      </c>
      <c r="B1153" t="inlineStr">
        <is>
          <t>Q3</t>
        </is>
      </c>
      <c r="C1153" t="inlineStr">
        <is>
          <t>Australia</t>
        </is>
      </c>
      <c r="D1153" t="inlineStr">
        <is>
          <t>Model 3</t>
        </is>
      </c>
      <c r="E1153" t="n">
        <v>3822</v>
      </c>
      <c r="F1153" t="n">
        <v>71987.71000000001</v>
      </c>
      <c r="G1153" t="n">
        <v>30</v>
      </c>
      <c r="H1153" t="inlineStr">
        <is>
          <t>Standard</t>
        </is>
      </c>
      <c r="I1153" t="inlineStr">
        <is>
          <t>AWD</t>
        </is>
      </c>
      <c r="J1153" t="inlineStr">
        <is>
          <t>White</t>
        </is>
      </c>
      <c r="K1153" t="n">
        <v>420</v>
      </c>
      <c r="L1153" t="n">
        <v>66</v>
      </c>
      <c r="M1153" t="n">
        <v>19.17</v>
      </c>
      <c r="N1153" t="n">
        <v>5360.13</v>
      </c>
      <c r="O1153" t="n">
        <v>3.5</v>
      </c>
      <c r="P1153" t="n">
        <v>6</v>
      </c>
      <c r="Q1153" t="n">
        <v>2</v>
      </c>
      <c r="R1153" t="n">
        <v>2024.12</v>
      </c>
      <c r="S1153" t="b">
        <v>1</v>
      </c>
      <c r="T1153" t="n">
        <v>3230293</v>
      </c>
      <c r="U1153" t="n">
        <v>5</v>
      </c>
      <c r="V1153" t="n">
        <v>0.0151</v>
      </c>
      <c r="W1153" t="n">
        <v>1.05</v>
      </c>
      <c r="X1153" t="n">
        <v>61.53</v>
      </c>
      <c r="Y1153">
        <f>VLOOKUP(D1153,$AB$2:$AC$7,2,FALSE)</f>
        <v/>
      </c>
      <c r="Z1153">
        <f>IF(A1153&lt;Y1153,"Yes","No")</f>
        <v/>
      </c>
    </row>
    <row r="1154">
      <c r="A1154" t="n">
        <v>2024</v>
      </c>
      <c r="B1154" t="inlineStr">
        <is>
          <t>Q2</t>
        </is>
      </c>
      <c r="C1154" t="inlineStr">
        <is>
          <t>North America</t>
        </is>
      </c>
      <c r="D1154" t="inlineStr">
        <is>
          <t>Model 3</t>
        </is>
      </c>
      <c r="E1154" t="n">
        <v>3140</v>
      </c>
      <c r="F1154" t="n">
        <v>98104.11</v>
      </c>
      <c r="G1154" t="n">
        <v>33</v>
      </c>
      <c r="H1154" t="inlineStr">
        <is>
          <t>Standard</t>
        </is>
      </c>
      <c r="I1154" t="inlineStr">
        <is>
          <t>RWD</t>
        </is>
      </c>
      <c r="J1154" t="inlineStr">
        <is>
          <t>Silver</t>
        </is>
      </c>
      <c r="K1154" t="n">
        <v>663</v>
      </c>
      <c r="L1154" t="n">
        <v>32</v>
      </c>
      <c r="M1154" t="n">
        <v>23.64</v>
      </c>
      <c r="N1154" t="n">
        <v>6247.19</v>
      </c>
      <c r="O1154" t="n">
        <v>3.96</v>
      </c>
      <c r="P1154" t="n">
        <v>6</v>
      </c>
      <c r="Q1154" t="n">
        <v>0</v>
      </c>
      <c r="R1154" t="n">
        <v>2021.1</v>
      </c>
      <c r="S1154" t="b">
        <v>0</v>
      </c>
      <c r="T1154" t="n">
        <v>4319460</v>
      </c>
      <c r="U1154" t="n">
        <v>8</v>
      </c>
      <c r="V1154" t="n">
        <v>0.0507</v>
      </c>
      <c r="W1154" t="n">
        <v>1.29</v>
      </c>
      <c r="X1154" t="n">
        <v>67.13</v>
      </c>
      <c r="Y1154">
        <f>VLOOKUP(D1154,$AB$2:$AC$7,2,FALSE)</f>
        <v/>
      </c>
      <c r="Z1154">
        <f>IF(A1154&lt;Y1154,"Yes","No")</f>
        <v/>
      </c>
    </row>
    <row r="1155">
      <c r="A1155" t="n">
        <v>2024</v>
      </c>
      <c r="B1155" t="inlineStr">
        <is>
          <t>Q1</t>
        </is>
      </c>
      <c r="C1155" t="inlineStr">
        <is>
          <t>Asia</t>
        </is>
      </c>
      <c r="D1155" t="inlineStr">
        <is>
          <t>Model S</t>
        </is>
      </c>
      <c r="E1155" t="n">
        <v>1735</v>
      </c>
      <c r="F1155" t="n">
        <v>58217.11</v>
      </c>
      <c r="G1155" t="n">
        <v>43</v>
      </c>
      <c r="H1155" t="inlineStr">
        <is>
          <t>Performance</t>
        </is>
      </c>
      <c r="I1155" t="inlineStr">
        <is>
          <t>RWD</t>
        </is>
      </c>
      <c r="J1155" t="inlineStr">
        <is>
          <t>Green</t>
        </is>
      </c>
      <c r="K1155" t="n">
        <v>528</v>
      </c>
      <c r="L1155" t="n">
        <v>49</v>
      </c>
      <c r="M1155" t="n">
        <v>20.51</v>
      </c>
      <c r="N1155" t="n">
        <v>2729.05</v>
      </c>
      <c r="O1155" t="n">
        <v>4.59</v>
      </c>
      <c r="P1155" t="n">
        <v>5</v>
      </c>
      <c r="Q1155" t="n">
        <v>3</v>
      </c>
      <c r="R1155" t="n">
        <v>2024.9</v>
      </c>
      <c r="S1155" t="b">
        <v>1</v>
      </c>
      <c r="T1155" t="n">
        <v>474580</v>
      </c>
      <c r="U1155" t="n">
        <v>3</v>
      </c>
      <c r="V1155" t="n">
        <v>0.09</v>
      </c>
      <c r="W1155" t="n">
        <v>2.16</v>
      </c>
      <c r="X1155" t="n">
        <v>79.95</v>
      </c>
      <c r="Y1155">
        <f>VLOOKUP(D1155,$AB$2:$AC$7,2,FALSE)</f>
        <v/>
      </c>
      <c r="Z1155">
        <f>IF(A1155&lt;Y1155,"Yes","No")</f>
        <v/>
      </c>
    </row>
    <row r="1156">
      <c r="A1156" t="n">
        <v>2019</v>
      </c>
      <c r="B1156" t="inlineStr">
        <is>
          <t>Q2</t>
        </is>
      </c>
      <c r="C1156" t="inlineStr">
        <is>
          <t>North America</t>
        </is>
      </c>
      <c r="D1156" t="inlineStr">
        <is>
          <t>Model S</t>
        </is>
      </c>
      <c r="E1156" t="n">
        <v>2618</v>
      </c>
      <c r="F1156" t="n">
        <v>43510.94</v>
      </c>
      <c r="G1156" t="n">
        <v>15</v>
      </c>
      <c r="H1156" t="inlineStr">
        <is>
          <t>Long Range</t>
        </is>
      </c>
      <c r="I1156" t="inlineStr">
        <is>
          <t>RWD</t>
        </is>
      </c>
      <c r="J1156" t="inlineStr">
        <is>
          <t>Red</t>
        </is>
      </c>
      <c r="K1156" t="n">
        <v>401</v>
      </c>
      <c r="L1156" t="n">
        <v>64</v>
      </c>
      <c r="M1156" t="n">
        <v>16.73</v>
      </c>
      <c r="N1156" t="n">
        <v>2088.63</v>
      </c>
      <c r="O1156" t="n">
        <v>3.65</v>
      </c>
      <c r="P1156" t="n">
        <v>5</v>
      </c>
      <c r="Q1156" t="n">
        <v>2</v>
      </c>
      <c r="R1156" t="n">
        <v>2021.3</v>
      </c>
      <c r="S1156" t="b">
        <v>1</v>
      </c>
      <c r="T1156" t="n">
        <v>4715187</v>
      </c>
      <c r="U1156" t="n">
        <v>5</v>
      </c>
      <c r="V1156" t="n">
        <v>0.0717</v>
      </c>
      <c r="W1156" t="n">
        <v>0.65</v>
      </c>
      <c r="X1156" t="n">
        <v>82.56999999999999</v>
      </c>
      <c r="Y1156">
        <f>VLOOKUP(D1156,$AB$2:$AC$7,2,FALSE)</f>
        <v/>
      </c>
      <c r="Z1156">
        <f>IF(A1156&lt;Y1156,"Yes","No")</f>
        <v/>
      </c>
    </row>
    <row r="1157">
      <c r="A1157" t="n">
        <v>2018</v>
      </c>
      <c r="B1157" t="inlineStr">
        <is>
          <t>Q1</t>
        </is>
      </c>
      <c r="C1157" t="inlineStr">
        <is>
          <t>Australia</t>
        </is>
      </c>
      <c r="D1157" t="inlineStr">
        <is>
          <t>Model 3</t>
        </is>
      </c>
      <c r="E1157" t="n">
        <v>3452</v>
      </c>
      <c r="F1157" t="n">
        <v>106493.17</v>
      </c>
      <c r="G1157" t="n">
        <v>15</v>
      </c>
      <c r="H1157" t="inlineStr">
        <is>
          <t>Performance</t>
        </is>
      </c>
      <c r="I1157" t="inlineStr">
        <is>
          <t>AWD</t>
        </is>
      </c>
      <c r="J1157" t="inlineStr">
        <is>
          <t>Green</t>
        </is>
      </c>
      <c r="K1157" t="n">
        <v>595</v>
      </c>
      <c r="L1157" t="n">
        <v>45</v>
      </c>
      <c r="M1157" t="n">
        <v>21.86</v>
      </c>
      <c r="N1157" t="n">
        <v>5870.01</v>
      </c>
      <c r="O1157" t="n">
        <v>4.2</v>
      </c>
      <c r="P1157" t="n">
        <v>6</v>
      </c>
      <c r="Q1157" t="n">
        <v>3</v>
      </c>
      <c r="R1157" t="n">
        <v>2023.8</v>
      </c>
      <c r="S1157" t="b">
        <v>1</v>
      </c>
      <c r="T1157" t="n">
        <v>487327</v>
      </c>
      <c r="U1157" t="n">
        <v>2</v>
      </c>
      <c r="V1157" t="n">
        <v>0.0121</v>
      </c>
      <c r="W1157" t="n">
        <v>0.76</v>
      </c>
      <c r="X1157" t="n">
        <v>67.70999999999999</v>
      </c>
      <c r="Y1157">
        <f>VLOOKUP(D1157,$AB$2:$AC$7,2,FALSE)</f>
        <v/>
      </c>
      <c r="Z1157">
        <f>IF(A1157&lt;Y1157,"Yes","No")</f>
        <v/>
      </c>
    </row>
    <row r="1158">
      <c r="A1158" t="n">
        <v>2023</v>
      </c>
      <c r="B1158" t="inlineStr">
        <is>
          <t>Q1</t>
        </is>
      </c>
      <c r="C1158" t="inlineStr">
        <is>
          <t>North America</t>
        </is>
      </c>
      <c r="D1158" t="inlineStr">
        <is>
          <t>Model Y</t>
        </is>
      </c>
      <c r="E1158" t="n">
        <v>122</v>
      </c>
      <c r="F1158" t="n">
        <v>73823.92</v>
      </c>
      <c r="G1158" t="n">
        <v>27</v>
      </c>
      <c r="H1158" t="inlineStr">
        <is>
          <t>Standard</t>
        </is>
      </c>
      <c r="I1158" t="inlineStr">
        <is>
          <t>RWD</t>
        </is>
      </c>
      <c r="J1158" t="inlineStr">
        <is>
          <t>Silver</t>
        </is>
      </c>
      <c r="K1158" t="n">
        <v>536</v>
      </c>
      <c r="L1158" t="n">
        <v>85</v>
      </c>
      <c r="M1158" t="n">
        <v>22.53</v>
      </c>
      <c r="N1158" t="n">
        <v>254.85</v>
      </c>
      <c r="O1158" t="n">
        <v>4.51</v>
      </c>
      <c r="P1158" t="n">
        <v>6</v>
      </c>
      <c r="Q1158" t="n">
        <v>0</v>
      </c>
      <c r="R1158" t="n">
        <v>2021.4</v>
      </c>
      <c r="S1158" t="b">
        <v>0</v>
      </c>
      <c r="T1158" t="n">
        <v>153852</v>
      </c>
      <c r="U1158" t="n">
        <v>10</v>
      </c>
      <c r="V1158" t="n">
        <v>0.0434</v>
      </c>
      <c r="W1158" t="n">
        <v>2.03</v>
      </c>
      <c r="X1158" t="n">
        <v>86.45999999999999</v>
      </c>
      <c r="Y1158">
        <f>VLOOKUP(D1158,$AB$2:$AC$7,2,FALSE)</f>
        <v/>
      </c>
      <c r="Z1158">
        <f>IF(A1158&lt;Y1158,"Yes","No")</f>
        <v/>
      </c>
    </row>
    <row r="1159">
      <c r="A1159" t="n">
        <v>2021</v>
      </c>
      <c r="B1159" t="inlineStr">
        <is>
          <t>Q1</t>
        </is>
      </c>
      <c r="C1159" t="inlineStr">
        <is>
          <t>South America</t>
        </is>
      </c>
      <c r="D1159" t="inlineStr">
        <is>
          <t>Model X</t>
        </is>
      </c>
      <c r="E1159" t="n">
        <v>2539</v>
      </c>
      <c r="F1159" t="n">
        <v>65753.60000000001</v>
      </c>
      <c r="G1159" t="n">
        <v>59</v>
      </c>
      <c r="H1159" t="inlineStr">
        <is>
          <t>Long Range</t>
        </is>
      </c>
      <c r="I1159" t="inlineStr">
        <is>
          <t>RWD</t>
        </is>
      </c>
      <c r="J1159" t="inlineStr">
        <is>
          <t>Silver</t>
        </is>
      </c>
      <c r="K1159" t="n">
        <v>591</v>
      </c>
      <c r="L1159" t="n">
        <v>39</v>
      </c>
      <c r="M1159" t="n">
        <v>20.4</v>
      </c>
      <c r="N1159" t="n">
        <v>3016.93</v>
      </c>
      <c r="O1159" t="n">
        <v>4.08</v>
      </c>
      <c r="P1159" t="n">
        <v>4</v>
      </c>
      <c r="Q1159" t="n">
        <v>1</v>
      </c>
      <c r="R1159" t="n">
        <v>2023.7</v>
      </c>
      <c r="S1159" t="b">
        <v>0</v>
      </c>
      <c r="T1159" t="n">
        <v>756386</v>
      </c>
      <c r="U1159" t="n">
        <v>5</v>
      </c>
      <c r="V1159" t="n">
        <v>0.0495</v>
      </c>
      <c r="W1159" t="n">
        <v>1.97</v>
      </c>
      <c r="X1159" t="n">
        <v>84.33</v>
      </c>
      <c r="Y1159">
        <f>VLOOKUP(D1159,$AB$2:$AC$7,2,FALSE)</f>
        <v/>
      </c>
      <c r="Z1159">
        <f>IF(A1159&lt;Y1159,"Yes","No")</f>
        <v/>
      </c>
    </row>
    <row r="1160">
      <c r="A1160" t="n">
        <v>2023</v>
      </c>
      <c r="B1160" t="inlineStr">
        <is>
          <t>Q4</t>
        </is>
      </c>
      <c r="C1160" t="inlineStr">
        <is>
          <t>Europe</t>
        </is>
      </c>
      <c r="D1160" t="inlineStr">
        <is>
          <t>Model Y</t>
        </is>
      </c>
      <c r="E1160" t="n">
        <v>2020</v>
      </c>
      <c r="F1160" t="n">
        <v>84695.62</v>
      </c>
      <c r="G1160" t="n">
        <v>25</v>
      </c>
      <c r="H1160" t="inlineStr">
        <is>
          <t>Standard</t>
        </is>
      </c>
      <c r="I1160" t="inlineStr">
        <is>
          <t>AWD</t>
        </is>
      </c>
      <c r="J1160" t="inlineStr">
        <is>
          <t>Green</t>
        </is>
      </c>
      <c r="K1160" t="n">
        <v>555</v>
      </c>
      <c r="L1160" t="n">
        <v>78</v>
      </c>
      <c r="M1160" t="n">
        <v>22.95</v>
      </c>
      <c r="N1160" t="n">
        <v>4741.61</v>
      </c>
      <c r="O1160" t="n">
        <v>4.16</v>
      </c>
      <c r="P1160" t="n">
        <v>5</v>
      </c>
      <c r="Q1160" t="n">
        <v>0</v>
      </c>
      <c r="R1160" t="n">
        <v>2022.6</v>
      </c>
      <c r="S1160" t="b">
        <v>0</v>
      </c>
      <c r="T1160" t="n">
        <v>1840411</v>
      </c>
      <c r="U1160" t="n">
        <v>9</v>
      </c>
      <c r="V1160" t="n">
        <v>0.0189</v>
      </c>
      <c r="W1160" t="n">
        <v>1.59</v>
      </c>
      <c r="X1160" t="n">
        <v>85.56</v>
      </c>
      <c r="Y1160">
        <f>VLOOKUP(D1160,$AB$2:$AC$7,2,FALSE)</f>
        <v/>
      </c>
      <c r="Z1160">
        <f>IF(A1160&lt;Y1160,"Yes","No")</f>
        <v/>
      </c>
    </row>
    <row r="1161">
      <c r="A1161" t="n">
        <v>2019</v>
      </c>
      <c r="B1161" t="inlineStr">
        <is>
          <t>Q3</t>
        </is>
      </c>
      <c r="C1161" t="inlineStr">
        <is>
          <t>North America</t>
        </is>
      </c>
      <c r="D1161" t="inlineStr">
        <is>
          <t>Model 3</t>
        </is>
      </c>
      <c r="E1161" t="n">
        <v>1195</v>
      </c>
      <c r="F1161" t="n">
        <v>53480.31</v>
      </c>
      <c r="G1161" t="n">
        <v>41</v>
      </c>
      <c r="H1161" t="inlineStr">
        <is>
          <t>Performance</t>
        </is>
      </c>
      <c r="I1161" t="inlineStr">
        <is>
          <t>RWD</t>
        </is>
      </c>
      <c r="J1161" t="inlineStr">
        <is>
          <t>Green</t>
        </is>
      </c>
      <c r="K1161" t="n">
        <v>544</v>
      </c>
      <c r="L1161" t="n">
        <v>34</v>
      </c>
      <c r="M1161" t="n">
        <v>16.62</v>
      </c>
      <c r="N1161" t="n">
        <v>2479.53</v>
      </c>
      <c r="O1161" t="n">
        <v>4.83</v>
      </c>
      <c r="P1161" t="n">
        <v>5</v>
      </c>
      <c r="Q1161" t="n">
        <v>3</v>
      </c>
      <c r="R1161" t="n">
        <v>2023.4</v>
      </c>
      <c r="S1161" t="b">
        <v>1</v>
      </c>
      <c r="T1161" t="n">
        <v>107117</v>
      </c>
      <c r="U1161" t="n">
        <v>6</v>
      </c>
      <c r="V1161" t="n">
        <v>0.0956</v>
      </c>
      <c r="W1161" t="n">
        <v>0.72</v>
      </c>
      <c r="X1161" t="n">
        <v>84.17</v>
      </c>
      <c r="Y1161">
        <f>VLOOKUP(D1161,$AB$2:$AC$7,2,FALSE)</f>
        <v/>
      </c>
      <c r="Z1161">
        <f>IF(A1161&lt;Y1161,"Yes","No")</f>
        <v/>
      </c>
    </row>
    <row r="1162">
      <c r="A1162" t="n">
        <v>2018</v>
      </c>
      <c r="B1162" t="inlineStr">
        <is>
          <t>Q1</t>
        </is>
      </c>
      <c r="C1162" t="inlineStr">
        <is>
          <t>Asia</t>
        </is>
      </c>
      <c r="D1162" t="inlineStr">
        <is>
          <t>Model 3</t>
        </is>
      </c>
      <c r="E1162" t="n">
        <v>887</v>
      </c>
      <c r="F1162" t="n">
        <v>66840.42999999999</v>
      </c>
      <c r="G1162" t="n">
        <v>18</v>
      </c>
      <c r="H1162" t="inlineStr">
        <is>
          <t>Performance</t>
        </is>
      </c>
      <c r="I1162" t="inlineStr">
        <is>
          <t>AWD</t>
        </is>
      </c>
      <c r="J1162" t="inlineStr">
        <is>
          <t>Red</t>
        </is>
      </c>
      <c r="K1162" t="n">
        <v>657</v>
      </c>
      <c r="L1162" t="n">
        <v>55</v>
      </c>
      <c r="M1162" t="n">
        <v>24.88</v>
      </c>
      <c r="N1162" t="n">
        <v>1751.15</v>
      </c>
      <c r="O1162" t="n">
        <v>3.81</v>
      </c>
      <c r="P1162" t="n">
        <v>8</v>
      </c>
      <c r="Q1162" t="n">
        <v>2</v>
      </c>
      <c r="R1162" t="n">
        <v>2023.1</v>
      </c>
      <c r="S1162" t="b">
        <v>0</v>
      </c>
      <c r="T1162" t="n">
        <v>3357280</v>
      </c>
      <c r="U1162" t="n">
        <v>7</v>
      </c>
      <c r="V1162" t="n">
        <v>0.0439</v>
      </c>
      <c r="W1162" t="n">
        <v>2.45</v>
      </c>
      <c r="X1162" t="n">
        <v>71.62</v>
      </c>
      <c r="Y1162">
        <f>VLOOKUP(D1162,$AB$2:$AC$7,2,FALSE)</f>
        <v/>
      </c>
      <c r="Z1162">
        <f>IF(A1162&lt;Y1162,"Yes","No")</f>
        <v/>
      </c>
    </row>
    <row r="1163">
      <c r="A1163" t="n">
        <v>2020</v>
      </c>
      <c r="B1163" t="inlineStr">
        <is>
          <t>Q4</t>
        </is>
      </c>
      <c r="C1163" t="inlineStr">
        <is>
          <t>North America</t>
        </is>
      </c>
      <c r="D1163" t="inlineStr">
        <is>
          <t>Model 3</t>
        </is>
      </c>
      <c r="E1163" t="n">
        <v>3141</v>
      </c>
      <c r="F1163" t="n">
        <v>81852.55</v>
      </c>
      <c r="G1163" t="n">
        <v>49</v>
      </c>
      <c r="H1163" t="inlineStr">
        <is>
          <t>Standard</t>
        </is>
      </c>
      <c r="I1163" t="inlineStr">
        <is>
          <t>AWD</t>
        </is>
      </c>
      <c r="J1163" t="inlineStr">
        <is>
          <t>Red</t>
        </is>
      </c>
      <c r="K1163" t="n">
        <v>492</v>
      </c>
      <c r="L1163" t="n">
        <v>64</v>
      </c>
      <c r="M1163" t="n">
        <v>15.64</v>
      </c>
      <c r="N1163" t="n">
        <v>5860.55</v>
      </c>
      <c r="O1163" t="n">
        <v>4.88</v>
      </c>
      <c r="P1163" t="n">
        <v>5</v>
      </c>
      <c r="Q1163" t="n">
        <v>3</v>
      </c>
      <c r="R1163" t="n">
        <v>2021.12</v>
      </c>
      <c r="S1163" t="b">
        <v>1</v>
      </c>
      <c r="T1163" t="n">
        <v>2990004</v>
      </c>
      <c r="U1163" t="n">
        <v>11</v>
      </c>
      <c r="V1163" t="n">
        <v>0.0978</v>
      </c>
      <c r="W1163" t="n">
        <v>1.99</v>
      </c>
      <c r="X1163" t="n">
        <v>64.34999999999999</v>
      </c>
      <c r="Y1163">
        <f>VLOOKUP(D1163,$AB$2:$AC$7,2,FALSE)</f>
        <v/>
      </c>
      <c r="Z1163">
        <f>IF(A1163&lt;Y1163,"Yes","No")</f>
        <v/>
      </c>
    </row>
    <row r="1164">
      <c r="A1164" t="n">
        <v>2023</v>
      </c>
      <c r="B1164" t="inlineStr">
        <is>
          <t>Q1</t>
        </is>
      </c>
      <c r="C1164" t="inlineStr">
        <is>
          <t>Europe</t>
        </is>
      </c>
      <c r="D1164" t="inlineStr">
        <is>
          <t>Model Y</t>
        </is>
      </c>
      <c r="E1164" t="n">
        <v>522</v>
      </c>
      <c r="F1164" t="n">
        <v>67580.64999999999</v>
      </c>
      <c r="G1164" t="n">
        <v>38</v>
      </c>
      <c r="H1164" t="inlineStr">
        <is>
          <t>Standard</t>
        </is>
      </c>
      <c r="I1164" t="inlineStr">
        <is>
          <t>RWD</t>
        </is>
      </c>
      <c r="J1164" t="inlineStr">
        <is>
          <t>Red</t>
        </is>
      </c>
      <c r="K1164" t="n">
        <v>372</v>
      </c>
      <c r="L1164" t="n">
        <v>88</v>
      </c>
      <c r="M1164" t="n">
        <v>16.17</v>
      </c>
      <c r="N1164" t="n">
        <v>654.71</v>
      </c>
      <c r="O1164" t="n">
        <v>4.9</v>
      </c>
      <c r="P1164" t="n">
        <v>5</v>
      </c>
      <c r="Q1164" t="n">
        <v>0</v>
      </c>
      <c r="R1164" t="n">
        <v>2020.9</v>
      </c>
      <c r="S1164" t="b">
        <v>0</v>
      </c>
      <c r="T1164" t="n">
        <v>1528906</v>
      </c>
      <c r="U1164" t="n">
        <v>4</v>
      </c>
      <c r="V1164" t="n">
        <v>0.0562</v>
      </c>
      <c r="W1164" t="n">
        <v>1.06</v>
      </c>
      <c r="X1164" t="n">
        <v>63.72</v>
      </c>
      <c r="Y1164">
        <f>VLOOKUP(D1164,$AB$2:$AC$7,2,FALSE)</f>
        <v/>
      </c>
      <c r="Z1164">
        <f>IF(A1164&lt;Y1164,"Yes","No")</f>
        <v/>
      </c>
    </row>
    <row r="1165">
      <c r="A1165" t="n">
        <v>2015</v>
      </c>
      <c r="B1165" t="inlineStr">
        <is>
          <t>Q1</t>
        </is>
      </c>
      <c r="C1165" t="inlineStr">
        <is>
          <t>North America</t>
        </is>
      </c>
      <c r="D1165" t="inlineStr">
        <is>
          <t>Cybertruck</t>
        </is>
      </c>
      <c r="E1165" t="n">
        <v>985</v>
      </c>
      <c r="F1165" t="n">
        <v>72939.75</v>
      </c>
      <c r="G1165" t="n">
        <v>37</v>
      </c>
      <c r="H1165" t="inlineStr">
        <is>
          <t>Long Range</t>
        </is>
      </c>
      <c r="I1165" t="inlineStr">
        <is>
          <t>AWD</t>
        </is>
      </c>
      <c r="J1165" t="inlineStr">
        <is>
          <t>Blue</t>
        </is>
      </c>
      <c r="K1165" t="n">
        <v>521</v>
      </c>
      <c r="L1165" t="n">
        <v>73</v>
      </c>
      <c r="M1165" t="n">
        <v>18.38</v>
      </c>
      <c r="N1165" t="n">
        <v>1699.76</v>
      </c>
      <c r="O1165" t="n">
        <v>4.69</v>
      </c>
      <c r="P1165" t="n">
        <v>6</v>
      </c>
      <c r="Q1165" t="n">
        <v>3</v>
      </c>
      <c r="R1165" t="n">
        <v>2022.1</v>
      </c>
      <c r="S1165" t="b">
        <v>0</v>
      </c>
      <c r="T1165" t="n">
        <v>577145</v>
      </c>
      <c r="U1165" t="n">
        <v>7</v>
      </c>
      <c r="V1165" t="n">
        <v>0.0245</v>
      </c>
      <c r="W1165" t="n">
        <v>2.24</v>
      </c>
      <c r="X1165" t="n">
        <v>63.19</v>
      </c>
      <c r="Y1165">
        <f>VLOOKUP(D1165,$AB$2:$AC$7,2,FALSE)</f>
        <v/>
      </c>
      <c r="Z1165">
        <f>IF(A1165&lt;Y1165,"Yes","No")</f>
        <v/>
      </c>
    </row>
    <row r="1166">
      <c r="A1166" t="n">
        <v>2013</v>
      </c>
      <c r="B1166" t="inlineStr">
        <is>
          <t>Q1</t>
        </is>
      </c>
      <c r="C1166" t="inlineStr">
        <is>
          <t>Asia</t>
        </is>
      </c>
      <c r="D1166" t="inlineStr">
        <is>
          <t>Cybertruck</t>
        </is>
      </c>
      <c r="E1166" t="n">
        <v>3402</v>
      </c>
      <c r="F1166" t="n">
        <v>102194.83</v>
      </c>
      <c r="G1166" t="n">
        <v>26</v>
      </c>
      <c r="H1166" t="inlineStr">
        <is>
          <t>Long Range</t>
        </is>
      </c>
      <c r="I1166" t="inlineStr">
        <is>
          <t>AWD</t>
        </is>
      </c>
      <c r="J1166" t="inlineStr">
        <is>
          <t>Silver</t>
        </is>
      </c>
      <c r="K1166" t="n">
        <v>667</v>
      </c>
      <c r="L1166" t="n">
        <v>64</v>
      </c>
      <c r="M1166" t="n">
        <v>20.95</v>
      </c>
      <c r="N1166" t="n">
        <v>8470.309999999999</v>
      </c>
      <c r="O1166" t="n">
        <v>4.84</v>
      </c>
      <c r="P1166" t="n">
        <v>4</v>
      </c>
      <c r="Q1166" t="n">
        <v>3</v>
      </c>
      <c r="R1166" t="n">
        <v>2020.8</v>
      </c>
      <c r="S1166" t="b">
        <v>1</v>
      </c>
      <c r="T1166" t="n">
        <v>2728847</v>
      </c>
      <c r="U1166" t="n">
        <v>8</v>
      </c>
      <c r="V1166" t="n">
        <v>0.08749999999999999</v>
      </c>
      <c r="W1166" t="n">
        <v>0.6899999999999999</v>
      </c>
      <c r="X1166" t="n">
        <v>72.23999999999999</v>
      </c>
      <c r="Y1166">
        <f>VLOOKUP(D1166,$AB$2:$AC$7,2,FALSE)</f>
        <v/>
      </c>
      <c r="Z1166">
        <f>IF(A1166&lt;Y1166,"Yes","No")</f>
        <v/>
      </c>
    </row>
    <row r="1167">
      <c r="A1167" t="n">
        <v>2013</v>
      </c>
      <c r="B1167" t="inlineStr">
        <is>
          <t>Q2</t>
        </is>
      </c>
      <c r="C1167" t="inlineStr">
        <is>
          <t>South America</t>
        </is>
      </c>
      <c r="D1167" t="inlineStr">
        <is>
          <t>Model Y</t>
        </is>
      </c>
      <c r="E1167" t="n">
        <v>3052</v>
      </c>
      <c r="F1167" t="n">
        <v>105788.26</v>
      </c>
      <c r="G1167" t="n">
        <v>28</v>
      </c>
      <c r="H1167" t="inlineStr">
        <is>
          <t>Standard</t>
        </is>
      </c>
      <c r="I1167" t="inlineStr">
        <is>
          <t>RWD</t>
        </is>
      </c>
      <c r="J1167" t="inlineStr">
        <is>
          <t>Red</t>
        </is>
      </c>
      <c r="K1167" t="n">
        <v>564</v>
      </c>
      <c r="L1167" t="n">
        <v>68</v>
      </c>
      <c r="M1167" t="n">
        <v>16.66</v>
      </c>
      <c r="N1167" t="n">
        <v>4031.82</v>
      </c>
      <c r="O1167" t="n">
        <v>4.23</v>
      </c>
      <c r="P1167" t="n">
        <v>4</v>
      </c>
      <c r="Q1167" t="n">
        <v>0</v>
      </c>
      <c r="R1167" t="n">
        <v>2024.4</v>
      </c>
      <c r="S1167" t="b">
        <v>1</v>
      </c>
      <c r="T1167" t="n">
        <v>3388031</v>
      </c>
      <c r="U1167" t="n">
        <v>10</v>
      </c>
      <c r="V1167" t="n">
        <v>0.098</v>
      </c>
      <c r="W1167" t="n">
        <v>0.83</v>
      </c>
      <c r="X1167" t="n">
        <v>61.42</v>
      </c>
      <c r="Y1167">
        <f>VLOOKUP(D1167,$AB$2:$AC$7,2,FALSE)</f>
        <v/>
      </c>
      <c r="Z1167">
        <f>IF(A1167&lt;Y1167,"Yes","No")</f>
        <v/>
      </c>
    </row>
    <row r="1168">
      <c r="A1168" t="n">
        <v>2024</v>
      </c>
      <c r="B1168" t="inlineStr">
        <is>
          <t>Q2</t>
        </is>
      </c>
      <c r="C1168" t="inlineStr">
        <is>
          <t>North America</t>
        </is>
      </c>
      <c r="D1168" t="inlineStr">
        <is>
          <t>Model Y</t>
        </is>
      </c>
      <c r="E1168" t="n">
        <v>679</v>
      </c>
      <c r="F1168" t="n">
        <v>71211.55</v>
      </c>
      <c r="G1168" t="n">
        <v>31</v>
      </c>
      <c r="H1168" t="inlineStr">
        <is>
          <t>Long Range</t>
        </is>
      </c>
      <c r="I1168" t="inlineStr">
        <is>
          <t>AWD</t>
        </is>
      </c>
      <c r="J1168" t="inlineStr">
        <is>
          <t>Green</t>
        </is>
      </c>
      <c r="K1168" t="n">
        <v>437</v>
      </c>
      <c r="L1168" t="n">
        <v>37</v>
      </c>
      <c r="M1168" t="n">
        <v>17.67</v>
      </c>
      <c r="N1168" t="n">
        <v>1429.26</v>
      </c>
      <c r="O1168" t="n">
        <v>4.54</v>
      </c>
      <c r="P1168" t="n">
        <v>8</v>
      </c>
      <c r="Q1168" t="n">
        <v>0</v>
      </c>
      <c r="R1168" t="n">
        <v>2021.2</v>
      </c>
      <c r="S1168" t="b">
        <v>0</v>
      </c>
      <c r="T1168" t="n">
        <v>4519818</v>
      </c>
      <c r="U1168" t="n">
        <v>7</v>
      </c>
      <c r="V1168" t="n">
        <v>0.0341</v>
      </c>
      <c r="W1168" t="n">
        <v>0.57</v>
      </c>
      <c r="X1168" t="n">
        <v>85.44</v>
      </c>
      <c r="Y1168">
        <f>VLOOKUP(D1168,$AB$2:$AC$7,2,FALSE)</f>
        <v/>
      </c>
      <c r="Z1168">
        <f>IF(A1168&lt;Y1168,"Yes","No")</f>
        <v/>
      </c>
    </row>
    <row r="1169">
      <c r="A1169" t="n">
        <v>2016</v>
      </c>
      <c r="B1169" t="inlineStr">
        <is>
          <t>Q1</t>
        </is>
      </c>
      <c r="C1169" t="inlineStr">
        <is>
          <t>Europe</t>
        </is>
      </c>
      <c r="D1169" t="inlineStr">
        <is>
          <t>Model Y</t>
        </is>
      </c>
      <c r="E1169" t="n">
        <v>1388</v>
      </c>
      <c r="F1169" t="n">
        <v>86117.00999999999</v>
      </c>
      <c r="G1169" t="n">
        <v>47</v>
      </c>
      <c r="H1169" t="inlineStr">
        <is>
          <t>Long Range</t>
        </is>
      </c>
      <c r="I1169" t="inlineStr">
        <is>
          <t>RWD</t>
        </is>
      </c>
      <c r="J1169" t="inlineStr">
        <is>
          <t>Silver</t>
        </is>
      </c>
      <c r="K1169" t="n">
        <v>520</v>
      </c>
      <c r="L1169" t="n">
        <v>62</v>
      </c>
      <c r="M1169" t="n">
        <v>15.7</v>
      </c>
      <c r="N1169" t="n">
        <v>2622.89</v>
      </c>
      <c r="O1169" t="n">
        <v>4.86</v>
      </c>
      <c r="P1169" t="n">
        <v>5</v>
      </c>
      <c r="Q1169" t="n">
        <v>0</v>
      </c>
      <c r="R1169" t="n">
        <v>2021.8</v>
      </c>
      <c r="S1169" t="b">
        <v>0</v>
      </c>
      <c r="T1169" t="n">
        <v>1927267</v>
      </c>
      <c r="U1169" t="n">
        <v>11</v>
      </c>
      <c r="V1169" t="n">
        <v>0.0669</v>
      </c>
      <c r="W1169" t="n">
        <v>0.79</v>
      </c>
      <c r="X1169" t="n">
        <v>69.66</v>
      </c>
      <c r="Y1169">
        <f>VLOOKUP(D1169,$AB$2:$AC$7,2,FALSE)</f>
        <v/>
      </c>
      <c r="Z1169">
        <f>IF(A1169&lt;Y1169,"Yes","No")</f>
        <v/>
      </c>
    </row>
    <row r="1170">
      <c r="A1170" t="n">
        <v>2017</v>
      </c>
      <c r="B1170" t="inlineStr">
        <is>
          <t>Q1</t>
        </is>
      </c>
      <c r="C1170" t="inlineStr">
        <is>
          <t>Australia</t>
        </is>
      </c>
      <c r="D1170" t="inlineStr">
        <is>
          <t>Model X</t>
        </is>
      </c>
      <c r="E1170" t="n">
        <v>621</v>
      </c>
      <c r="F1170" t="n">
        <v>105858.28</v>
      </c>
      <c r="G1170" t="n">
        <v>44</v>
      </c>
      <c r="H1170" t="inlineStr">
        <is>
          <t>Performance</t>
        </is>
      </c>
      <c r="I1170" t="inlineStr">
        <is>
          <t>AWD</t>
        </is>
      </c>
      <c r="J1170" t="inlineStr">
        <is>
          <t>White</t>
        </is>
      </c>
      <c r="K1170" t="n">
        <v>635</v>
      </c>
      <c r="L1170" t="n">
        <v>86</v>
      </c>
      <c r="M1170" t="n">
        <v>23.54</v>
      </c>
      <c r="N1170" t="n">
        <v>1092.15</v>
      </c>
      <c r="O1170" t="n">
        <v>4.76</v>
      </c>
      <c r="P1170" t="n">
        <v>6</v>
      </c>
      <c r="Q1170" t="n">
        <v>3</v>
      </c>
      <c r="R1170" t="n">
        <v>2023.3</v>
      </c>
      <c r="S1170" t="b">
        <v>1</v>
      </c>
      <c r="T1170" t="n">
        <v>1628380</v>
      </c>
      <c r="U1170" t="n">
        <v>5</v>
      </c>
      <c r="V1170" t="n">
        <v>0.0465</v>
      </c>
      <c r="W1170" t="n">
        <v>0.57</v>
      </c>
      <c r="X1170" t="n">
        <v>80.89</v>
      </c>
      <c r="Y1170">
        <f>VLOOKUP(D1170,$AB$2:$AC$7,2,FALSE)</f>
        <v/>
      </c>
      <c r="Z1170">
        <f>IF(A1170&lt;Y1170,"Yes","No")</f>
        <v/>
      </c>
    </row>
    <row r="1171">
      <c r="A1171" t="n">
        <v>2018</v>
      </c>
      <c r="B1171" t="inlineStr">
        <is>
          <t>Q2</t>
        </is>
      </c>
      <c r="C1171" t="inlineStr">
        <is>
          <t>South America</t>
        </is>
      </c>
      <c r="D1171" t="inlineStr">
        <is>
          <t>Cybertruck</t>
        </is>
      </c>
      <c r="E1171" t="n">
        <v>2189</v>
      </c>
      <c r="F1171" t="n">
        <v>65430.64</v>
      </c>
      <c r="G1171" t="n">
        <v>6</v>
      </c>
      <c r="H1171" t="inlineStr">
        <is>
          <t>Standard</t>
        </is>
      </c>
      <c r="I1171" t="inlineStr">
        <is>
          <t>RWD</t>
        </is>
      </c>
      <c r="J1171" t="inlineStr">
        <is>
          <t>White</t>
        </is>
      </c>
      <c r="K1171" t="n">
        <v>469</v>
      </c>
      <c r="L1171" t="n">
        <v>36</v>
      </c>
      <c r="M1171" t="n">
        <v>16.77</v>
      </c>
      <c r="N1171" t="n">
        <v>2047.28</v>
      </c>
      <c r="O1171" t="n">
        <v>3.58</v>
      </c>
      <c r="P1171" t="n">
        <v>5</v>
      </c>
      <c r="Q1171" t="n">
        <v>0</v>
      </c>
      <c r="R1171" t="n">
        <v>2023.1</v>
      </c>
      <c r="S1171" t="b">
        <v>0</v>
      </c>
      <c r="T1171" t="n">
        <v>4473119</v>
      </c>
      <c r="U1171" t="n">
        <v>12</v>
      </c>
      <c r="V1171" t="n">
        <v>0.07630000000000001</v>
      </c>
      <c r="W1171" t="n">
        <v>2.05</v>
      </c>
      <c r="X1171" t="n">
        <v>78.65000000000001</v>
      </c>
      <c r="Y1171">
        <f>VLOOKUP(D1171,$AB$2:$AC$7,2,FALSE)</f>
        <v/>
      </c>
      <c r="Z1171">
        <f>IF(A1171&lt;Y1171,"Yes","No")</f>
        <v/>
      </c>
    </row>
    <row r="1172">
      <c r="A1172" t="n">
        <v>2022</v>
      </c>
      <c r="B1172" t="inlineStr">
        <is>
          <t>Q4</t>
        </is>
      </c>
      <c r="C1172" t="inlineStr">
        <is>
          <t>Asia</t>
        </is>
      </c>
      <c r="D1172" t="inlineStr">
        <is>
          <t>Model X</t>
        </is>
      </c>
      <c r="E1172" t="n">
        <v>4795</v>
      </c>
      <c r="F1172" t="n">
        <v>80762.24000000001</v>
      </c>
      <c r="G1172" t="n">
        <v>8</v>
      </c>
      <c r="H1172" t="inlineStr">
        <is>
          <t>Performance</t>
        </is>
      </c>
      <c r="I1172" t="inlineStr">
        <is>
          <t>RWD</t>
        </is>
      </c>
      <c r="J1172" t="inlineStr">
        <is>
          <t>Green</t>
        </is>
      </c>
      <c r="K1172" t="n">
        <v>366</v>
      </c>
      <c r="L1172" t="n">
        <v>65</v>
      </c>
      <c r="M1172" t="n">
        <v>24.82</v>
      </c>
      <c r="N1172" t="n">
        <v>8259.67</v>
      </c>
      <c r="O1172" t="n">
        <v>4.8</v>
      </c>
      <c r="P1172" t="n">
        <v>4</v>
      </c>
      <c r="Q1172" t="n">
        <v>3</v>
      </c>
      <c r="R1172" t="n">
        <v>2023.11</v>
      </c>
      <c r="S1172" t="b">
        <v>1</v>
      </c>
      <c r="T1172" t="n">
        <v>2856681</v>
      </c>
      <c r="U1172" t="n">
        <v>12</v>
      </c>
      <c r="V1172" t="n">
        <v>0.0951</v>
      </c>
      <c r="W1172" t="n">
        <v>2.35</v>
      </c>
      <c r="X1172" t="n">
        <v>72.56</v>
      </c>
      <c r="Y1172">
        <f>VLOOKUP(D1172,$AB$2:$AC$7,2,FALSE)</f>
        <v/>
      </c>
      <c r="Z1172">
        <f>IF(A1172&lt;Y1172,"Yes","No")</f>
        <v/>
      </c>
    </row>
    <row r="1173">
      <c r="A1173" t="n">
        <v>2020</v>
      </c>
      <c r="B1173" t="inlineStr">
        <is>
          <t>Q1</t>
        </is>
      </c>
      <c r="C1173" t="inlineStr">
        <is>
          <t>North America</t>
        </is>
      </c>
      <c r="D1173" t="inlineStr">
        <is>
          <t>Model 3</t>
        </is>
      </c>
      <c r="E1173" t="n">
        <v>1817</v>
      </c>
      <c r="F1173" t="n">
        <v>116854.24</v>
      </c>
      <c r="G1173" t="n">
        <v>30</v>
      </c>
      <c r="H1173" t="inlineStr">
        <is>
          <t>Standard</t>
        </is>
      </c>
      <c r="I1173" t="inlineStr">
        <is>
          <t>RWD</t>
        </is>
      </c>
      <c r="J1173" t="inlineStr">
        <is>
          <t>Blue</t>
        </is>
      </c>
      <c r="K1173" t="n">
        <v>364</v>
      </c>
      <c r="L1173" t="n">
        <v>60</v>
      </c>
      <c r="M1173" t="n">
        <v>21.31</v>
      </c>
      <c r="N1173" t="n">
        <v>1348.3</v>
      </c>
      <c r="O1173" t="n">
        <v>4.49</v>
      </c>
      <c r="P1173" t="n">
        <v>6</v>
      </c>
      <c r="Q1173" t="n">
        <v>0</v>
      </c>
      <c r="R1173" t="n">
        <v>2021.5</v>
      </c>
      <c r="S1173" t="b">
        <v>1</v>
      </c>
      <c r="T1173" t="n">
        <v>1539911</v>
      </c>
      <c r="U1173" t="n">
        <v>12</v>
      </c>
      <c r="V1173" t="n">
        <v>0.0254</v>
      </c>
      <c r="W1173" t="n">
        <v>2.2</v>
      </c>
      <c r="X1173" t="n">
        <v>68.11</v>
      </c>
      <c r="Y1173">
        <f>VLOOKUP(D1173,$AB$2:$AC$7,2,FALSE)</f>
        <v/>
      </c>
      <c r="Z1173">
        <f>IF(A1173&lt;Y1173,"Yes","No")</f>
        <v/>
      </c>
    </row>
    <row r="1174">
      <c r="A1174" t="n">
        <v>2023</v>
      </c>
      <c r="B1174" t="inlineStr">
        <is>
          <t>Q2</t>
        </is>
      </c>
      <c r="C1174" t="inlineStr">
        <is>
          <t>North America</t>
        </is>
      </c>
      <c r="D1174" t="inlineStr">
        <is>
          <t>Model Y</t>
        </is>
      </c>
      <c r="E1174" t="n">
        <v>2062</v>
      </c>
      <c r="F1174" t="n">
        <v>50710.34</v>
      </c>
      <c r="G1174" t="n">
        <v>15</v>
      </c>
      <c r="H1174" t="inlineStr">
        <is>
          <t>Long Range</t>
        </is>
      </c>
      <c r="I1174" t="inlineStr">
        <is>
          <t>RWD</t>
        </is>
      </c>
      <c r="J1174" t="inlineStr">
        <is>
          <t>White</t>
        </is>
      </c>
      <c r="K1174" t="n">
        <v>357</v>
      </c>
      <c r="L1174" t="n">
        <v>36</v>
      </c>
      <c r="M1174" t="n">
        <v>23.7</v>
      </c>
      <c r="N1174" t="n">
        <v>1442.9</v>
      </c>
      <c r="O1174" t="n">
        <v>4.69</v>
      </c>
      <c r="P1174" t="n">
        <v>6</v>
      </c>
      <c r="Q1174" t="n">
        <v>2</v>
      </c>
      <c r="R1174" t="n">
        <v>2021.5</v>
      </c>
      <c r="S1174" t="b">
        <v>0</v>
      </c>
      <c r="T1174" t="n">
        <v>1402762</v>
      </c>
      <c r="U1174" t="n">
        <v>12</v>
      </c>
      <c r="V1174" t="n">
        <v>0.0987</v>
      </c>
      <c r="W1174" t="n">
        <v>0.5600000000000001</v>
      </c>
      <c r="X1174" t="n">
        <v>80.79000000000001</v>
      </c>
      <c r="Y1174">
        <f>VLOOKUP(D1174,$AB$2:$AC$7,2,FALSE)</f>
        <v/>
      </c>
      <c r="Z1174">
        <f>IF(A1174&lt;Y1174,"Yes","No")</f>
        <v/>
      </c>
    </row>
    <row r="1175">
      <c r="A1175" t="n">
        <v>2015</v>
      </c>
      <c r="B1175" t="inlineStr">
        <is>
          <t>Q3</t>
        </is>
      </c>
      <c r="C1175" t="inlineStr">
        <is>
          <t>North America</t>
        </is>
      </c>
      <c r="D1175" t="inlineStr">
        <is>
          <t>Semi</t>
        </is>
      </c>
      <c r="E1175" t="n">
        <v>4972</v>
      </c>
      <c r="F1175" t="n">
        <v>61150.28</v>
      </c>
      <c r="G1175" t="n">
        <v>26</v>
      </c>
      <c r="H1175" t="inlineStr">
        <is>
          <t>Long Range</t>
        </is>
      </c>
      <c r="I1175" t="inlineStr">
        <is>
          <t>AWD</t>
        </is>
      </c>
      <c r="J1175" t="inlineStr">
        <is>
          <t>Red</t>
        </is>
      </c>
      <c r="K1175" t="n">
        <v>692</v>
      </c>
      <c r="L1175" t="n">
        <v>77</v>
      </c>
      <c r="M1175" t="n">
        <v>19.18</v>
      </c>
      <c r="N1175" t="n">
        <v>9022.889999999999</v>
      </c>
      <c r="O1175" t="n">
        <v>4.97</v>
      </c>
      <c r="P1175" t="n">
        <v>8</v>
      </c>
      <c r="Q1175" t="n">
        <v>2</v>
      </c>
      <c r="R1175" t="n">
        <v>2020.1</v>
      </c>
      <c r="S1175" t="b">
        <v>0</v>
      </c>
      <c r="T1175" t="n">
        <v>964447</v>
      </c>
      <c r="U1175" t="n">
        <v>6</v>
      </c>
      <c r="V1175" t="n">
        <v>0.0545</v>
      </c>
      <c r="W1175" t="n">
        <v>0.88</v>
      </c>
      <c r="X1175" t="n">
        <v>76.17</v>
      </c>
      <c r="Y1175">
        <f>VLOOKUP(D1175,$AB$2:$AC$7,2,FALSE)</f>
        <v/>
      </c>
      <c r="Z1175">
        <f>IF(A1175&lt;Y1175,"Yes","No")</f>
        <v/>
      </c>
    </row>
    <row r="1176">
      <c r="A1176" t="n">
        <v>2023</v>
      </c>
      <c r="B1176" t="inlineStr">
        <is>
          <t>Q1</t>
        </is>
      </c>
      <c r="C1176" t="inlineStr">
        <is>
          <t>Europe</t>
        </is>
      </c>
      <c r="D1176" t="inlineStr">
        <is>
          <t>Model Y</t>
        </is>
      </c>
      <c r="E1176" t="n">
        <v>368</v>
      </c>
      <c r="F1176" t="n">
        <v>62193.11</v>
      </c>
      <c r="G1176" t="n">
        <v>53</v>
      </c>
      <c r="H1176" t="inlineStr">
        <is>
          <t>Performance</t>
        </is>
      </c>
      <c r="I1176" t="inlineStr">
        <is>
          <t>AWD</t>
        </is>
      </c>
      <c r="J1176" t="inlineStr">
        <is>
          <t>White</t>
        </is>
      </c>
      <c r="K1176" t="n">
        <v>516</v>
      </c>
      <c r="L1176" t="n">
        <v>35</v>
      </c>
      <c r="M1176" t="n">
        <v>21.21</v>
      </c>
      <c r="N1176" t="n">
        <v>642.96</v>
      </c>
      <c r="O1176" t="n">
        <v>4.26</v>
      </c>
      <c r="P1176" t="n">
        <v>5</v>
      </c>
      <c r="Q1176" t="n">
        <v>3</v>
      </c>
      <c r="R1176" t="n">
        <v>2020.11</v>
      </c>
      <c r="S1176" t="b">
        <v>1</v>
      </c>
      <c r="T1176" t="n">
        <v>327846</v>
      </c>
      <c r="U1176" t="n">
        <v>12</v>
      </c>
      <c r="V1176" t="n">
        <v>0.028</v>
      </c>
      <c r="W1176" t="n">
        <v>1.27</v>
      </c>
      <c r="X1176" t="n">
        <v>78.5</v>
      </c>
      <c r="Y1176">
        <f>VLOOKUP(D1176,$AB$2:$AC$7,2,FALSE)</f>
        <v/>
      </c>
      <c r="Z1176">
        <f>IF(A1176&lt;Y1176,"Yes","No")</f>
        <v/>
      </c>
    </row>
    <row r="1177">
      <c r="A1177" t="n">
        <v>2014</v>
      </c>
      <c r="B1177" t="inlineStr">
        <is>
          <t>Q2</t>
        </is>
      </c>
      <c r="C1177" t="inlineStr">
        <is>
          <t>North America</t>
        </is>
      </c>
      <c r="D1177" t="inlineStr">
        <is>
          <t>Semi</t>
        </is>
      </c>
      <c r="E1177" t="n">
        <v>1479</v>
      </c>
      <c r="F1177" t="n">
        <v>55558.26</v>
      </c>
      <c r="G1177" t="n">
        <v>24</v>
      </c>
      <c r="H1177" t="inlineStr">
        <is>
          <t>Performance</t>
        </is>
      </c>
      <c r="I1177" t="inlineStr">
        <is>
          <t>RWD</t>
        </is>
      </c>
      <c r="J1177" t="inlineStr">
        <is>
          <t>Blue</t>
        </is>
      </c>
      <c r="K1177" t="n">
        <v>648</v>
      </c>
      <c r="L1177" t="n">
        <v>72</v>
      </c>
      <c r="M1177" t="n">
        <v>24.24</v>
      </c>
      <c r="N1177" t="n">
        <v>1992</v>
      </c>
      <c r="O1177" t="n">
        <v>3.76</v>
      </c>
      <c r="P1177" t="n">
        <v>5</v>
      </c>
      <c r="Q1177" t="n">
        <v>2</v>
      </c>
      <c r="R1177" t="n">
        <v>2021.4</v>
      </c>
      <c r="S1177" t="b">
        <v>0</v>
      </c>
      <c r="T1177" t="n">
        <v>882409</v>
      </c>
      <c r="U1177" t="n">
        <v>11</v>
      </c>
      <c r="V1177" t="n">
        <v>0.0325</v>
      </c>
      <c r="W1177" t="n">
        <v>2.17</v>
      </c>
      <c r="X1177" t="n">
        <v>78.75</v>
      </c>
      <c r="Y1177">
        <f>VLOOKUP(D1177,$AB$2:$AC$7,2,FALSE)</f>
        <v/>
      </c>
      <c r="Z1177">
        <f>IF(A1177&lt;Y1177,"Yes","No")</f>
        <v/>
      </c>
    </row>
    <row r="1178">
      <c r="A1178" t="n">
        <v>2020</v>
      </c>
      <c r="B1178" t="inlineStr">
        <is>
          <t>Q2</t>
        </is>
      </c>
      <c r="C1178" t="inlineStr">
        <is>
          <t>South America</t>
        </is>
      </c>
      <c r="D1178" t="inlineStr">
        <is>
          <t>Semi</t>
        </is>
      </c>
      <c r="E1178" t="n">
        <v>183</v>
      </c>
      <c r="F1178" t="n">
        <v>106040.85</v>
      </c>
      <c r="G1178" t="n">
        <v>50</v>
      </c>
      <c r="H1178" t="inlineStr">
        <is>
          <t>Standard</t>
        </is>
      </c>
      <c r="I1178" t="inlineStr">
        <is>
          <t>RWD</t>
        </is>
      </c>
      <c r="J1178" t="inlineStr">
        <is>
          <t>Black</t>
        </is>
      </c>
      <c r="K1178" t="n">
        <v>493</v>
      </c>
      <c r="L1178" t="n">
        <v>71</v>
      </c>
      <c r="M1178" t="n">
        <v>20.57</v>
      </c>
      <c r="N1178" t="n">
        <v>145.96</v>
      </c>
      <c r="O1178" t="n">
        <v>3.5</v>
      </c>
      <c r="P1178" t="n">
        <v>8</v>
      </c>
      <c r="Q1178" t="n">
        <v>1</v>
      </c>
      <c r="R1178" t="n">
        <v>2024.12</v>
      </c>
      <c r="S1178" t="b">
        <v>1</v>
      </c>
      <c r="T1178" t="n">
        <v>2366257</v>
      </c>
      <c r="U1178" t="n">
        <v>8</v>
      </c>
      <c r="V1178" t="n">
        <v>0.0272</v>
      </c>
      <c r="W1178" t="n">
        <v>2.11</v>
      </c>
      <c r="X1178" t="n">
        <v>80.23999999999999</v>
      </c>
      <c r="Y1178">
        <f>VLOOKUP(D1178,$AB$2:$AC$7,2,FALSE)</f>
        <v/>
      </c>
      <c r="Z1178">
        <f>IF(A1178&lt;Y1178,"Yes","No")</f>
        <v/>
      </c>
    </row>
    <row r="1179">
      <c r="A1179" t="n">
        <v>2020</v>
      </c>
      <c r="B1179" t="inlineStr">
        <is>
          <t>Q2</t>
        </is>
      </c>
      <c r="C1179" t="inlineStr">
        <is>
          <t>Europe</t>
        </is>
      </c>
      <c r="D1179" t="inlineStr">
        <is>
          <t>Model X</t>
        </is>
      </c>
      <c r="E1179" t="n">
        <v>1759</v>
      </c>
      <c r="F1179" t="n">
        <v>75174.39</v>
      </c>
      <c r="G1179" t="n">
        <v>6</v>
      </c>
      <c r="H1179" t="inlineStr">
        <is>
          <t>Performance</t>
        </is>
      </c>
      <c r="I1179" t="inlineStr">
        <is>
          <t>RWD</t>
        </is>
      </c>
      <c r="J1179" t="inlineStr">
        <is>
          <t>Blue</t>
        </is>
      </c>
      <c r="K1179" t="n">
        <v>663</v>
      </c>
      <c r="L1179" t="n">
        <v>46</v>
      </c>
      <c r="M1179" t="n">
        <v>21.78</v>
      </c>
      <c r="N1179" t="n">
        <v>2665.7</v>
      </c>
      <c r="O1179" t="n">
        <v>4.66</v>
      </c>
      <c r="P1179" t="n">
        <v>6</v>
      </c>
      <c r="Q1179" t="n">
        <v>2</v>
      </c>
      <c r="R1179" t="n">
        <v>2021.5</v>
      </c>
      <c r="S1179" t="b">
        <v>1</v>
      </c>
      <c r="T1179" t="n">
        <v>4814565</v>
      </c>
      <c r="U1179" t="n">
        <v>4</v>
      </c>
      <c r="V1179" t="n">
        <v>0.0445</v>
      </c>
      <c r="W1179" t="n">
        <v>1.74</v>
      </c>
      <c r="X1179" t="n">
        <v>64.01000000000001</v>
      </c>
      <c r="Y1179">
        <f>VLOOKUP(D1179,$AB$2:$AC$7,2,FALSE)</f>
        <v/>
      </c>
      <c r="Z1179">
        <f>IF(A1179&lt;Y1179,"Yes","No")</f>
        <v/>
      </c>
    </row>
    <row r="1180">
      <c r="A1180" t="n">
        <v>2017</v>
      </c>
      <c r="B1180" t="inlineStr">
        <is>
          <t>Q3</t>
        </is>
      </c>
      <c r="C1180" t="inlineStr">
        <is>
          <t>North America</t>
        </is>
      </c>
      <c r="D1180" t="inlineStr">
        <is>
          <t>Model Y</t>
        </is>
      </c>
      <c r="E1180" t="n">
        <v>2253</v>
      </c>
      <c r="F1180" t="n">
        <v>52357.21</v>
      </c>
      <c r="G1180" t="n">
        <v>52</v>
      </c>
      <c r="H1180" t="inlineStr">
        <is>
          <t>Standard</t>
        </is>
      </c>
      <c r="I1180" t="inlineStr">
        <is>
          <t>RWD</t>
        </is>
      </c>
      <c r="J1180" t="inlineStr">
        <is>
          <t>Black</t>
        </is>
      </c>
      <c r="K1180" t="n">
        <v>636</v>
      </c>
      <c r="L1180" t="n">
        <v>70</v>
      </c>
      <c r="M1180" t="n">
        <v>23.84</v>
      </c>
      <c r="N1180" t="n">
        <v>3483.42</v>
      </c>
      <c r="O1180" t="n">
        <v>4.43</v>
      </c>
      <c r="P1180" t="n">
        <v>6</v>
      </c>
      <c r="Q1180" t="n">
        <v>2</v>
      </c>
      <c r="R1180" t="n">
        <v>2023.11</v>
      </c>
      <c r="S1180" t="b">
        <v>1</v>
      </c>
      <c r="T1180" t="n">
        <v>2186571</v>
      </c>
      <c r="U1180" t="n">
        <v>11</v>
      </c>
      <c r="V1180" t="n">
        <v>0.0484</v>
      </c>
      <c r="W1180" t="n">
        <v>2.31</v>
      </c>
      <c r="X1180" t="n">
        <v>86.20999999999999</v>
      </c>
      <c r="Y1180">
        <f>VLOOKUP(D1180,$AB$2:$AC$7,2,FALSE)</f>
        <v/>
      </c>
      <c r="Z1180">
        <f>IF(A1180&lt;Y1180,"Yes","No")</f>
        <v/>
      </c>
    </row>
    <row r="1181">
      <c r="A1181" t="n">
        <v>2018</v>
      </c>
      <c r="B1181" t="inlineStr">
        <is>
          <t>Q3</t>
        </is>
      </c>
      <c r="C1181" t="inlineStr">
        <is>
          <t>Asia</t>
        </is>
      </c>
      <c r="D1181" t="inlineStr">
        <is>
          <t>Model 3</t>
        </is>
      </c>
      <c r="E1181" t="n">
        <v>2693</v>
      </c>
      <c r="F1181" t="n">
        <v>86079.88</v>
      </c>
      <c r="G1181" t="n">
        <v>53</v>
      </c>
      <c r="H1181" t="inlineStr">
        <is>
          <t>Long Range</t>
        </is>
      </c>
      <c r="I1181" t="inlineStr">
        <is>
          <t>RWD</t>
        </is>
      </c>
      <c r="J1181" t="inlineStr">
        <is>
          <t>White</t>
        </is>
      </c>
      <c r="K1181" t="n">
        <v>372</v>
      </c>
      <c r="L1181" t="n">
        <v>46</v>
      </c>
      <c r="M1181" t="n">
        <v>18.49</v>
      </c>
      <c r="N1181" t="n">
        <v>5669.13</v>
      </c>
      <c r="O1181" t="n">
        <v>4.28</v>
      </c>
      <c r="P1181" t="n">
        <v>4</v>
      </c>
      <c r="Q1181" t="n">
        <v>0</v>
      </c>
      <c r="R1181" t="n">
        <v>2024.1</v>
      </c>
      <c r="S1181" t="b">
        <v>0</v>
      </c>
      <c r="T1181" t="n">
        <v>2398216</v>
      </c>
      <c r="U1181" t="n">
        <v>4</v>
      </c>
      <c r="V1181" t="n">
        <v>0.0595</v>
      </c>
      <c r="W1181" t="n">
        <v>2.4</v>
      </c>
      <c r="X1181" t="n">
        <v>66.37</v>
      </c>
      <c r="Y1181">
        <f>VLOOKUP(D1181,$AB$2:$AC$7,2,FALSE)</f>
        <v/>
      </c>
      <c r="Z1181">
        <f>IF(A1181&lt;Y1181,"Yes","No")</f>
        <v/>
      </c>
    </row>
    <row r="1182">
      <c r="A1182" t="n">
        <v>2016</v>
      </c>
      <c r="B1182" t="inlineStr">
        <is>
          <t>Q3</t>
        </is>
      </c>
      <c r="C1182" t="inlineStr">
        <is>
          <t>South America</t>
        </is>
      </c>
      <c r="D1182" t="inlineStr">
        <is>
          <t>Semi</t>
        </is>
      </c>
      <c r="E1182" t="n">
        <v>3342</v>
      </c>
      <c r="F1182" t="n">
        <v>91691.77</v>
      </c>
      <c r="G1182" t="n">
        <v>33</v>
      </c>
      <c r="H1182" t="inlineStr">
        <is>
          <t>Long Range</t>
        </is>
      </c>
      <c r="I1182" t="inlineStr">
        <is>
          <t>RWD</t>
        </is>
      </c>
      <c r="J1182" t="inlineStr">
        <is>
          <t>Blue</t>
        </is>
      </c>
      <c r="K1182" t="n">
        <v>651</v>
      </c>
      <c r="L1182" t="n">
        <v>64</v>
      </c>
      <c r="M1182" t="n">
        <v>20.34</v>
      </c>
      <c r="N1182" t="n">
        <v>3396.9</v>
      </c>
      <c r="O1182" t="n">
        <v>3.52</v>
      </c>
      <c r="P1182" t="n">
        <v>4</v>
      </c>
      <c r="Q1182" t="n">
        <v>3</v>
      </c>
      <c r="R1182" t="n">
        <v>2020.7</v>
      </c>
      <c r="S1182" t="b">
        <v>1</v>
      </c>
      <c r="T1182" t="n">
        <v>813061</v>
      </c>
      <c r="U1182" t="n">
        <v>6</v>
      </c>
      <c r="V1182" t="n">
        <v>0.0659</v>
      </c>
      <c r="W1182" t="n">
        <v>2.32</v>
      </c>
      <c r="X1182" t="n">
        <v>62.42</v>
      </c>
      <c r="Y1182">
        <f>VLOOKUP(D1182,$AB$2:$AC$7,2,FALSE)</f>
        <v/>
      </c>
      <c r="Z1182">
        <f>IF(A1182&lt;Y1182,"Yes","No")</f>
        <v/>
      </c>
    </row>
    <row r="1183">
      <c r="A1183" t="n">
        <v>2024</v>
      </c>
      <c r="B1183" t="inlineStr">
        <is>
          <t>Q2</t>
        </is>
      </c>
      <c r="C1183" t="inlineStr">
        <is>
          <t>South America</t>
        </is>
      </c>
      <c r="D1183" t="inlineStr">
        <is>
          <t>Model X</t>
        </is>
      </c>
      <c r="E1183" t="n">
        <v>3720</v>
      </c>
      <c r="F1183" t="n">
        <v>43723.47</v>
      </c>
      <c r="G1183" t="n">
        <v>25</v>
      </c>
      <c r="H1183" t="inlineStr">
        <is>
          <t>Long Range</t>
        </is>
      </c>
      <c r="I1183" t="inlineStr">
        <is>
          <t>RWD</t>
        </is>
      </c>
      <c r="J1183" t="inlineStr">
        <is>
          <t>Blue</t>
        </is>
      </c>
      <c r="K1183" t="n">
        <v>571</v>
      </c>
      <c r="L1183" t="n">
        <v>76</v>
      </c>
      <c r="M1183" t="n">
        <v>16.91</v>
      </c>
      <c r="N1183" t="n">
        <v>6715.49</v>
      </c>
      <c r="O1183" t="n">
        <v>3.61</v>
      </c>
      <c r="P1183" t="n">
        <v>8</v>
      </c>
      <c r="Q1183" t="n">
        <v>0</v>
      </c>
      <c r="R1183" t="n">
        <v>2020.7</v>
      </c>
      <c r="S1183" t="b">
        <v>0</v>
      </c>
      <c r="T1183" t="n">
        <v>2553929</v>
      </c>
      <c r="U1183" t="n">
        <v>6</v>
      </c>
      <c r="V1183" t="n">
        <v>0.0607</v>
      </c>
      <c r="W1183" t="n">
        <v>1.95</v>
      </c>
      <c r="X1183" t="n">
        <v>65.42</v>
      </c>
      <c r="Y1183">
        <f>VLOOKUP(D1183,$AB$2:$AC$7,2,FALSE)</f>
        <v/>
      </c>
      <c r="Z1183">
        <f>IF(A1183&lt;Y1183,"Yes","No")</f>
        <v/>
      </c>
    </row>
    <row r="1184">
      <c r="A1184" t="n">
        <v>2016</v>
      </c>
      <c r="B1184" t="inlineStr">
        <is>
          <t>Q2</t>
        </is>
      </c>
      <c r="C1184" t="inlineStr">
        <is>
          <t>Asia</t>
        </is>
      </c>
      <c r="D1184" t="inlineStr">
        <is>
          <t>Cybertruck</t>
        </is>
      </c>
      <c r="E1184" t="n">
        <v>3613</v>
      </c>
      <c r="F1184" t="n">
        <v>83916.11</v>
      </c>
      <c r="G1184" t="n">
        <v>20</v>
      </c>
      <c r="H1184" t="inlineStr">
        <is>
          <t>Standard</t>
        </is>
      </c>
      <c r="I1184" t="inlineStr">
        <is>
          <t>RWD</t>
        </is>
      </c>
      <c r="J1184" t="inlineStr">
        <is>
          <t>White</t>
        </is>
      </c>
      <c r="K1184" t="n">
        <v>358</v>
      </c>
      <c r="L1184" t="n">
        <v>71</v>
      </c>
      <c r="M1184" t="n">
        <v>17.02</v>
      </c>
      <c r="N1184" t="n">
        <v>4761.65</v>
      </c>
      <c r="O1184" t="n">
        <v>4.79</v>
      </c>
      <c r="P1184" t="n">
        <v>5</v>
      </c>
      <c r="Q1184" t="n">
        <v>3</v>
      </c>
      <c r="R1184" t="n">
        <v>2022.5</v>
      </c>
      <c r="S1184" t="b">
        <v>1</v>
      </c>
      <c r="T1184" t="n">
        <v>1238455</v>
      </c>
      <c r="U1184" t="n">
        <v>6</v>
      </c>
      <c r="V1184" t="n">
        <v>0.0911</v>
      </c>
      <c r="W1184" t="n">
        <v>2.09</v>
      </c>
      <c r="X1184" t="n">
        <v>73.04000000000001</v>
      </c>
      <c r="Y1184">
        <f>VLOOKUP(D1184,$AB$2:$AC$7,2,FALSE)</f>
        <v/>
      </c>
      <c r="Z1184">
        <f>IF(A1184&lt;Y1184,"Yes","No")</f>
        <v/>
      </c>
    </row>
    <row r="1185">
      <c r="A1185" t="n">
        <v>2019</v>
      </c>
      <c r="B1185" t="inlineStr">
        <is>
          <t>Q2</t>
        </is>
      </c>
      <c r="C1185" t="inlineStr">
        <is>
          <t>Asia</t>
        </is>
      </c>
      <c r="D1185" t="inlineStr">
        <is>
          <t>Model Y</t>
        </is>
      </c>
      <c r="E1185" t="n">
        <v>1068</v>
      </c>
      <c r="F1185" t="n">
        <v>60556.33</v>
      </c>
      <c r="G1185" t="n">
        <v>2</v>
      </c>
      <c r="H1185" t="inlineStr">
        <is>
          <t>Standard</t>
        </is>
      </c>
      <c r="I1185" t="inlineStr">
        <is>
          <t>RWD</t>
        </is>
      </c>
      <c r="J1185" t="inlineStr">
        <is>
          <t>Red</t>
        </is>
      </c>
      <c r="K1185" t="n">
        <v>699</v>
      </c>
      <c r="L1185" t="n">
        <v>84</v>
      </c>
      <c r="M1185" t="n">
        <v>15.89</v>
      </c>
      <c r="N1185" t="n">
        <v>1225.48</v>
      </c>
      <c r="O1185" t="n">
        <v>4.56</v>
      </c>
      <c r="P1185" t="n">
        <v>8</v>
      </c>
      <c r="Q1185" t="n">
        <v>3</v>
      </c>
      <c r="R1185" t="n">
        <v>2021.7</v>
      </c>
      <c r="S1185" t="b">
        <v>0</v>
      </c>
      <c r="T1185" t="n">
        <v>4413105</v>
      </c>
      <c r="U1185" t="n">
        <v>3</v>
      </c>
      <c r="V1185" t="n">
        <v>0.06660000000000001</v>
      </c>
      <c r="W1185" t="n">
        <v>2.02</v>
      </c>
      <c r="X1185" t="n">
        <v>67.48</v>
      </c>
      <c r="Y1185">
        <f>VLOOKUP(D1185,$AB$2:$AC$7,2,FALSE)</f>
        <v/>
      </c>
      <c r="Z1185">
        <f>IF(A1185&lt;Y1185,"Yes","No")</f>
        <v/>
      </c>
    </row>
    <row r="1186">
      <c r="A1186" t="n">
        <v>2022</v>
      </c>
      <c r="B1186" t="inlineStr">
        <is>
          <t>Q3</t>
        </is>
      </c>
      <c r="C1186" t="inlineStr">
        <is>
          <t>South America</t>
        </is>
      </c>
      <c r="D1186" t="inlineStr">
        <is>
          <t>Model 3</t>
        </is>
      </c>
      <c r="E1186" t="n">
        <v>3385</v>
      </c>
      <c r="F1186" t="n">
        <v>108053.37</v>
      </c>
      <c r="G1186" t="n">
        <v>55</v>
      </c>
      <c r="H1186" t="inlineStr">
        <is>
          <t>Standard</t>
        </is>
      </c>
      <c r="I1186" t="inlineStr">
        <is>
          <t>RWD</t>
        </is>
      </c>
      <c r="J1186" t="inlineStr">
        <is>
          <t>Black</t>
        </is>
      </c>
      <c r="K1186" t="n">
        <v>515</v>
      </c>
      <c r="L1186" t="n">
        <v>62</v>
      </c>
      <c r="M1186" t="n">
        <v>17.21</v>
      </c>
      <c r="N1186" t="n">
        <v>1820.76</v>
      </c>
      <c r="O1186" t="n">
        <v>4.76</v>
      </c>
      <c r="P1186" t="n">
        <v>4</v>
      </c>
      <c r="Q1186" t="n">
        <v>0</v>
      </c>
      <c r="R1186" t="n">
        <v>2021.8</v>
      </c>
      <c r="S1186" t="b">
        <v>0</v>
      </c>
      <c r="T1186" t="n">
        <v>2897294</v>
      </c>
      <c r="U1186" t="n">
        <v>3</v>
      </c>
      <c r="V1186" t="n">
        <v>0.097</v>
      </c>
      <c r="W1186" t="n">
        <v>1.72</v>
      </c>
      <c r="X1186" t="n">
        <v>66.25</v>
      </c>
      <c r="Y1186">
        <f>VLOOKUP(D1186,$AB$2:$AC$7,2,FALSE)</f>
        <v/>
      </c>
      <c r="Z1186">
        <f>IF(A1186&lt;Y1186,"Yes","No")</f>
        <v/>
      </c>
    </row>
    <row r="1187">
      <c r="A1187" t="n">
        <v>2024</v>
      </c>
      <c r="B1187" t="inlineStr">
        <is>
          <t>Q3</t>
        </is>
      </c>
      <c r="C1187" t="inlineStr">
        <is>
          <t>South America</t>
        </is>
      </c>
      <c r="D1187" t="inlineStr">
        <is>
          <t>Model X</t>
        </is>
      </c>
      <c r="E1187" t="n">
        <v>1257</v>
      </c>
      <c r="F1187" t="n">
        <v>112056.85</v>
      </c>
      <c r="G1187" t="n">
        <v>57</v>
      </c>
      <c r="H1187" t="inlineStr">
        <is>
          <t>Performance</t>
        </is>
      </c>
      <c r="I1187" t="inlineStr">
        <is>
          <t>RWD</t>
        </is>
      </c>
      <c r="J1187" t="inlineStr">
        <is>
          <t>Blue</t>
        </is>
      </c>
      <c r="K1187" t="n">
        <v>529</v>
      </c>
      <c r="L1187" t="n">
        <v>63</v>
      </c>
      <c r="M1187" t="n">
        <v>17.51</v>
      </c>
      <c r="N1187" t="n">
        <v>1822.27</v>
      </c>
      <c r="O1187" t="n">
        <v>4.84</v>
      </c>
      <c r="P1187" t="n">
        <v>8</v>
      </c>
      <c r="Q1187" t="n">
        <v>2</v>
      </c>
      <c r="R1187" t="n">
        <v>2023.3</v>
      </c>
      <c r="S1187" t="b">
        <v>1</v>
      </c>
      <c r="T1187" t="n">
        <v>1729931</v>
      </c>
      <c r="U1187" t="n">
        <v>8</v>
      </c>
      <c r="V1187" t="n">
        <v>0.0294</v>
      </c>
      <c r="W1187" t="n">
        <v>1.11</v>
      </c>
      <c r="X1187" t="n">
        <v>68.44</v>
      </c>
      <c r="Y1187">
        <f>VLOOKUP(D1187,$AB$2:$AC$7,2,FALSE)</f>
        <v/>
      </c>
      <c r="Z1187">
        <f>IF(A1187&lt;Y1187,"Yes","No")</f>
        <v/>
      </c>
    </row>
    <row r="1188">
      <c r="A1188" t="n">
        <v>2022</v>
      </c>
      <c r="B1188" t="inlineStr">
        <is>
          <t>Q3</t>
        </is>
      </c>
      <c r="C1188" t="inlineStr">
        <is>
          <t>Australia</t>
        </is>
      </c>
      <c r="D1188" t="inlineStr">
        <is>
          <t>Cybertruck</t>
        </is>
      </c>
      <c r="E1188" t="n">
        <v>4946</v>
      </c>
      <c r="F1188" t="n">
        <v>67089.2</v>
      </c>
      <c r="G1188" t="n">
        <v>47</v>
      </c>
      <c r="H1188" t="inlineStr">
        <is>
          <t>Performance</t>
        </is>
      </c>
      <c r="I1188" t="inlineStr">
        <is>
          <t>AWD</t>
        </is>
      </c>
      <c r="J1188" t="inlineStr">
        <is>
          <t>Black</t>
        </is>
      </c>
      <c r="K1188" t="n">
        <v>403</v>
      </c>
      <c r="L1188" t="n">
        <v>64</v>
      </c>
      <c r="M1188" t="n">
        <v>13.86</v>
      </c>
      <c r="N1188" t="n">
        <v>11999.04</v>
      </c>
      <c r="O1188" t="n">
        <v>3.79</v>
      </c>
      <c r="P1188" t="n">
        <v>6</v>
      </c>
      <c r="Q1188" t="n">
        <v>3</v>
      </c>
      <c r="R1188" t="n">
        <v>2023.2</v>
      </c>
      <c r="S1188" t="b">
        <v>0</v>
      </c>
      <c r="T1188" t="n">
        <v>501119</v>
      </c>
      <c r="U1188" t="n">
        <v>9</v>
      </c>
      <c r="V1188" t="n">
        <v>0.0895</v>
      </c>
      <c r="W1188" t="n">
        <v>2.18</v>
      </c>
      <c r="X1188" t="n">
        <v>86.58</v>
      </c>
      <c r="Y1188">
        <f>VLOOKUP(D1188,$AB$2:$AC$7,2,FALSE)</f>
        <v/>
      </c>
      <c r="Z1188">
        <f>IF(A1188&lt;Y1188,"Yes","No")</f>
        <v/>
      </c>
    </row>
    <row r="1189">
      <c r="A1189" t="n">
        <v>2016</v>
      </c>
      <c r="B1189" t="inlineStr">
        <is>
          <t>Q3</t>
        </is>
      </c>
      <c r="C1189" t="inlineStr">
        <is>
          <t>Asia</t>
        </is>
      </c>
      <c r="D1189" t="inlineStr">
        <is>
          <t>Model Y</t>
        </is>
      </c>
      <c r="E1189" t="n">
        <v>3831</v>
      </c>
      <c r="F1189" t="n">
        <v>110322.07</v>
      </c>
      <c r="G1189" t="n">
        <v>11</v>
      </c>
      <c r="H1189" t="inlineStr">
        <is>
          <t>Performance</t>
        </is>
      </c>
      <c r="I1189" t="inlineStr">
        <is>
          <t>RWD</t>
        </is>
      </c>
      <c r="J1189" t="inlineStr">
        <is>
          <t>Black</t>
        </is>
      </c>
      <c r="K1189" t="n">
        <v>548</v>
      </c>
      <c r="L1189" t="n">
        <v>45</v>
      </c>
      <c r="M1189" t="n">
        <v>24.32</v>
      </c>
      <c r="N1189" t="n">
        <v>5321.23</v>
      </c>
      <c r="O1189" t="n">
        <v>3.97</v>
      </c>
      <c r="P1189" t="n">
        <v>4</v>
      </c>
      <c r="Q1189" t="n">
        <v>3</v>
      </c>
      <c r="R1189" t="n">
        <v>2023.5</v>
      </c>
      <c r="S1189" t="b">
        <v>0</v>
      </c>
      <c r="T1189" t="n">
        <v>3240139</v>
      </c>
      <c r="U1189" t="n">
        <v>11</v>
      </c>
      <c r="V1189" t="n">
        <v>0.0345</v>
      </c>
      <c r="W1189" t="n">
        <v>1.07</v>
      </c>
      <c r="X1189" t="n">
        <v>67.18000000000001</v>
      </c>
      <c r="Y1189">
        <f>VLOOKUP(D1189,$AB$2:$AC$7,2,FALSE)</f>
        <v/>
      </c>
      <c r="Z1189">
        <f>IF(A1189&lt;Y1189,"Yes","No")</f>
        <v/>
      </c>
    </row>
    <row r="1190">
      <c r="A1190" t="n">
        <v>2016</v>
      </c>
      <c r="B1190" t="inlineStr">
        <is>
          <t>Q3</t>
        </is>
      </c>
      <c r="C1190" t="inlineStr">
        <is>
          <t>Europe</t>
        </is>
      </c>
      <c r="D1190" t="inlineStr">
        <is>
          <t>Cybertruck</t>
        </is>
      </c>
      <c r="E1190" t="n">
        <v>2951</v>
      </c>
      <c r="F1190" t="n">
        <v>107117.54</v>
      </c>
      <c r="G1190" t="n">
        <v>28</v>
      </c>
      <c r="H1190" t="inlineStr">
        <is>
          <t>Performance</t>
        </is>
      </c>
      <c r="I1190" t="inlineStr">
        <is>
          <t>RWD</t>
        </is>
      </c>
      <c r="J1190" t="inlineStr">
        <is>
          <t>White</t>
        </is>
      </c>
      <c r="K1190" t="n">
        <v>364</v>
      </c>
      <c r="L1190" t="n">
        <v>78</v>
      </c>
      <c r="M1190" t="n">
        <v>22.41</v>
      </c>
      <c r="N1190" t="n">
        <v>4286.02</v>
      </c>
      <c r="O1190" t="n">
        <v>4.2</v>
      </c>
      <c r="P1190" t="n">
        <v>8</v>
      </c>
      <c r="Q1190" t="n">
        <v>2</v>
      </c>
      <c r="R1190" t="n">
        <v>2020.5</v>
      </c>
      <c r="S1190" t="b">
        <v>1</v>
      </c>
      <c r="T1190" t="n">
        <v>288973</v>
      </c>
      <c r="U1190" t="n">
        <v>9</v>
      </c>
      <c r="V1190" t="n">
        <v>0.0479</v>
      </c>
      <c r="W1190" t="n">
        <v>1.21</v>
      </c>
      <c r="X1190" t="n">
        <v>69.23999999999999</v>
      </c>
      <c r="Y1190">
        <f>VLOOKUP(D1190,$AB$2:$AC$7,2,FALSE)</f>
        <v/>
      </c>
      <c r="Z1190">
        <f>IF(A1190&lt;Y1190,"Yes","No")</f>
        <v/>
      </c>
    </row>
    <row r="1191">
      <c r="A1191" t="n">
        <v>2019</v>
      </c>
      <c r="B1191" t="inlineStr">
        <is>
          <t>Q3</t>
        </is>
      </c>
      <c r="C1191" t="inlineStr">
        <is>
          <t>Europe</t>
        </is>
      </c>
      <c r="D1191" t="inlineStr">
        <is>
          <t>Model X</t>
        </is>
      </c>
      <c r="E1191" t="n">
        <v>773</v>
      </c>
      <c r="F1191" t="n">
        <v>41462.66</v>
      </c>
      <c r="G1191" t="n">
        <v>48</v>
      </c>
      <c r="H1191" t="inlineStr">
        <is>
          <t>Long Range</t>
        </is>
      </c>
      <c r="I1191" t="inlineStr">
        <is>
          <t>AWD</t>
        </is>
      </c>
      <c r="J1191" t="inlineStr">
        <is>
          <t>Green</t>
        </is>
      </c>
      <c r="K1191" t="n">
        <v>456</v>
      </c>
      <c r="L1191" t="n">
        <v>33</v>
      </c>
      <c r="M1191" t="n">
        <v>20.46</v>
      </c>
      <c r="N1191" t="n">
        <v>476.46</v>
      </c>
      <c r="O1191" t="n">
        <v>3.55</v>
      </c>
      <c r="P1191" t="n">
        <v>4</v>
      </c>
      <c r="Q1191" t="n">
        <v>2</v>
      </c>
      <c r="R1191" t="n">
        <v>2020.7</v>
      </c>
      <c r="S1191" t="b">
        <v>0</v>
      </c>
      <c r="T1191" t="n">
        <v>3442256</v>
      </c>
      <c r="U1191" t="n">
        <v>7</v>
      </c>
      <c r="V1191" t="n">
        <v>0.07530000000000001</v>
      </c>
      <c r="W1191" t="n">
        <v>0.8</v>
      </c>
      <c r="X1191" t="n">
        <v>82.34999999999999</v>
      </c>
      <c r="Y1191">
        <f>VLOOKUP(D1191,$AB$2:$AC$7,2,FALSE)</f>
        <v/>
      </c>
      <c r="Z1191">
        <f>IF(A1191&lt;Y1191,"Yes","No")</f>
        <v/>
      </c>
    </row>
    <row r="1192">
      <c r="A1192" t="n">
        <v>2023</v>
      </c>
      <c r="B1192" t="inlineStr">
        <is>
          <t>Q3</t>
        </is>
      </c>
      <c r="C1192" t="inlineStr">
        <is>
          <t>Asia</t>
        </is>
      </c>
      <c r="D1192" t="inlineStr">
        <is>
          <t>Model 3</t>
        </is>
      </c>
      <c r="E1192" t="n">
        <v>4353</v>
      </c>
      <c r="F1192" t="n">
        <v>118571.23</v>
      </c>
      <c r="G1192" t="n">
        <v>51</v>
      </c>
      <c r="H1192" t="inlineStr">
        <is>
          <t>Long Range</t>
        </is>
      </c>
      <c r="I1192" t="inlineStr">
        <is>
          <t>RWD</t>
        </is>
      </c>
      <c r="J1192" t="inlineStr">
        <is>
          <t>White</t>
        </is>
      </c>
      <c r="K1192" t="n">
        <v>475</v>
      </c>
      <c r="L1192" t="n">
        <v>51</v>
      </c>
      <c r="M1192" t="n">
        <v>24.45</v>
      </c>
      <c r="N1192" t="n">
        <v>10131.94</v>
      </c>
      <c r="O1192" t="n">
        <v>4.8</v>
      </c>
      <c r="P1192" t="n">
        <v>5</v>
      </c>
      <c r="Q1192" t="n">
        <v>3</v>
      </c>
      <c r="R1192" t="n">
        <v>2023.1</v>
      </c>
      <c r="S1192" t="b">
        <v>1</v>
      </c>
      <c r="T1192" t="n">
        <v>408861</v>
      </c>
      <c r="U1192" t="n">
        <v>6</v>
      </c>
      <c r="V1192" t="n">
        <v>0.052</v>
      </c>
      <c r="W1192" t="n">
        <v>2.21</v>
      </c>
      <c r="X1192" t="n">
        <v>77.12</v>
      </c>
      <c r="Y1192">
        <f>VLOOKUP(D1192,$AB$2:$AC$7,2,FALSE)</f>
        <v/>
      </c>
      <c r="Z1192">
        <f>IF(A1192&lt;Y1192,"Yes","No")</f>
        <v/>
      </c>
    </row>
    <row r="1193">
      <c r="A1193" t="n">
        <v>2013</v>
      </c>
      <c r="B1193" t="inlineStr">
        <is>
          <t>Q1</t>
        </is>
      </c>
      <c r="C1193" t="inlineStr">
        <is>
          <t>North America</t>
        </is>
      </c>
      <c r="D1193" t="inlineStr">
        <is>
          <t>Semi</t>
        </is>
      </c>
      <c r="E1193" t="n">
        <v>2061</v>
      </c>
      <c r="F1193" t="n">
        <v>104269.28</v>
      </c>
      <c r="G1193" t="n">
        <v>37</v>
      </c>
      <c r="H1193" t="inlineStr">
        <is>
          <t>Performance</t>
        </is>
      </c>
      <c r="I1193" t="inlineStr">
        <is>
          <t>RWD</t>
        </is>
      </c>
      <c r="J1193" t="inlineStr">
        <is>
          <t>Blue</t>
        </is>
      </c>
      <c r="K1193" t="n">
        <v>389</v>
      </c>
      <c r="L1193" t="n">
        <v>35</v>
      </c>
      <c r="M1193" t="n">
        <v>20.2</v>
      </c>
      <c r="N1193" t="n">
        <v>4185.41</v>
      </c>
      <c r="O1193" t="n">
        <v>4.25</v>
      </c>
      <c r="P1193" t="n">
        <v>8</v>
      </c>
      <c r="Q1193" t="n">
        <v>2</v>
      </c>
      <c r="R1193" t="n">
        <v>2020.2</v>
      </c>
      <c r="S1193" t="b">
        <v>1</v>
      </c>
      <c r="T1193" t="n">
        <v>2769939</v>
      </c>
      <c r="U1193" t="n">
        <v>10</v>
      </c>
      <c r="V1193" t="n">
        <v>0.0294</v>
      </c>
      <c r="W1193" t="n">
        <v>2.42</v>
      </c>
      <c r="X1193" t="n">
        <v>83.63</v>
      </c>
      <c r="Y1193">
        <f>VLOOKUP(D1193,$AB$2:$AC$7,2,FALSE)</f>
        <v/>
      </c>
      <c r="Z1193">
        <f>IF(A1193&lt;Y1193,"Yes","No")</f>
        <v/>
      </c>
    </row>
    <row r="1194">
      <c r="A1194" t="n">
        <v>2016</v>
      </c>
      <c r="B1194" t="inlineStr">
        <is>
          <t>Q4</t>
        </is>
      </c>
      <c r="C1194" t="inlineStr">
        <is>
          <t>Australia</t>
        </is>
      </c>
      <c r="D1194" t="inlineStr">
        <is>
          <t>Model S</t>
        </is>
      </c>
      <c r="E1194" t="n">
        <v>2605</v>
      </c>
      <c r="F1194" t="n">
        <v>97064.13</v>
      </c>
      <c r="G1194" t="n">
        <v>30</v>
      </c>
      <c r="H1194" t="inlineStr">
        <is>
          <t>Long Range</t>
        </is>
      </c>
      <c r="I1194" t="inlineStr">
        <is>
          <t>RWD</t>
        </is>
      </c>
      <c r="J1194" t="inlineStr">
        <is>
          <t>Red</t>
        </is>
      </c>
      <c r="K1194" t="n">
        <v>611</v>
      </c>
      <c r="L1194" t="n">
        <v>71</v>
      </c>
      <c r="M1194" t="n">
        <v>22.17</v>
      </c>
      <c r="N1194" t="n">
        <v>3430.07</v>
      </c>
      <c r="O1194" t="n">
        <v>4.23</v>
      </c>
      <c r="P1194" t="n">
        <v>4</v>
      </c>
      <c r="Q1194" t="n">
        <v>2</v>
      </c>
      <c r="R1194" t="n">
        <v>2023.12</v>
      </c>
      <c r="S1194" t="b">
        <v>0</v>
      </c>
      <c r="T1194" t="n">
        <v>3454564</v>
      </c>
      <c r="U1194" t="n">
        <v>12</v>
      </c>
      <c r="V1194" t="n">
        <v>0.06859999999999999</v>
      </c>
      <c r="W1194" t="n">
        <v>2.06</v>
      </c>
      <c r="X1194" t="n">
        <v>71.5</v>
      </c>
      <c r="Y1194">
        <f>VLOOKUP(D1194,$AB$2:$AC$7,2,FALSE)</f>
        <v/>
      </c>
      <c r="Z1194">
        <f>IF(A1194&lt;Y1194,"Yes","No")</f>
        <v/>
      </c>
    </row>
    <row r="1195">
      <c r="A1195" t="n">
        <v>2014</v>
      </c>
      <c r="B1195" t="inlineStr">
        <is>
          <t>Q1</t>
        </is>
      </c>
      <c r="C1195" t="inlineStr">
        <is>
          <t>Asia</t>
        </is>
      </c>
      <c r="D1195" t="inlineStr">
        <is>
          <t>Semi</t>
        </is>
      </c>
      <c r="E1195" t="n">
        <v>1140</v>
      </c>
      <c r="F1195" t="n">
        <v>66353.11</v>
      </c>
      <c r="G1195" t="n">
        <v>21</v>
      </c>
      <c r="H1195" t="inlineStr">
        <is>
          <t>Performance</t>
        </is>
      </c>
      <c r="I1195" t="inlineStr">
        <is>
          <t>RWD</t>
        </is>
      </c>
      <c r="J1195" t="inlineStr">
        <is>
          <t>Red</t>
        </is>
      </c>
      <c r="K1195" t="n">
        <v>619</v>
      </c>
      <c r="L1195" t="n">
        <v>71</v>
      </c>
      <c r="M1195" t="n">
        <v>20.43</v>
      </c>
      <c r="N1195" t="n">
        <v>1199.8</v>
      </c>
      <c r="O1195" t="n">
        <v>3.75</v>
      </c>
      <c r="P1195" t="n">
        <v>5</v>
      </c>
      <c r="Q1195" t="n">
        <v>1</v>
      </c>
      <c r="R1195" t="n">
        <v>2020.12</v>
      </c>
      <c r="S1195" t="b">
        <v>1</v>
      </c>
      <c r="T1195" t="n">
        <v>4917171</v>
      </c>
      <c r="U1195" t="n">
        <v>4</v>
      </c>
      <c r="V1195" t="n">
        <v>0.0547</v>
      </c>
      <c r="W1195" t="n">
        <v>2.32</v>
      </c>
      <c r="X1195" t="n">
        <v>85.66</v>
      </c>
      <c r="Y1195">
        <f>VLOOKUP(D1195,$AB$2:$AC$7,2,FALSE)</f>
        <v/>
      </c>
      <c r="Z1195">
        <f>IF(A1195&lt;Y1195,"Yes","No")</f>
        <v/>
      </c>
    </row>
    <row r="1196">
      <c r="A1196" t="n">
        <v>2017</v>
      </c>
      <c r="B1196" t="inlineStr">
        <is>
          <t>Q3</t>
        </is>
      </c>
      <c r="C1196" t="inlineStr">
        <is>
          <t>Australia</t>
        </is>
      </c>
      <c r="D1196" t="inlineStr">
        <is>
          <t>Semi</t>
        </is>
      </c>
      <c r="E1196" t="n">
        <v>2032</v>
      </c>
      <c r="F1196" t="n">
        <v>87967.05</v>
      </c>
      <c r="G1196" t="n">
        <v>27</v>
      </c>
      <c r="H1196" t="inlineStr">
        <is>
          <t>Standard</t>
        </is>
      </c>
      <c r="I1196" t="inlineStr">
        <is>
          <t>AWD</t>
        </is>
      </c>
      <c r="J1196" t="inlineStr">
        <is>
          <t>Red</t>
        </is>
      </c>
      <c r="K1196" t="n">
        <v>479</v>
      </c>
      <c r="L1196" t="n">
        <v>33</v>
      </c>
      <c r="M1196" t="n">
        <v>17.25</v>
      </c>
      <c r="N1196" t="n">
        <v>1894.97</v>
      </c>
      <c r="O1196" t="n">
        <v>3.63</v>
      </c>
      <c r="P1196" t="n">
        <v>8</v>
      </c>
      <c r="Q1196" t="n">
        <v>3</v>
      </c>
      <c r="R1196" t="n">
        <v>2020.5</v>
      </c>
      <c r="S1196" t="b">
        <v>0</v>
      </c>
      <c r="T1196" t="n">
        <v>2679734</v>
      </c>
      <c r="U1196" t="n">
        <v>9</v>
      </c>
      <c r="V1196" t="n">
        <v>0.0881</v>
      </c>
      <c r="W1196" t="n">
        <v>0.93</v>
      </c>
      <c r="X1196" t="n">
        <v>77.72</v>
      </c>
      <c r="Y1196">
        <f>VLOOKUP(D1196,$AB$2:$AC$7,2,FALSE)</f>
        <v/>
      </c>
      <c r="Z1196">
        <f>IF(A1196&lt;Y1196,"Yes","No")</f>
        <v/>
      </c>
    </row>
    <row r="1197">
      <c r="A1197" t="n">
        <v>2013</v>
      </c>
      <c r="B1197" t="inlineStr">
        <is>
          <t>Q3</t>
        </is>
      </c>
      <c r="C1197" t="inlineStr">
        <is>
          <t>Australia</t>
        </is>
      </c>
      <c r="D1197" t="inlineStr">
        <is>
          <t>Semi</t>
        </is>
      </c>
      <c r="E1197" t="n">
        <v>4148</v>
      </c>
      <c r="F1197" t="n">
        <v>63864.66</v>
      </c>
      <c r="G1197" t="n">
        <v>16</v>
      </c>
      <c r="H1197" t="inlineStr">
        <is>
          <t>Long Range</t>
        </is>
      </c>
      <c r="I1197" t="inlineStr">
        <is>
          <t>RWD</t>
        </is>
      </c>
      <c r="J1197" t="inlineStr">
        <is>
          <t>White</t>
        </is>
      </c>
      <c r="K1197" t="n">
        <v>415</v>
      </c>
      <c r="L1197" t="n">
        <v>30</v>
      </c>
      <c r="M1197" t="n">
        <v>15.26</v>
      </c>
      <c r="N1197" t="n">
        <v>7098.95</v>
      </c>
      <c r="O1197" t="n">
        <v>3.92</v>
      </c>
      <c r="P1197" t="n">
        <v>4</v>
      </c>
      <c r="Q1197" t="n">
        <v>1</v>
      </c>
      <c r="R1197" t="n">
        <v>2021.9</v>
      </c>
      <c r="S1197" t="b">
        <v>0</v>
      </c>
      <c r="T1197" t="n">
        <v>1992975</v>
      </c>
      <c r="U1197" t="n">
        <v>7</v>
      </c>
      <c r="V1197" t="n">
        <v>0.0993</v>
      </c>
      <c r="W1197" t="n">
        <v>1.57</v>
      </c>
      <c r="X1197" t="n">
        <v>82.43000000000001</v>
      </c>
      <c r="Y1197">
        <f>VLOOKUP(D1197,$AB$2:$AC$7,2,FALSE)</f>
        <v/>
      </c>
      <c r="Z1197">
        <f>IF(A1197&lt;Y1197,"Yes","No")</f>
        <v/>
      </c>
    </row>
    <row r="1198">
      <c r="A1198" t="n">
        <v>2023</v>
      </c>
      <c r="B1198" t="inlineStr">
        <is>
          <t>Q4</t>
        </is>
      </c>
      <c r="C1198" t="inlineStr">
        <is>
          <t>Australia</t>
        </is>
      </c>
      <c r="D1198" t="inlineStr">
        <is>
          <t>Model X</t>
        </is>
      </c>
      <c r="E1198" t="n">
        <v>4120</v>
      </c>
      <c r="F1198" t="n">
        <v>75720.61</v>
      </c>
      <c r="G1198" t="n">
        <v>6</v>
      </c>
      <c r="H1198" t="inlineStr">
        <is>
          <t>Standard</t>
        </is>
      </c>
      <c r="I1198" t="inlineStr">
        <is>
          <t>AWD</t>
        </is>
      </c>
      <c r="J1198" t="inlineStr">
        <is>
          <t>Black</t>
        </is>
      </c>
      <c r="K1198" t="n">
        <v>537</v>
      </c>
      <c r="L1198" t="n">
        <v>34</v>
      </c>
      <c r="M1198" t="n">
        <v>19.07</v>
      </c>
      <c r="N1198" t="n">
        <v>3608.28</v>
      </c>
      <c r="O1198" t="n">
        <v>3.71</v>
      </c>
      <c r="P1198" t="n">
        <v>6</v>
      </c>
      <c r="Q1198" t="n">
        <v>1</v>
      </c>
      <c r="R1198" t="n">
        <v>2022.7</v>
      </c>
      <c r="S1198" t="b">
        <v>0</v>
      </c>
      <c r="T1198" t="n">
        <v>4583809</v>
      </c>
      <c r="U1198" t="n">
        <v>3</v>
      </c>
      <c r="V1198" t="n">
        <v>0.0414</v>
      </c>
      <c r="W1198" t="n">
        <v>2.4</v>
      </c>
      <c r="X1198" t="n">
        <v>88.06999999999999</v>
      </c>
      <c r="Y1198">
        <f>VLOOKUP(D1198,$AB$2:$AC$7,2,FALSE)</f>
        <v/>
      </c>
      <c r="Z1198">
        <f>IF(A1198&lt;Y1198,"Yes","No")</f>
        <v/>
      </c>
    </row>
    <row r="1199">
      <c r="A1199" t="n">
        <v>2024</v>
      </c>
      <c r="B1199" t="inlineStr">
        <is>
          <t>Q3</t>
        </is>
      </c>
      <c r="C1199" t="inlineStr">
        <is>
          <t>Europe</t>
        </is>
      </c>
      <c r="D1199" t="inlineStr">
        <is>
          <t>Semi</t>
        </is>
      </c>
      <c r="E1199" t="n">
        <v>1024</v>
      </c>
      <c r="F1199" t="n">
        <v>76561.55</v>
      </c>
      <c r="G1199" t="n">
        <v>38</v>
      </c>
      <c r="H1199" t="inlineStr">
        <is>
          <t>Long Range</t>
        </is>
      </c>
      <c r="I1199" t="inlineStr">
        <is>
          <t>RWD</t>
        </is>
      </c>
      <c r="J1199" t="inlineStr">
        <is>
          <t>Silver</t>
        </is>
      </c>
      <c r="K1199" t="n">
        <v>667</v>
      </c>
      <c r="L1199" t="n">
        <v>33</v>
      </c>
      <c r="M1199" t="n">
        <v>22.71</v>
      </c>
      <c r="N1199" t="n">
        <v>1582.11</v>
      </c>
      <c r="O1199" t="n">
        <v>4.56</v>
      </c>
      <c r="P1199" t="n">
        <v>4</v>
      </c>
      <c r="Q1199" t="n">
        <v>1</v>
      </c>
      <c r="R1199" t="n">
        <v>2024.7</v>
      </c>
      <c r="S1199" t="b">
        <v>0</v>
      </c>
      <c r="T1199" t="n">
        <v>3128337</v>
      </c>
      <c r="U1199" t="n">
        <v>10</v>
      </c>
      <c r="V1199" t="n">
        <v>0.0856</v>
      </c>
      <c r="W1199" t="n">
        <v>2.45</v>
      </c>
      <c r="X1199" t="n">
        <v>63.32</v>
      </c>
      <c r="Y1199">
        <f>VLOOKUP(D1199,$AB$2:$AC$7,2,FALSE)</f>
        <v/>
      </c>
      <c r="Z1199">
        <f>IF(A1199&lt;Y1199,"Yes","No")</f>
        <v/>
      </c>
    </row>
    <row r="1200">
      <c r="A1200" t="n">
        <v>2019</v>
      </c>
      <c r="B1200" t="inlineStr">
        <is>
          <t>Q3</t>
        </is>
      </c>
      <c r="C1200" t="inlineStr">
        <is>
          <t>South America</t>
        </is>
      </c>
      <c r="D1200" t="inlineStr">
        <is>
          <t>Model 3</t>
        </is>
      </c>
      <c r="E1200" t="n">
        <v>1812</v>
      </c>
      <c r="F1200" t="n">
        <v>80733.14</v>
      </c>
      <c r="G1200" t="n">
        <v>60</v>
      </c>
      <c r="H1200" t="inlineStr">
        <is>
          <t>Standard</t>
        </is>
      </c>
      <c r="I1200" t="inlineStr">
        <is>
          <t>AWD</t>
        </is>
      </c>
      <c r="J1200" t="inlineStr">
        <is>
          <t>White</t>
        </is>
      </c>
      <c r="K1200" t="n">
        <v>622</v>
      </c>
      <c r="L1200" t="n">
        <v>78</v>
      </c>
      <c r="M1200" t="n">
        <v>24.46</v>
      </c>
      <c r="N1200" t="n">
        <v>1238.32</v>
      </c>
      <c r="O1200" t="n">
        <v>4.84</v>
      </c>
      <c r="P1200" t="n">
        <v>4</v>
      </c>
      <c r="Q1200" t="n">
        <v>0</v>
      </c>
      <c r="R1200" t="n">
        <v>2021.9</v>
      </c>
      <c r="S1200" t="b">
        <v>1</v>
      </c>
      <c r="T1200" t="n">
        <v>2265946</v>
      </c>
      <c r="U1200" t="n">
        <v>8</v>
      </c>
      <c r="V1200" t="n">
        <v>0.027</v>
      </c>
      <c r="W1200" t="n">
        <v>0.75</v>
      </c>
      <c r="X1200" t="n">
        <v>78.2</v>
      </c>
      <c r="Y1200">
        <f>VLOOKUP(D1200,$AB$2:$AC$7,2,FALSE)</f>
        <v/>
      </c>
      <c r="Z1200">
        <f>IF(A1200&lt;Y1200,"Yes","No")</f>
        <v/>
      </c>
    </row>
    <row r="1201">
      <c r="A1201" t="n">
        <v>2014</v>
      </c>
      <c r="B1201" t="inlineStr">
        <is>
          <t>Q3</t>
        </is>
      </c>
      <c r="C1201" t="inlineStr">
        <is>
          <t>Europe</t>
        </is>
      </c>
      <c r="D1201" t="inlineStr">
        <is>
          <t>Model S</t>
        </is>
      </c>
      <c r="E1201" t="n">
        <v>3080</v>
      </c>
      <c r="F1201" t="n">
        <v>83809.83</v>
      </c>
      <c r="G1201" t="n">
        <v>47</v>
      </c>
      <c r="H1201" t="inlineStr">
        <is>
          <t>Standard</t>
        </is>
      </c>
      <c r="I1201" t="inlineStr">
        <is>
          <t>AWD</t>
        </is>
      </c>
      <c r="J1201" t="inlineStr">
        <is>
          <t>Silver</t>
        </is>
      </c>
      <c r="K1201" t="n">
        <v>402</v>
      </c>
      <c r="L1201" t="n">
        <v>41</v>
      </c>
      <c r="M1201" t="n">
        <v>13.76</v>
      </c>
      <c r="N1201" t="n">
        <v>3476.67</v>
      </c>
      <c r="O1201" t="n">
        <v>4.21</v>
      </c>
      <c r="P1201" t="n">
        <v>5</v>
      </c>
      <c r="Q1201" t="n">
        <v>2</v>
      </c>
      <c r="R1201" t="n">
        <v>2020.2</v>
      </c>
      <c r="S1201" t="b">
        <v>0</v>
      </c>
      <c r="T1201" t="n">
        <v>3468675</v>
      </c>
      <c r="U1201" t="n">
        <v>3</v>
      </c>
      <c r="V1201" t="n">
        <v>0.0277</v>
      </c>
      <c r="W1201" t="n">
        <v>0.67</v>
      </c>
      <c r="X1201" t="n">
        <v>86.48</v>
      </c>
      <c r="Y1201">
        <f>VLOOKUP(D1201,$AB$2:$AC$7,2,FALSE)</f>
        <v/>
      </c>
      <c r="Z1201">
        <f>IF(A1201&lt;Y1201,"Yes","No")</f>
        <v/>
      </c>
    </row>
    <row r="1202">
      <c r="A1202" t="n">
        <v>2017</v>
      </c>
      <c r="B1202" t="inlineStr">
        <is>
          <t>Q3</t>
        </is>
      </c>
      <c r="C1202" t="inlineStr">
        <is>
          <t>Europe</t>
        </is>
      </c>
      <c r="D1202" t="inlineStr">
        <is>
          <t>Model S</t>
        </is>
      </c>
      <c r="E1202" t="n">
        <v>564</v>
      </c>
      <c r="F1202" t="n">
        <v>62261.86</v>
      </c>
      <c r="G1202" t="n">
        <v>2</v>
      </c>
      <c r="H1202" t="inlineStr">
        <is>
          <t>Standard</t>
        </is>
      </c>
      <c r="I1202" t="inlineStr">
        <is>
          <t>AWD</t>
        </is>
      </c>
      <c r="J1202" t="inlineStr">
        <is>
          <t>White</t>
        </is>
      </c>
      <c r="K1202" t="n">
        <v>501</v>
      </c>
      <c r="L1202" t="n">
        <v>30</v>
      </c>
      <c r="M1202" t="n">
        <v>18.4</v>
      </c>
      <c r="N1202" t="n">
        <v>883.03</v>
      </c>
      <c r="O1202" t="n">
        <v>4.51</v>
      </c>
      <c r="P1202" t="n">
        <v>4</v>
      </c>
      <c r="Q1202" t="n">
        <v>0</v>
      </c>
      <c r="R1202" t="n">
        <v>2024.12</v>
      </c>
      <c r="S1202" t="b">
        <v>0</v>
      </c>
      <c r="T1202" t="n">
        <v>3124617</v>
      </c>
      <c r="U1202" t="n">
        <v>11</v>
      </c>
      <c r="V1202" t="n">
        <v>0.0594</v>
      </c>
      <c r="W1202" t="n">
        <v>1.83</v>
      </c>
      <c r="X1202" t="n">
        <v>69.39</v>
      </c>
      <c r="Y1202">
        <f>VLOOKUP(D1202,$AB$2:$AC$7,2,FALSE)</f>
        <v/>
      </c>
      <c r="Z1202">
        <f>IF(A1202&lt;Y1202,"Yes","No")</f>
        <v/>
      </c>
    </row>
    <row r="1203">
      <c r="A1203" t="n">
        <v>2019</v>
      </c>
      <c r="B1203" t="inlineStr">
        <is>
          <t>Q4</t>
        </is>
      </c>
      <c r="C1203" t="inlineStr">
        <is>
          <t>Australia</t>
        </is>
      </c>
      <c r="D1203" t="inlineStr">
        <is>
          <t>Model 3</t>
        </is>
      </c>
      <c r="E1203" t="n">
        <v>2552</v>
      </c>
      <c r="F1203" t="n">
        <v>62670.59</v>
      </c>
      <c r="G1203" t="n">
        <v>56</v>
      </c>
      <c r="H1203" t="inlineStr">
        <is>
          <t>Long Range</t>
        </is>
      </c>
      <c r="I1203" t="inlineStr">
        <is>
          <t>AWD</t>
        </is>
      </c>
      <c r="J1203" t="inlineStr">
        <is>
          <t>Silver</t>
        </is>
      </c>
      <c r="K1203" t="n">
        <v>444</v>
      </c>
      <c r="L1203" t="n">
        <v>68</v>
      </c>
      <c r="M1203" t="n">
        <v>20.09</v>
      </c>
      <c r="N1203" t="n">
        <v>1997.5</v>
      </c>
      <c r="O1203" t="n">
        <v>4.91</v>
      </c>
      <c r="P1203" t="n">
        <v>6</v>
      </c>
      <c r="Q1203" t="n">
        <v>2</v>
      </c>
      <c r="R1203" t="n">
        <v>2021.1</v>
      </c>
      <c r="S1203" t="b">
        <v>0</v>
      </c>
      <c r="T1203" t="n">
        <v>2673507</v>
      </c>
      <c r="U1203" t="n">
        <v>12</v>
      </c>
      <c r="V1203" t="n">
        <v>0.0174</v>
      </c>
      <c r="W1203" t="n">
        <v>1.74</v>
      </c>
      <c r="X1203" t="n">
        <v>82.01000000000001</v>
      </c>
      <c r="Y1203">
        <f>VLOOKUP(D1203,$AB$2:$AC$7,2,FALSE)</f>
        <v/>
      </c>
      <c r="Z1203">
        <f>IF(A1203&lt;Y1203,"Yes","No")</f>
        <v/>
      </c>
    </row>
    <row r="1204">
      <c r="A1204" t="n">
        <v>2013</v>
      </c>
      <c r="B1204" t="inlineStr">
        <is>
          <t>Q1</t>
        </is>
      </c>
      <c r="C1204" t="inlineStr">
        <is>
          <t>Australia</t>
        </is>
      </c>
      <c r="D1204" t="inlineStr">
        <is>
          <t>Model S</t>
        </is>
      </c>
      <c r="E1204" t="n">
        <v>3182</v>
      </c>
      <c r="F1204" t="n">
        <v>118487.2</v>
      </c>
      <c r="G1204" t="n">
        <v>24</v>
      </c>
      <c r="H1204" t="inlineStr">
        <is>
          <t>Performance</t>
        </is>
      </c>
      <c r="I1204" t="inlineStr">
        <is>
          <t>AWD</t>
        </is>
      </c>
      <c r="J1204" t="inlineStr">
        <is>
          <t>Red</t>
        </is>
      </c>
      <c r="K1204" t="n">
        <v>380</v>
      </c>
      <c r="L1204" t="n">
        <v>87</v>
      </c>
      <c r="M1204" t="n">
        <v>22.05</v>
      </c>
      <c r="N1204" t="n">
        <v>6938.05</v>
      </c>
      <c r="O1204" t="n">
        <v>4.55</v>
      </c>
      <c r="P1204" t="n">
        <v>5</v>
      </c>
      <c r="Q1204" t="n">
        <v>1</v>
      </c>
      <c r="R1204" t="n">
        <v>2022.3</v>
      </c>
      <c r="S1204" t="b">
        <v>1</v>
      </c>
      <c r="T1204" t="n">
        <v>3493173</v>
      </c>
      <c r="U1204" t="n">
        <v>10</v>
      </c>
      <c r="V1204" t="n">
        <v>0.0227</v>
      </c>
      <c r="W1204" t="n">
        <v>2.15</v>
      </c>
      <c r="X1204" t="n">
        <v>87.75</v>
      </c>
      <c r="Y1204">
        <f>VLOOKUP(D1204,$AB$2:$AC$7,2,FALSE)</f>
        <v/>
      </c>
      <c r="Z1204">
        <f>IF(A1204&lt;Y1204,"Yes","No")</f>
        <v/>
      </c>
    </row>
    <row r="1205">
      <c r="A1205" t="n">
        <v>2014</v>
      </c>
      <c r="B1205" t="inlineStr">
        <is>
          <t>Q1</t>
        </is>
      </c>
      <c r="C1205" t="inlineStr">
        <is>
          <t>Australia</t>
        </is>
      </c>
      <c r="D1205" t="inlineStr">
        <is>
          <t>Model X</t>
        </is>
      </c>
      <c r="E1205" t="n">
        <v>3344</v>
      </c>
      <c r="F1205" t="n">
        <v>49492.43</v>
      </c>
      <c r="G1205" t="n">
        <v>50</v>
      </c>
      <c r="H1205" t="inlineStr">
        <is>
          <t>Long Range</t>
        </is>
      </c>
      <c r="I1205" t="inlineStr">
        <is>
          <t>RWD</t>
        </is>
      </c>
      <c r="J1205" t="inlineStr">
        <is>
          <t>Black</t>
        </is>
      </c>
      <c r="K1205" t="n">
        <v>365</v>
      </c>
      <c r="L1205" t="n">
        <v>63</v>
      </c>
      <c r="M1205" t="n">
        <v>15.32</v>
      </c>
      <c r="N1205" t="n">
        <v>3484.38</v>
      </c>
      <c r="O1205" t="n">
        <v>4.36</v>
      </c>
      <c r="P1205" t="n">
        <v>4</v>
      </c>
      <c r="Q1205" t="n">
        <v>0</v>
      </c>
      <c r="R1205" t="n">
        <v>2020.6</v>
      </c>
      <c r="S1205" t="b">
        <v>1</v>
      </c>
      <c r="T1205" t="n">
        <v>1267294</v>
      </c>
      <c r="U1205" t="n">
        <v>12</v>
      </c>
      <c r="V1205" t="n">
        <v>0.082</v>
      </c>
      <c r="W1205" t="n">
        <v>1.77</v>
      </c>
      <c r="X1205" t="n">
        <v>88.11</v>
      </c>
      <c r="Y1205">
        <f>VLOOKUP(D1205,$AB$2:$AC$7,2,FALSE)</f>
        <v/>
      </c>
      <c r="Z1205">
        <f>IF(A1205&lt;Y1205,"Yes","No")</f>
        <v/>
      </c>
    </row>
    <row r="1206">
      <c r="A1206" t="n">
        <v>2022</v>
      </c>
      <c r="B1206" t="inlineStr">
        <is>
          <t>Q3</t>
        </is>
      </c>
      <c r="C1206" t="inlineStr">
        <is>
          <t>Australia</t>
        </is>
      </c>
      <c r="D1206" t="inlineStr">
        <is>
          <t>Model 3</t>
        </is>
      </c>
      <c r="E1206" t="n">
        <v>1136</v>
      </c>
      <c r="F1206" t="n">
        <v>81857.8</v>
      </c>
      <c r="G1206" t="n">
        <v>29</v>
      </c>
      <c r="H1206" t="inlineStr">
        <is>
          <t>Standard</t>
        </is>
      </c>
      <c r="I1206" t="inlineStr">
        <is>
          <t>AWD</t>
        </is>
      </c>
      <c r="J1206" t="inlineStr">
        <is>
          <t>Black</t>
        </is>
      </c>
      <c r="K1206" t="n">
        <v>424</v>
      </c>
      <c r="L1206" t="n">
        <v>31</v>
      </c>
      <c r="M1206" t="n">
        <v>13.56</v>
      </c>
      <c r="N1206" t="n">
        <v>2034.32</v>
      </c>
      <c r="O1206" t="n">
        <v>4.19</v>
      </c>
      <c r="P1206" t="n">
        <v>6</v>
      </c>
      <c r="Q1206" t="n">
        <v>2</v>
      </c>
      <c r="R1206" t="n">
        <v>2024.8</v>
      </c>
      <c r="S1206" t="b">
        <v>1</v>
      </c>
      <c r="T1206" t="n">
        <v>2231449</v>
      </c>
      <c r="U1206" t="n">
        <v>5</v>
      </c>
      <c r="V1206" t="n">
        <v>0.0601</v>
      </c>
      <c r="W1206" t="n">
        <v>2.38</v>
      </c>
      <c r="X1206" t="n">
        <v>64.34</v>
      </c>
      <c r="Y1206">
        <f>VLOOKUP(D1206,$AB$2:$AC$7,2,FALSE)</f>
        <v/>
      </c>
      <c r="Z1206">
        <f>IF(A1206&lt;Y1206,"Yes","No")</f>
        <v/>
      </c>
    </row>
    <row r="1207">
      <c r="A1207" t="n">
        <v>2017</v>
      </c>
      <c r="B1207" t="inlineStr">
        <is>
          <t>Q1</t>
        </is>
      </c>
      <c r="C1207" t="inlineStr">
        <is>
          <t>Asia</t>
        </is>
      </c>
      <c r="D1207" t="inlineStr">
        <is>
          <t>Model X</t>
        </is>
      </c>
      <c r="E1207" t="n">
        <v>1575</v>
      </c>
      <c r="F1207" t="n">
        <v>111582.24</v>
      </c>
      <c r="G1207" t="n">
        <v>51</v>
      </c>
      <c r="H1207" t="inlineStr">
        <is>
          <t>Standard</t>
        </is>
      </c>
      <c r="I1207" t="inlineStr">
        <is>
          <t>RWD</t>
        </is>
      </c>
      <c r="J1207" t="inlineStr">
        <is>
          <t>Green</t>
        </is>
      </c>
      <c r="K1207" t="n">
        <v>612</v>
      </c>
      <c r="L1207" t="n">
        <v>86</v>
      </c>
      <c r="M1207" t="n">
        <v>24.11</v>
      </c>
      <c r="N1207" t="n">
        <v>2811.44</v>
      </c>
      <c r="O1207" t="n">
        <v>4.56</v>
      </c>
      <c r="P1207" t="n">
        <v>5</v>
      </c>
      <c r="Q1207" t="n">
        <v>3</v>
      </c>
      <c r="R1207" t="n">
        <v>2020.7</v>
      </c>
      <c r="S1207" t="b">
        <v>1</v>
      </c>
      <c r="T1207" t="n">
        <v>2516222</v>
      </c>
      <c r="U1207" t="n">
        <v>10</v>
      </c>
      <c r="V1207" t="n">
        <v>0.0126</v>
      </c>
      <c r="W1207" t="n">
        <v>2.08</v>
      </c>
      <c r="X1207" t="n">
        <v>84.95</v>
      </c>
      <c r="Y1207">
        <f>VLOOKUP(D1207,$AB$2:$AC$7,2,FALSE)</f>
        <v/>
      </c>
      <c r="Z1207">
        <f>IF(A1207&lt;Y1207,"Yes","No")</f>
        <v/>
      </c>
    </row>
    <row r="1208">
      <c r="A1208" t="n">
        <v>2016</v>
      </c>
      <c r="B1208" t="inlineStr">
        <is>
          <t>Q1</t>
        </is>
      </c>
      <c r="C1208" t="inlineStr">
        <is>
          <t>Australia</t>
        </is>
      </c>
      <c r="D1208" t="inlineStr">
        <is>
          <t>Model X</t>
        </is>
      </c>
      <c r="E1208" t="n">
        <v>2511</v>
      </c>
      <c r="F1208" t="n">
        <v>110344.76</v>
      </c>
      <c r="G1208" t="n">
        <v>16</v>
      </c>
      <c r="H1208" t="inlineStr">
        <is>
          <t>Long Range</t>
        </is>
      </c>
      <c r="I1208" t="inlineStr">
        <is>
          <t>RWD</t>
        </is>
      </c>
      <c r="J1208" t="inlineStr">
        <is>
          <t>Green</t>
        </is>
      </c>
      <c r="K1208" t="n">
        <v>660</v>
      </c>
      <c r="L1208" t="n">
        <v>51</v>
      </c>
      <c r="M1208" t="n">
        <v>13.5</v>
      </c>
      <c r="N1208" t="n">
        <v>4166.11</v>
      </c>
      <c r="O1208" t="n">
        <v>3.89</v>
      </c>
      <c r="P1208" t="n">
        <v>4</v>
      </c>
      <c r="Q1208" t="n">
        <v>2</v>
      </c>
      <c r="R1208" t="n">
        <v>2023.7</v>
      </c>
      <c r="S1208" t="b">
        <v>0</v>
      </c>
      <c r="T1208" t="n">
        <v>1813270</v>
      </c>
      <c r="U1208" t="n">
        <v>2</v>
      </c>
      <c r="V1208" t="n">
        <v>0.0184</v>
      </c>
      <c r="W1208" t="n">
        <v>1.28</v>
      </c>
      <c r="X1208" t="n">
        <v>78.81</v>
      </c>
      <c r="Y1208">
        <f>VLOOKUP(D1208,$AB$2:$AC$7,2,FALSE)</f>
        <v/>
      </c>
      <c r="Z1208">
        <f>IF(A1208&lt;Y1208,"Yes","No")</f>
        <v/>
      </c>
    </row>
    <row r="1209">
      <c r="A1209" t="n">
        <v>2017</v>
      </c>
      <c r="B1209" t="inlineStr">
        <is>
          <t>Q4</t>
        </is>
      </c>
      <c r="C1209" t="inlineStr">
        <is>
          <t>Europe</t>
        </is>
      </c>
      <c r="D1209" t="inlineStr">
        <is>
          <t>Model 3</t>
        </is>
      </c>
      <c r="E1209" t="n">
        <v>4267</v>
      </c>
      <c r="F1209" t="n">
        <v>82503.44</v>
      </c>
      <c r="G1209" t="n">
        <v>33</v>
      </c>
      <c r="H1209" t="inlineStr">
        <is>
          <t>Performance</t>
        </is>
      </c>
      <c r="I1209" t="inlineStr">
        <is>
          <t>RWD</t>
        </is>
      </c>
      <c r="J1209" t="inlineStr">
        <is>
          <t>Green</t>
        </is>
      </c>
      <c r="K1209" t="n">
        <v>545</v>
      </c>
      <c r="L1209" t="n">
        <v>52</v>
      </c>
      <c r="M1209" t="n">
        <v>18.11</v>
      </c>
      <c r="N1209" t="n">
        <v>10518.46</v>
      </c>
      <c r="O1209" t="n">
        <v>4.96</v>
      </c>
      <c r="P1209" t="n">
        <v>5</v>
      </c>
      <c r="Q1209" t="n">
        <v>0</v>
      </c>
      <c r="R1209" t="n">
        <v>2021.7</v>
      </c>
      <c r="S1209" t="b">
        <v>1</v>
      </c>
      <c r="T1209" t="n">
        <v>3595452</v>
      </c>
      <c r="U1209" t="n">
        <v>12</v>
      </c>
      <c r="V1209" t="n">
        <v>0.0215</v>
      </c>
      <c r="W1209" t="n">
        <v>2.35</v>
      </c>
      <c r="X1209" t="n">
        <v>85.3</v>
      </c>
      <c r="Y1209">
        <f>VLOOKUP(D1209,$AB$2:$AC$7,2,FALSE)</f>
        <v/>
      </c>
      <c r="Z1209">
        <f>IF(A1209&lt;Y1209,"Yes","No")</f>
        <v/>
      </c>
    </row>
    <row r="1210">
      <c r="A1210" t="n">
        <v>2012</v>
      </c>
      <c r="B1210" t="inlineStr">
        <is>
          <t>Q1</t>
        </is>
      </c>
      <c r="C1210" t="inlineStr">
        <is>
          <t>North America</t>
        </is>
      </c>
      <c r="D1210" t="inlineStr">
        <is>
          <t>Semi</t>
        </is>
      </c>
      <c r="E1210" t="n">
        <v>1635</v>
      </c>
      <c r="F1210" t="n">
        <v>82261.07000000001</v>
      </c>
      <c r="G1210" t="n">
        <v>0</v>
      </c>
      <c r="H1210" t="inlineStr">
        <is>
          <t>Long Range</t>
        </is>
      </c>
      <c r="I1210" t="inlineStr">
        <is>
          <t>RWD</t>
        </is>
      </c>
      <c r="J1210" t="inlineStr">
        <is>
          <t>Silver</t>
        </is>
      </c>
      <c r="K1210" t="n">
        <v>491</v>
      </c>
      <c r="L1210" t="n">
        <v>72</v>
      </c>
      <c r="M1210" t="n">
        <v>22.04</v>
      </c>
      <c r="N1210" t="n">
        <v>3768.84</v>
      </c>
      <c r="O1210" t="n">
        <v>3.62</v>
      </c>
      <c r="P1210" t="n">
        <v>4</v>
      </c>
      <c r="Q1210" t="n">
        <v>1</v>
      </c>
      <c r="R1210" t="n">
        <v>2024.1</v>
      </c>
      <c r="S1210" t="b">
        <v>1</v>
      </c>
      <c r="T1210" t="n">
        <v>2862125</v>
      </c>
      <c r="U1210" t="n">
        <v>3</v>
      </c>
      <c r="V1210" t="n">
        <v>0.0784</v>
      </c>
      <c r="W1210" t="n">
        <v>1.96</v>
      </c>
      <c r="X1210" t="n">
        <v>85.70999999999999</v>
      </c>
      <c r="Y1210">
        <f>VLOOKUP(D1210,$AB$2:$AC$7,2,FALSE)</f>
        <v/>
      </c>
      <c r="Z1210">
        <f>IF(A1210&lt;Y1210,"Yes","No")</f>
        <v/>
      </c>
    </row>
    <row r="1211">
      <c r="A1211" t="n">
        <v>2020</v>
      </c>
      <c r="B1211" t="inlineStr">
        <is>
          <t>Q3</t>
        </is>
      </c>
      <c r="C1211" t="inlineStr">
        <is>
          <t>Europe</t>
        </is>
      </c>
      <c r="D1211" t="inlineStr">
        <is>
          <t>Cybertruck</t>
        </is>
      </c>
      <c r="E1211" t="n">
        <v>1430</v>
      </c>
      <c r="F1211" t="n">
        <v>115812.77</v>
      </c>
      <c r="G1211" t="n">
        <v>36</v>
      </c>
      <c r="H1211" t="inlineStr">
        <is>
          <t>Long Range</t>
        </is>
      </c>
      <c r="I1211" t="inlineStr">
        <is>
          <t>RWD</t>
        </is>
      </c>
      <c r="J1211" t="inlineStr">
        <is>
          <t>Red</t>
        </is>
      </c>
      <c r="K1211" t="n">
        <v>651</v>
      </c>
      <c r="L1211" t="n">
        <v>75</v>
      </c>
      <c r="M1211" t="n">
        <v>22.04</v>
      </c>
      <c r="N1211" t="n">
        <v>1457.5</v>
      </c>
      <c r="O1211" t="n">
        <v>4.71</v>
      </c>
      <c r="P1211" t="n">
        <v>4</v>
      </c>
      <c r="Q1211" t="n">
        <v>2</v>
      </c>
      <c r="R1211" t="n">
        <v>2021.5</v>
      </c>
      <c r="S1211" t="b">
        <v>0</v>
      </c>
      <c r="T1211" t="n">
        <v>1174964</v>
      </c>
      <c r="U1211" t="n">
        <v>10</v>
      </c>
      <c r="V1211" t="n">
        <v>0.0315</v>
      </c>
      <c r="W1211" t="n">
        <v>1.22</v>
      </c>
      <c r="X1211" t="n">
        <v>62.79</v>
      </c>
      <c r="Y1211">
        <f>VLOOKUP(D1211,$AB$2:$AC$7,2,FALSE)</f>
        <v/>
      </c>
      <c r="Z1211">
        <f>IF(A1211&lt;Y1211,"Yes","No")</f>
        <v/>
      </c>
    </row>
    <row r="1212">
      <c r="A1212" t="n">
        <v>2023</v>
      </c>
      <c r="B1212" t="inlineStr">
        <is>
          <t>Q4</t>
        </is>
      </c>
      <c r="C1212" t="inlineStr">
        <is>
          <t>Australia</t>
        </is>
      </c>
      <c r="D1212" t="inlineStr">
        <is>
          <t>Model 3</t>
        </is>
      </c>
      <c r="E1212" t="n">
        <v>511</v>
      </c>
      <c r="F1212" t="n">
        <v>104706.24</v>
      </c>
      <c r="G1212" t="n">
        <v>21</v>
      </c>
      <c r="H1212" t="inlineStr">
        <is>
          <t>Performance</t>
        </is>
      </c>
      <c r="I1212" t="inlineStr">
        <is>
          <t>AWD</t>
        </is>
      </c>
      <c r="J1212" t="inlineStr">
        <is>
          <t>Black</t>
        </is>
      </c>
      <c r="K1212" t="n">
        <v>686</v>
      </c>
      <c r="L1212" t="n">
        <v>76</v>
      </c>
      <c r="M1212" t="n">
        <v>17.73</v>
      </c>
      <c r="N1212" t="n">
        <v>263.5</v>
      </c>
      <c r="O1212" t="n">
        <v>4.33</v>
      </c>
      <c r="P1212" t="n">
        <v>8</v>
      </c>
      <c r="Q1212" t="n">
        <v>3</v>
      </c>
      <c r="R1212" t="n">
        <v>2022.7</v>
      </c>
      <c r="S1212" t="b">
        <v>1</v>
      </c>
      <c r="T1212" t="n">
        <v>1499211</v>
      </c>
      <c r="U1212" t="n">
        <v>7</v>
      </c>
      <c r="V1212" t="n">
        <v>0.07969999999999999</v>
      </c>
      <c r="W1212" t="n">
        <v>2.38</v>
      </c>
      <c r="X1212" t="n">
        <v>76.04000000000001</v>
      </c>
      <c r="Y1212">
        <f>VLOOKUP(D1212,$AB$2:$AC$7,2,FALSE)</f>
        <v/>
      </c>
      <c r="Z1212">
        <f>IF(A1212&lt;Y1212,"Yes","No")</f>
        <v/>
      </c>
    </row>
    <row r="1213">
      <c r="A1213" t="n">
        <v>2014</v>
      </c>
      <c r="B1213" t="inlineStr">
        <is>
          <t>Q2</t>
        </is>
      </c>
      <c r="C1213" t="inlineStr">
        <is>
          <t>South America</t>
        </is>
      </c>
      <c r="D1213" t="inlineStr">
        <is>
          <t>Model 3</t>
        </is>
      </c>
      <c r="E1213" t="n">
        <v>4445</v>
      </c>
      <c r="F1213" t="n">
        <v>111590.96</v>
      </c>
      <c r="G1213" t="n">
        <v>48</v>
      </c>
      <c r="H1213" t="inlineStr">
        <is>
          <t>Standard</t>
        </is>
      </c>
      <c r="I1213" t="inlineStr">
        <is>
          <t>AWD</t>
        </is>
      </c>
      <c r="J1213" t="inlineStr">
        <is>
          <t>Black</t>
        </is>
      </c>
      <c r="K1213" t="n">
        <v>475</v>
      </c>
      <c r="L1213" t="n">
        <v>53</v>
      </c>
      <c r="M1213" t="n">
        <v>15.52</v>
      </c>
      <c r="N1213" t="n">
        <v>6105.56</v>
      </c>
      <c r="O1213" t="n">
        <v>4.26</v>
      </c>
      <c r="P1213" t="n">
        <v>6</v>
      </c>
      <c r="Q1213" t="n">
        <v>3</v>
      </c>
      <c r="R1213" t="n">
        <v>2024.12</v>
      </c>
      <c r="S1213" t="b">
        <v>0</v>
      </c>
      <c r="T1213" t="n">
        <v>3643392</v>
      </c>
      <c r="U1213" t="n">
        <v>9</v>
      </c>
      <c r="V1213" t="n">
        <v>0.0916</v>
      </c>
      <c r="W1213" t="n">
        <v>1.78</v>
      </c>
      <c r="X1213" t="n">
        <v>75.06999999999999</v>
      </c>
      <c r="Y1213">
        <f>VLOOKUP(D1213,$AB$2:$AC$7,2,FALSE)</f>
        <v/>
      </c>
      <c r="Z1213">
        <f>IF(A1213&lt;Y1213,"Yes","No")</f>
        <v/>
      </c>
    </row>
    <row r="1214">
      <c r="A1214" t="n">
        <v>2021</v>
      </c>
      <c r="B1214" t="inlineStr">
        <is>
          <t>Q4</t>
        </is>
      </c>
      <c r="C1214" t="inlineStr">
        <is>
          <t>Asia</t>
        </is>
      </c>
      <c r="D1214" t="inlineStr">
        <is>
          <t>Model X</t>
        </is>
      </c>
      <c r="E1214" t="n">
        <v>4569</v>
      </c>
      <c r="F1214" t="n">
        <v>53598.92</v>
      </c>
      <c r="G1214" t="n">
        <v>17</v>
      </c>
      <c r="H1214" t="inlineStr">
        <is>
          <t>Performance</t>
        </is>
      </c>
      <c r="I1214" t="inlineStr">
        <is>
          <t>RWD</t>
        </is>
      </c>
      <c r="J1214" t="inlineStr">
        <is>
          <t>Silver</t>
        </is>
      </c>
      <c r="K1214" t="n">
        <v>516</v>
      </c>
      <c r="L1214" t="n">
        <v>83</v>
      </c>
      <c r="M1214" t="n">
        <v>19.9</v>
      </c>
      <c r="N1214" t="n">
        <v>5343.2</v>
      </c>
      <c r="O1214" t="n">
        <v>3.62</v>
      </c>
      <c r="P1214" t="n">
        <v>6</v>
      </c>
      <c r="Q1214" t="n">
        <v>1</v>
      </c>
      <c r="R1214" t="n">
        <v>2020.8</v>
      </c>
      <c r="S1214" t="b">
        <v>0</v>
      </c>
      <c r="T1214" t="n">
        <v>2990822</v>
      </c>
      <c r="U1214" t="n">
        <v>12</v>
      </c>
      <c r="V1214" t="n">
        <v>0.0809</v>
      </c>
      <c r="W1214" t="n">
        <v>1.16</v>
      </c>
      <c r="X1214" t="n">
        <v>78.86</v>
      </c>
      <c r="Y1214">
        <f>VLOOKUP(D1214,$AB$2:$AC$7,2,FALSE)</f>
        <v/>
      </c>
      <c r="Z1214">
        <f>IF(A1214&lt;Y1214,"Yes","No")</f>
        <v/>
      </c>
    </row>
    <row r="1215">
      <c r="A1215" t="n">
        <v>2020</v>
      </c>
      <c r="B1215" t="inlineStr">
        <is>
          <t>Q4</t>
        </is>
      </c>
      <c r="C1215" t="inlineStr">
        <is>
          <t>Asia</t>
        </is>
      </c>
      <c r="D1215" t="inlineStr">
        <is>
          <t>Cybertruck</t>
        </is>
      </c>
      <c r="E1215" t="n">
        <v>3796</v>
      </c>
      <c r="F1215" t="n">
        <v>117056.28</v>
      </c>
      <c r="G1215" t="n">
        <v>5</v>
      </c>
      <c r="H1215" t="inlineStr">
        <is>
          <t>Performance</t>
        </is>
      </c>
      <c r="I1215" t="inlineStr">
        <is>
          <t>AWD</t>
        </is>
      </c>
      <c r="J1215" t="inlineStr">
        <is>
          <t>Green</t>
        </is>
      </c>
      <c r="K1215" t="n">
        <v>675</v>
      </c>
      <c r="L1215" t="n">
        <v>48</v>
      </c>
      <c r="M1215" t="n">
        <v>24.65</v>
      </c>
      <c r="N1215" t="n">
        <v>4826.78</v>
      </c>
      <c r="O1215" t="n">
        <v>4.83</v>
      </c>
      <c r="P1215" t="n">
        <v>5</v>
      </c>
      <c r="Q1215" t="n">
        <v>3</v>
      </c>
      <c r="R1215" t="n">
        <v>2023.6</v>
      </c>
      <c r="S1215" t="b">
        <v>1</v>
      </c>
      <c r="T1215" t="n">
        <v>1088314</v>
      </c>
      <c r="U1215" t="n">
        <v>11</v>
      </c>
      <c r="V1215" t="n">
        <v>0.06569999999999999</v>
      </c>
      <c r="W1215" t="n">
        <v>1.35</v>
      </c>
      <c r="X1215" t="n">
        <v>70.04000000000001</v>
      </c>
      <c r="Y1215">
        <f>VLOOKUP(D1215,$AB$2:$AC$7,2,FALSE)</f>
        <v/>
      </c>
      <c r="Z1215">
        <f>IF(A1215&lt;Y1215,"Yes","No")</f>
        <v/>
      </c>
    </row>
    <row r="1216">
      <c r="A1216" t="n">
        <v>2016</v>
      </c>
      <c r="B1216" t="inlineStr">
        <is>
          <t>Q4</t>
        </is>
      </c>
      <c r="C1216" t="inlineStr">
        <is>
          <t>Asia</t>
        </is>
      </c>
      <c r="D1216" t="inlineStr">
        <is>
          <t>Model X</t>
        </is>
      </c>
      <c r="E1216" t="n">
        <v>639</v>
      </c>
      <c r="F1216" t="n">
        <v>100237.77</v>
      </c>
      <c r="G1216" t="n">
        <v>49</v>
      </c>
      <c r="H1216" t="inlineStr">
        <is>
          <t>Performance</t>
        </is>
      </c>
      <c r="I1216" t="inlineStr">
        <is>
          <t>RWD</t>
        </is>
      </c>
      <c r="J1216" t="inlineStr">
        <is>
          <t>White</t>
        </is>
      </c>
      <c r="K1216" t="n">
        <v>407</v>
      </c>
      <c r="L1216" t="n">
        <v>69</v>
      </c>
      <c r="M1216" t="n">
        <v>17.84</v>
      </c>
      <c r="N1216" t="n">
        <v>996.0599999999999</v>
      </c>
      <c r="O1216" t="n">
        <v>4.14</v>
      </c>
      <c r="P1216" t="n">
        <v>4</v>
      </c>
      <c r="Q1216" t="n">
        <v>0</v>
      </c>
      <c r="R1216" t="n">
        <v>2024.4</v>
      </c>
      <c r="S1216" t="b">
        <v>0</v>
      </c>
      <c r="T1216" t="n">
        <v>4330516</v>
      </c>
      <c r="U1216" t="n">
        <v>4</v>
      </c>
      <c r="V1216" t="n">
        <v>0.0155</v>
      </c>
      <c r="W1216" t="n">
        <v>0.72</v>
      </c>
      <c r="X1216" t="n">
        <v>83.53</v>
      </c>
      <c r="Y1216">
        <f>VLOOKUP(D1216,$AB$2:$AC$7,2,FALSE)</f>
        <v/>
      </c>
      <c r="Z1216">
        <f>IF(A1216&lt;Y1216,"Yes","No")</f>
        <v/>
      </c>
    </row>
    <row r="1217">
      <c r="A1217" t="n">
        <v>2012</v>
      </c>
      <c r="B1217" t="inlineStr">
        <is>
          <t>Q1</t>
        </is>
      </c>
      <c r="C1217" t="inlineStr">
        <is>
          <t>Asia</t>
        </is>
      </c>
      <c r="D1217" t="inlineStr">
        <is>
          <t>Cybertruck</t>
        </is>
      </c>
      <c r="E1217" t="n">
        <v>3944</v>
      </c>
      <c r="F1217" t="n">
        <v>90437.64999999999</v>
      </c>
      <c r="G1217" t="n">
        <v>9</v>
      </c>
      <c r="H1217" t="inlineStr">
        <is>
          <t>Standard</t>
        </is>
      </c>
      <c r="I1217" t="inlineStr">
        <is>
          <t>RWD</t>
        </is>
      </c>
      <c r="J1217" t="inlineStr">
        <is>
          <t>Black</t>
        </is>
      </c>
      <c r="K1217" t="n">
        <v>414</v>
      </c>
      <c r="L1217" t="n">
        <v>63</v>
      </c>
      <c r="M1217" t="n">
        <v>16.37</v>
      </c>
      <c r="N1217" t="n">
        <v>6242.96</v>
      </c>
      <c r="O1217" t="n">
        <v>4.62</v>
      </c>
      <c r="P1217" t="n">
        <v>6</v>
      </c>
      <c r="Q1217" t="n">
        <v>1</v>
      </c>
      <c r="R1217" t="n">
        <v>2023.7</v>
      </c>
      <c r="S1217" t="b">
        <v>0</v>
      </c>
      <c r="T1217" t="n">
        <v>4741393</v>
      </c>
      <c r="U1217" t="n">
        <v>2</v>
      </c>
      <c r="V1217" t="n">
        <v>0.0611</v>
      </c>
      <c r="W1217" t="n">
        <v>1.54</v>
      </c>
      <c r="X1217" t="n">
        <v>67.62</v>
      </c>
      <c r="Y1217">
        <f>VLOOKUP(D1217,$AB$2:$AC$7,2,FALSE)</f>
        <v/>
      </c>
      <c r="Z1217">
        <f>IF(A1217&lt;Y1217,"Yes","No")</f>
        <v/>
      </c>
    </row>
    <row r="1218">
      <c r="A1218" t="n">
        <v>2022</v>
      </c>
      <c r="B1218" t="inlineStr">
        <is>
          <t>Q1</t>
        </is>
      </c>
      <c r="C1218" t="inlineStr">
        <is>
          <t>North America</t>
        </is>
      </c>
      <c r="D1218" t="inlineStr">
        <is>
          <t>Semi</t>
        </is>
      </c>
      <c r="E1218" t="n">
        <v>4196</v>
      </c>
      <c r="F1218" t="n">
        <v>117520.41</v>
      </c>
      <c r="G1218" t="n">
        <v>17</v>
      </c>
      <c r="H1218" t="inlineStr">
        <is>
          <t>Standard</t>
        </is>
      </c>
      <c r="I1218" t="inlineStr">
        <is>
          <t>AWD</t>
        </is>
      </c>
      <c r="J1218" t="inlineStr">
        <is>
          <t>Black</t>
        </is>
      </c>
      <c r="K1218" t="n">
        <v>503</v>
      </c>
      <c r="L1218" t="n">
        <v>65</v>
      </c>
      <c r="M1218" t="n">
        <v>13.06</v>
      </c>
      <c r="N1218" t="n">
        <v>9134.74</v>
      </c>
      <c r="O1218" t="n">
        <v>4</v>
      </c>
      <c r="P1218" t="n">
        <v>5</v>
      </c>
      <c r="Q1218" t="n">
        <v>3</v>
      </c>
      <c r="R1218" t="n">
        <v>2021.6</v>
      </c>
      <c r="S1218" t="b">
        <v>0</v>
      </c>
      <c r="T1218" t="n">
        <v>3457499</v>
      </c>
      <c r="U1218" t="n">
        <v>9</v>
      </c>
      <c r="V1218" t="n">
        <v>0.0194</v>
      </c>
      <c r="W1218" t="n">
        <v>1.19</v>
      </c>
      <c r="X1218" t="n">
        <v>67.84</v>
      </c>
      <c r="Y1218">
        <f>VLOOKUP(D1218,$AB$2:$AC$7,2,FALSE)</f>
        <v/>
      </c>
      <c r="Z1218">
        <f>IF(A1218&lt;Y1218,"Yes","No")</f>
        <v/>
      </c>
    </row>
    <row r="1219">
      <c r="A1219" t="n">
        <v>2018</v>
      </c>
      <c r="B1219" t="inlineStr">
        <is>
          <t>Q1</t>
        </is>
      </c>
      <c r="C1219" t="inlineStr">
        <is>
          <t>Asia</t>
        </is>
      </c>
      <c r="D1219" t="inlineStr">
        <is>
          <t>Model 3</t>
        </is>
      </c>
      <c r="E1219" t="n">
        <v>4848</v>
      </c>
      <c r="F1219" t="n">
        <v>48110.49</v>
      </c>
      <c r="G1219" t="n">
        <v>25</v>
      </c>
      <c r="H1219" t="inlineStr">
        <is>
          <t>Standard</t>
        </is>
      </c>
      <c r="I1219" t="inlineStr">
        <is>
          <t>RWD</t>
        </is>
      </c>
      <c r="J1219" t="inlineStr">
        <is>
          <t>Blue</t>
        </is>
      </c>
      <c r="K1219" t="n">
        <v>486</v>
      </c>
      <c r="L1219" t="n">
        <v>89</v>
      </c>
      <c r="M1219" t="n">
        <v>21.97</v>
      </c>
      <c r="N1219" t="n">
        <v>12028.5</v>
      </c>
      <c r="O1219" t="n">
        <v>4.45</v>
      </c>
      <c r="P1219" t="n">
        <v>5</v>
      </c>
      <c r="Q1219" t="n">
        <v>3</v>
      </c>
      <c r="R1219" t="n">
        <v>2021.1</v>
      </c>
      <c r="S1219" t="b">
        <v>0</v>
      </c>
      <c r="T1219" t="n">
        <v>1829816</v>
      </c>
      <c r="U1219" t="n">
        <v>8</v>
      </c>
      <c r="V1219" t="n">
        <v>0.09329999999999999</v>
      </c>
      <c r="W1219" t="n">
        <v>2.21</v>
      </c>
      <c r="X1219" t="n">
        <v>68.97</v>
      </c>
      <c r="Y1219">
        <f>VLOOKUP(D1219,$AB$2:$AC$7,2,FALSE)</f>
        <v/>
      </c>
      <c r="Z1219">
        <f>IF(A1219&lt;Y1219,"Yes","No")</f>
        <v/>
      </c>
    </row>
    <row r="1220">
      <c r="A1220" t="n">
        <v>2021</v>
      </c>
      <c r="B1220" t="inlineStr">
        <is>
          <t>Q1</t>
        </is>
      </c>
      <c r="C1220" t="inlineStr">
        <is>
          <t>North America</t>
        </is>
      </c>
      <c r="D1220" t="inlineStr">
        <is>
          <t>Cybertruck</t>
        </is>
      </c>
      <c r="E1220" t="n">
        <v>1304</v>
      </c>
      <c r="F1220" t="n">
        <v>95400.77</v>
      </c>
      <c r="G1220" t="n">
        <v>52</v>
      </c>
      <c r="H1220" t="inlineStr">
        <is>
          <t>Long Range</t>
        </is>
      </c>
      <c r="I1220" t="inlineStr">
        <is>
          <t>RWD</t>
        </is>
      </c>
      <c r="J1220" t="inlineStr">
        <is>
          <t>Blue</t>
        </is>
      </c>
      <c r="K1220" t="n">
        <v>670</v>
      </c>
      <c r="L1220" t="n">
        <v>89</v>
      </c>
      <c r="M1220" t="n">
        <v>21.19</v>
      </c>
      <c r="N1220" t="n">
        <v>2746.28</v>
      </c>
      <c r="O1220" t="n">
        <v>4.05</v>
      </c>
      <c r="P1220" t="n">
        <v>4</v>
      </c>
      <c r="Q1220" t="n">
        <v>1</v>
      </c>
      <c r="R1220" t="n">
        <v>2020.6</v>
      </c>
      <c r="S1220" t="b">
        <v>0</v>
      </c>
      <c r="T1220" t="n">
        <v>1924589</v>
      </c>
      <c r="U1220" t="n">
        <v>10</v>
      </c>
      <c r="V1220" t="n">
        <v>0.0321</v>
      </c>
      <c r="W1220" t="n">
        <v>0.54</v>
      </c>
      <c r="X1220" t="n">
        <v>74.91</v>
      </c>
      <c r="Y1220">
        <f>VLOOKUP(D1220,$AB$2:$AC$7,2,FALSE)</f>
        <v/>
      </c>
      <c r="Z1220">
        <f>IF(A1220&lt;Y1220,"Yes","No")</f>
        <v/>
      </c>
    </row>
    <row r="1221">
      <c r="A1221" t="n">
        <v>2017</v>
      </c>
      <c r="B1221" t="inlineStr">
        <is>
          <t>Q3</t>
        </is>
      </c>
      <c r="C1221" t="inlineStr">
        <is>
          <t>South America</t>
        </is>
      </c>
      <c r="D1221" t="inlineStr">
        <is>
          <t>Model 3</t>
        </is>
      </c>
      <c r="E1221" t="n">
        <v>781</v>
      </c>
      <c r="F1221" t="n">
        <v>112705.8</v>
      </c>
      <c r="G1221" t="n">
        <v>24</v>
      </c>
      <c r="H1221" t="inlineStr">
        <is>
          <t>Standard</t>
        </is>
      </c>
      <c r="I1221" t="inlineStr">
        <is>
          <t>RWD</t>
        </is>
      </c>
      <c r="J1221" t="inlineStr">
        <is>
          <t>White</t>
        </is>
      </c>
      <c r="K1221" t="n">
        <v>461</v>
      </c>
      <c r="L1221" t="n">
        <v>90</v>
      </c>
      <c r="M1221" t="n">
        <v>20.29</v>
      </c>
      <c r="N1221" t="n">
        <v>1011.65</v>
      </c>
      <c r="O1221" t="n">
        <v>4.46</v>
      </c>
      <c r="P1221" t="n">
        <v>6</v>
      </c>
      <c r="Q1221" t="n">
        <v>2</v>
      </c>
      <c r="R1221" t="n">
        <v>2023.1</v>
      </c>
      <c r="S1221" t="b">
        <v>0</v>
      </c>
      <c r="T1221" t="n">
        <v>4807507</v>
      </c>
      <c r="U1221" t="n">
        <v>11</v>
      </c>
      <c r="V1221" t="n">
        <v>0.0799</v>
      </c>
      <c r="W1221" t="n">
        <v>0.54</v>
      </c>
      <c r="X1221" t="n">
        <v>74.41</v>
      </c>
      <c r="Y1221">
        <f>VLOOKUP(D1221,$AB$2:$AC$7,2,FALSE)</f>
        <v/>
      </c>
      <c r="Z1221">
        <f>IF(A1221&lt;Y1221,"Yes","No")</f>
        <v/>
      </c>
    </row>
    <row r="1222">
      <c r="A1222" t="n">
        <v>2017</v>
      </c>
      <c r="B1222" t="inlineStr">
        <is>
          <t>Q1</t>
        </is>
      </c>
      <c r="C1222" t="inlineStr">
        <is>
          <t>South America</t>
        </is>
      </c>
      <c r="D1222" t="inlineStr">
        <is>
          <t>Semi</t>
        </is>
      </c>
      <c r="E1222" t="n">
        <v>4715</v>
      </c>
      <c r="F1222" t="n">
        <v>114743.46</v>
      </c>
      <c r="G1222" t="n">
        <v>38</v>
      </c>
      <c r="H1222" t="inlineStr">
        <is>
          <t>Performance</t>
        </is>
      </c>
      <c r="I1222" t="inlineStr">
        <is>
          <t>AWD</t>
        </is>
      </c>
      <c r="J1222" t="inlineStr">
        <is>
          <t>Blue</t>
        </is>
      </c>
      <c r="K1222" t="n">
        <v>597</v>
      </c>
      <c r="L1222" t="n">
        <v>53</v>
      </c>
      <c r="M1222" t="n">
        <v>17.44</v>
      </c>
      <c r="N1222" t="n">
        <v>3801.96</v>
      </c>
      <c r="O1222" t="n">
        <v>4.52</v>
      </c>
      <c r="P1222" t="n">
        <v>6</v>
      </c>
      <c r="Q1222" t="n">
        <v>2</v>
      </c>
      <c r="R1222" t="n">
        <v>2020.5</v>
      </c>
      <c r="S1222" t="b">
        <v>1</v>
      </c>
      <c r="T1222" t="n">
        <v>2944184</v>
      </c>
      <c r="U1222" t="n">
        <v>5</v>
      </c>
      <c r="V1222" t="n">
        <v>0.07049999999999999</v>
      </c>
      <c r="W1222" t="n">
        <v>1.36</v>
      </c>
      <c r="X1222" t="n">
        <v>68.27</v>
      </c>
      <c r="Y1222">
        <f>VLOOKUP(D1222,$AB$2:$AC$7,2,FALSE)</f>
        <v/>
      </c>
      <c r="Z1222">
        <f>IF(A1222&lt;Y1222,"Yes","No")</f>
        <v/>
      </c>
    </row>
    <row r="1223">
      <c r="A1223" t="n">
        <v>2020</v>
      </c>
      <c r="B1223" t="inlineStr">
        <is>
          <t>Q2</t>
        </is>
      </c>
      <c r="C1223" t="inlineStr">
        <is>
          <t>South America</t>
        </is>
      </c>
      <c r="D1223" t="inlineStr">
        <is>
          <t>Semi</t>
        </is>
      </c>
      <c r="E1223" t="n">
        <v>2053</v>
      </c>
      <c r="F1223" t="n">
        <v>78974.69</v>
      </c>
      <c r="G1223" t="n">
        <v>41</v>
      </c>
      <c r="H1223" t="inlineStr">
        <is>
          <t>Long Range</t>
        </is>
      </c>
      <c r="I1223" t="inlineStr">
        <is>
          <t>RWD</t>
        </is>
      </c>
      <c r="J1223" t="inlineStr">
        <is>
          <t>White</t>
        </is>
      </c>
      <c r="K1223" t="n">
        <v>575</v>
      </c>
      <c r="L1223" t="n">
        <v>58</v>
      </c>
      <c r="M1223" t="n">
        <v>18.21</v>
      </c>
      <c r="N1223" t="n">
        <v>2583.64</v>
      </c>
      <c r="O1223" t="n">
        <v>3.98</v>
      </c>
      <c r="P1223" t="n">
        <v>4</v>
      </c>
      <c r="Q1223" t="n">
        <v>3</v>
      </c>
      <c r="R1223" t="n">
        <v>2020.6</v>
      </c>
      <c r="S1223" t="b">
        <v>0</v>
      </c>
      <c r="T1223" t="n">
        <v>2641684</v>
      </c>
      <c r="U1223" t="n">
        <v>11</v>
      </c>
      <c r="V1223" t="n">
        <v>0.0337</v>
      </c>
      <c r="W1223" t="n">
        <v>2.09</v>
      </c>
      <c r="X1223" t="n">
        <v>66.31</v>
      </c>
      <c r="Y1223">
        <f>VLOOKUP(D1223,$AB$2:$AC$7,2,FALSE)</f>
        <v/>
      </c>
      <c r="Z1223">
        <f>IF(A1223&lt;Y1223,"Yes","No")</f>
        <v/>
      </c>
    </row>
    <row r="1224">
      <c r="A1224" t="n">
        <v>2016</v>
      </c>
      <c r="B1224" t="inlineStr">
        <is>
          <t>Q2</t>
        </is>
      </c>
      <c r="C1224" t="inlineStr">
        <is>
          <t>Australia</t>
        </is>
      </c>
      <c r="D1224" t="inlineStr">
        <is>
          <t>Cybertruck</t>
        </is>
      </c>
      <c r="E1224" t="n">
        <v>3906</v>
      </c>
      <c r="F1224" t="n">
        <v>90865.63</v>
      </c>
      <c r="G1224" t="n">
        <v>6</v>
      </c>
      <c r="H1224" t="inlineStr">
        <is>
          <t>Long Range</t>
        </is>
      </c>
      <c r="I1224" t="inlineStr">
        <is>
          <t>RWD</t>
        </is>
      </c>
      <c r="J1224" t="inlineStr">
        <is>
          <t>Silver</t>
        </is>
      </c>
      <c r="K1224" t="n">
        <v>439</v>
      </c>
      <c r="L1224" t="n">
        <v>90</v>
      </c>
      <c r="M1224" t="n">
        <v>14.69</v>
      </c>
      <c r="N1224" t="n">
        <v>1973.88</v>
      </c>
      <c r="O1224" t="n">
        <v>4.37</v>
      </c>
      <c r="P1224" t="n">
        <v>4</v>
      </c>
      <c r="Q1224" t="n">
        <v>3</v>
      </c>
      <c r="R1224" t="n">
        <v>2023.12</v>
      </c>
      <c r="S1224" t="b">
        <v>1</v>
      </c>
      <c r="T1224" t="n">
        <v>2603648</v>
      </c>
      <c r="U1224" t="n">
        <v>3</v>
      </c>
      <c r="V1224" t="n">
        <v>0.0411</v>
      </c>
      <c r="W1224" t="n">
        <v>1.22</v>
      </c>
      <c r="X1224" t="n">
        <v>73.91</v>
      </c>
      <c r="Y1224">
        <f>VLOOKUP(D1224,$AB$2:$AC$7,2,FALSE)</f>
        <v/>
      </c>
      <c r="Z1224">
        <f>IF(A1224&lt;Y1224,"Yes","No")</f>
        <v/>
      </c>
    </row>
    <row r="1225">
      <c r="A1225" t="n">
        <v>2013</v>
      </c>
      <c r="B1225" t="inlineStr">
        <is>
          <t>Q1</t>
        </is>
      </c>
      <c r="C1225" t="inlineStr">
        <is>
          <t>North America</t>
        </is>
      </c>
      <c r="D1225" t="inlineStr">
        <is>
          <t>Model S</t>
        </is>
      </c>
      <c r="E1225" t="n">
        <v>1058</v>
      </c>
      <c r="F1225" t="n">
        <v>115728.46</v>
      </c>
      <c r="G1225" t="n">
        <v>41</v>
      </c>
      <c r="H1225" t="inlineStr">
        <is>
          <t>Long Range</t>
        </is>
      </c>
      <c r="I1225" t="inlineStr">
        <is>
          <t>RWD</t>
        </is>
      </c>
      <c r="J1225" t="inlineStr">
        <is>
          <t>Blue</t>
        </is>
      </c>
      <c r="K1225" t="n">
        <v>467</v>
      </c>
      <c r="L1225" t="n">
        <v>79</v>
      </c>
      <c r="M1225" t="n">
        <v>16.45</v>
      </c>
      <c r="N1225" t="n">
        <v>2562.35</v>
      </c>
      <c r="O1225" t="n">
        <v>3.86</v>
      </c>
      <c r="P1225" t="n">
        <v>4</v>
      </c>
      <c r="Q1225" t="n">
        <v>2</v>
      </c>
      <c r="R1225" t="n">
        <v>2024.8</v>
      </c>
      <c r="S1225" t="b">
        <v>1</v>
      </c>
      <c r="T1225" t="n">
        <v>1550799</v>
      </c>
      <c r="U1225" t="n">
        <v>7</v>
      </c>
      <c r="V1225" t="n">
        <v>0.0948</v>
      </c>
      <c r="W1225" t="n">
        <v>1.44</v>
      </c>
      <c r="X1225" t="n">
        <v>75.01000000000001</v>
      </c>
      <c r="Y1225">
        <f>VLOOKUP(D1225,$AB$2:$AC$7,2,FALSE)</f>
        <v/>
      </c>
      <c r="Z1225">
        <f>IF(A1225&lt;Y1225,"Yes","No")</f>
        <v/>
      </c>
    </row>
    <row r="1226">
      <c r="A1226" t="n">
        <v>2018</v>
      </c>
      <c r="B1226" t="inlineStr">
        <is>
          <t>Q3</t>
        </is>
      </c>
      <c r="C1226" t="inlineStr">
        <is>
          <t>North America</t>
        </is>
      </c>
      <c r="D1226" t="inlineStr">
        <is>
          <t>Model 3</t>
        </is>
      </c>
      <c r="E1226" t="n">
        <v>2856</v>
      </c>
      <c r="F1226" t="n">
        <v>57980.9</v>
      </c>
      <c r="G1226" t="n">
        <v>46</v>
      </c>
      <c r="H1226" t="inlineStr">
        <is>
          <t>Performance</t>
        </is>
      </c>
      <c r="I1226" t="inlineStr">
        <is>
          <t>RWD</t>
        </is>
      </c>
      <c r="J1226" t="inlineStr">
        <is>
          <t>White</t>
        </is>
      </c>
      <c r="K1226" t="n">
        <v>398</v>
      </c>
      <c r="L1226" t="n">
        <v>55</v>
      </c>
      <c r="M1226" t="n">
        <v>19.41</v>
      </c>
      <c r="N1226" t="n">
        <v>6429.06</v>
      </c>
      <c r="O1226" t="n">
        <v>4.06</v>
      </c>
      <c r="P1226" t="n">
        <v>5</v>
      </c>
      <c r="Q1226" t="n">
        <v>2</v>
      </c>
      <c r="R1226" t="n">
        <v>2021.4</v>
      </c>
      <c r="S1226" t="b">
        <v>1</v>
      </c>
      <c r="T1226" t="n">
        <v>4599705</v>
      </c>
      <c r="U1226" t="n">
        <v>7</v>
      </c>
      <c r="V1226" t="n">
        <v>0.097</v>
      </c>
      <c r="W1226" t="n">
        <v>1.2</v>
      </c>
      <c r="X1226" t="n">
        <v>60.53</v>
      </c>
      <c r="Y1226">
        <f>VLOOKUP(D1226,$AB$2:$AC$7,2,FALSE)</f>
        <v/>
      </c>
      <c r="Z1226">
        <f>IF(A1226&lt;Y1226,"Yes","No")</f>
        <v/>
      </c>
    </row>
    <row r="1227">
      <c r="A1227" t="n">
        <v>2024</v>
      </c>
      <c r="B1227" t="inlineStr">
        <is>
          <t>Q3</t>
        </is>
      </c>
      <c r="C1227" t="inlineStr">
        <is>
          <t>Australia</t>
        </is>
      </c>
      <c r="D1227" t="inlineStr">
        <is>
          <t>Semi</t>
        </is>
      </c>
      <c r="E1227" t="n">
        <v>4947</v>
      </c>
      <c r="F1227" t="n">
        <v>60620.01</v>
      </c>
      <c r="G1227" t="n">
        <v>31</v>
      </c>
      <c r="H1227" t="inlineStr">
        <is>
          <t>Long Range</t>
        </is>
      </c>
      <c r="I1227" t="inlineStr">
        <is>
          <t>AWD</t>
        </is>
      </c>
      <c r="J1227" t="inlineStr">
        <is>
          <t>Green</t>
        </is>
      </c>
      <c r="K1227" t="n">
        <v>559</v>
      </c>
      <c r="L1227" t="n">
        <v>55</v>
      </c>
      <c r="M1227" t="n">
        <v>13.53</v>
      </c>
      <c r="N1227" t="n">
        <v>10264.18</v>
      </c>
      <c r="O1227" t="n">
        <v>4.86</v>
      </c>
      <c r="P1227" t="n">
        <v>6</v>
      </c>
      <c r="Q1227" t="n">
        <v>0</v>
      </c>
      <c r="R1227" t="n">
        <v>2021.7</v>
      </c>
      <c r="S1227" t="b">
        <v>1</v>
      </c>
      <c r="T1227" t="n">
        <v>2099308</v>
      </c>
      <c r="U1227" t="n">
        <v>5</v>
      </c>
      <c r="V1227" t="n">
        <v>0.0767</v>
      </c>
      <c r="W1227" t="n">
        <v>1.81</v>
      </c>
      <c r="X1227" t="n">
        <v>88.87</v>
      </c>
      <c r="Y1227">
        <f>VLOOKUP(D1227,$AB$2:$AC$7,2,FALSE)</f>
        <v/>
      </c>
      <c r="Z1227">
        <f>IF(A1227&lt;Y1227,"Yes","No")</f>
        <v/>
      </c>
    </row>
    <row r="1228">
      <c r="A1228" t="n">
        <v>2016</v>
      </c>
      <c r="B1228" t="inlineStr">
        <is>
          <t>Q4</t>
        </is>
      </c>
      <c r="C1228" t="inlineStr">
        <is>
          <t>North America</t>
        </is>
      </c>
      <c r="D1228" t="inlineStr">
        <is>
          <t>Model X</t>
        </is>
      </c>
      <c r="E1228" t="n">
        <v>199</v>
      </c>
      <c r="F1228" t="n">
        <v>74526.19</v>
      </c>
      <c r="G1228" t="n">
        <v>16</v>
      </c>
      <c r="H1228" t="inlineStr">
        <is>
          <t>Long Range</t>
        </is>
      </c>
      <c r="I1228" t="inlineStr">
        <is>
          <t>RWD</t>
        </is>
      </c>
      <c r="J1228" t="inlineStr">
        <is>
          <t>Green</t>
        </is>
      </c>
      <c r="K1228" t="n">
        <v>399</v>
      </c>
      <c r="L1228" t="n">
        <v>46</v>
      </c>
      <c r="M1228" t="n">
        <v>21.75</v>
      </c>
      <c r="N1228" t="n">
        <v>295.59</v>
      </c>
      <c r="O1228" t="n">
        <v>4.38</v>
      </c>
      <c r="P1228" t="n">
        <v>5</v>
      </c>
      <c r="Q1228" t="n">
        <v>2</v>
      </c>
      <c r="R1228" t="n">
        <v>2020.9</v>
      </c>
      <c r="S1228" t="b">
        <v>0</v>
      </c>
      <c r="T1228" t="n">
        <v>2778832</v>
      </c>
      <c r="U1228" t="n">
        <v>11</v>
      </c>
      <c r="V1228" t="n">
        <v>0.0406</v>
      </c>
      <c r="W1228" t="n">
        <v>0.58</v>
      </c>
      <c r="X1228" t="n">
        <v>81.39</v>
      </c>
      <c r="Y1228">
        <f>VLOOKUP(D1228,$AB$2:$AC$7,2,FALSE)</f>
        <v/>
      </c>
      <c r="Z1228">
        <f>IF(A1228&lt;Y1228,"Yes","No")</f>
        <v/>
      </c>
    </row>
    <row r="1229">
      <c r="A1229" t="n">
        <v>2019</v>
      </c>
      <c r="B1229" t="inlineStr">
        <is>
          <t>Q3</t>
        </is>
      </c>
      <c r="C1229" t="inlineStr">
        <is>
          <t>Asia</t>
        </is>
      </c>
      <c r="D1229" t="inlineStr">
        <is>
          <t>Semi</t>
        </is>
      </c>
      <c r="E1229" t="n">
        <v>3346</v>
      </c>
      <c r="F1229" t="n">
        <v>38151.77</v>
      </c>
      <c r="G1229" t="n">
        <v>29</v>
      </c>
      <c r="H1229" t="inlineStr">
        <is>
          <t>Standard</t>
        </is>
      </c>
      <c r="I1229" t="inlineStr">
        <is>
          <t>AWD</t>
        </is>
      </c>
      <c r="J1229" t="inlineStr">
        <is>
          <t>Silver</t>
        </is>
      </c>
      <c r="K1229" t="n">
        <v>548</v>
      </c>
      <c r="L1229" t="n">
        <v>36</v>
      </c>
      <c r="M1229" t="n">
        <v>13.23</v>
      </c>
      <c r="N1229" t="n">
        <v>4752.11</v>
      </c>
      <c r="O1229" t="n">
        <v>4.42</v>
      </c>
      <c r="P1229" t="n">
        <v>4</v>
      </c>
      <c r="Q1229" t="n">
        <v>0</v>
      </c>
      <c r="R1229" t="n">
        <v>2020.8</v>
      </c>
      <c r="S1229" t="b">
        <v>1</v>
      </c>
      <c r="T1229" t="n">
        <v>3314662</v>
      </c>
      <c r="U1229" t="n">
        <v>9</v>
      </c>
      <c r="V1229" t="n">
        <v>0.0616</v>
      </c>
      <c r="W1229" t="n">
        <v>1.79</v>
      </c>
      <c r="X1229" t="n">
        <v>77.23999999999999</v>
      </c>
      <c r="Y1229">
        <f>VLOOKUP(D1229,$AB$2:$AC$7,2,FALSE)</f>
        <v/>
      </c>
      <c r="Z1229">
        <f>IF(A1229&lt;Y1229,"Yes","No")</f>
        <v/>
      </c>
    </row>
    <row r="1230">
      <c r="A1230" t="n">
        <v>2019</v>
      </c>
      <c r="B1230" t="inlineStr">
        <is>
          <t>Q4</t>
        </is>
      </c>
      <c r="C1230" t="inlineStr">
        <is>
          <t>South America</t>
        </is>
      </c>
      <c r="D1230" t="inlineStr">
        <is>
          <t>Model 3</t>
        </is>
      </c>
      <c r="E1230" t="n">
        <v>4383</v>
      </c>
      <c r="F1230" t="n">
        <v>61571.09</v>
      </c>
      <c r="G1230" t="n">
        <v>43</v>
      </c>
      <c r="H1230" t="inlineStr">
        <is>
          <t>Standard</t>
        </is>
      </c>
      <c r="I1230" t="inlineStr">
        <is>
          <t>RWD</t>
        </is>
      </c>
      <c r="J1230" t="inlineStr">
        <is>
          <t>Green</t>
        </is>
      </c>
      <c r="K1230" t="n">
        <v>429</v>
      </c>
      <c r="L1230" t="n">
        <v>37</v>
      </c>
      <c r="M1230" t="n">
        <v>21.99</v>
      </c>
      <c r="N1230" t="n">
        <v>5392.54</v>
      </c>
      <c r="O1230" t="n">
        <v>4.72</v>
      </c>
      <c r="P1230" t="n">
        <v>5</v>
      </c>
      <c r="Q1230" t="n">
        <v>3</v>
      </c>
      <c r="R1230" t="n">
        <v>2023.7</v>
      </c>
      <c r="S1230" t="b">
        <v>1</v>
      </c>
      <c r="T1230" t="n">
        <v>3060680</v>
      </c>
      <c r="U1230" t="n">
        <v>5</v>
      </c>
      <c r="V1230" t="n">
        <v>0.08119999999999999</v>
      </c>
      <c r="W1230" t="n">
        <v>1.47</v>
      </c>
      <c r="X1230" t="n">
        <v>67.2</v>
      </c>
      <c r="Y1230">
        <f>VLOOKUP(D1230,$AB$2:$AC$7,2,FALSE)</f>
        <v/>
      </c>
      <c r="Z1230">
        <f>IF(A1230&lt;Y1230,"Yes","No")</f>
        <v/>
      </c>
    </row>
    <row r="1231">
      <c r="A1231" t="n">
        <v>2022</v>
      </c>
      <c r="B1231" t="inlineStr">
        <is>
          <t>Q3</t>
        </is>
      </c>
      <c r="C1231" t="inlineStr">
        <is>
          <t>South America</t>
        </is>
      </c>
      <c r="D1231" t="inlineStr">
        <is>
          <t>Cybertruck</t>
        </is>
      </c>
      <c r="E1231" t="n">
        <v>3388</v>
      </c>
      <c r="F1231" t="n">
        <v>38865.41</v>
      </c>
      <c r="G1231" t="n">
        <v>3</v>
      </c>
      <c r="H1231" t="inlineStr">
        <is>
          <t>Long Range</t>
        </is>
      </c>
      <c r="I1231" t="inlineStr">
        <is>
          <t>AWD</t>
        </is>
      </c>
      <c r="J1231" t="inlineStr">
        <is>
          <t>Black</t>
        </is>
      </c>
      <c r="K1231" t="n">
        <v>623</v>
      </c>
      <c r="L1231" t="n">
        <v>64</v>
      </c>
      <c r="M1231" t="n">
        <v>15.57</v>
      </c>
      <c r="N1231" t="n">
        <v>6973.12</v>
      </c>
      <c r="O1231" t="n">
        <v>4.95</v>
      </c>
      <c r="P1231" t="n">
        <v>5</v>
      </c>
      <c r="Q1231" t="n">
        <v>2</v>
      </c>
      <c r="R1231" t="n">
        <v>2020.4</v>
      </c>
      <c r="S1231" t="b">
        <v>1</v>
      </c>
      <c r="T1231" t="n">
        <v>724201</v>
      </c>
      <c r="U1231" t="n">
        <v>6</v>
      </c>
      <c r="V1231" t="n">
        <v>0.0271</v>
      </c>
      <c r="W1231" t="n">
        <v>1.71</v>
      </c>
      <c r="X1231" t="n">
        <v>87.31999999999999</v>
      </c>
      <c r="Y1231">
        <f>VLOOKUP(D1231,$AB$2:$AC$7,2,FALSE)</f>
        <v/>
      </c>
      <c r="Z1231">
        <f>IF(A1231&lt;Y1231,"Yes","No")</f>
        <v/>
      </c>
    </row>
    <row r="1232">
      <c r="A1232" t="n">
        <v>2016</v>
      </c>
      <c r="B1232" t="inlineStr">
        <is>
          <t>Q2</t>
        </is>
      </c>
      <c r="C1232" t="inlineStr">
        <is>
          <t>Australia</t>
        </is>
      </c>
      <c r="D1232" t="inlineStr">
        <is>
          <t>Semi</t>
        </is>
      </c>
      <c r="E1232" t="n">
        <v>2587</v>
      </c>
      <c r="F1232" t="n">
        <v>117924.36</v>
      </c>
      <c r="G1232" t="n">
        <v>14</v>
      </c>
      <c r="H1232" t="inlineStr">
        <is>
          <t>Long Range</t>
        </is>
      </c>
      <c r="I1232" t="inlineStr">
        <is>
          <t>RWD</t>
        </is>
      </c>
      <c r="J1232" t="inlineStr">
        <is>
          <t>Green</t>
        </is>
      </c>
      <c r="K1232" t="n">
        <v>465</v>
      </c>
      <c r="L1232" t="n">
        <v>50</v>
      </c>
      <c r="M1232" t="n">
        <v>18.76</v>
      </c>
      <c r="N1232" t="n">
        <v>5287.26</v>
      </c>
      <c r="O1232" t="n">
        <v>4.35</v>
      </c>
      <c r="P1232" t="n">
        <v>8</v>
      </c>
      <c r="Q1232" t="n">
        <v>0</v>
      </c>
      <c r="R1232" t="n">
        <v>2022.9</v>
      </c>
      <c r="S1232" t="b">
        <v>1</v>
      </c>
      <c r="T1232" t="n">
        <v>1744311</v>
      </c>
      <c r="U1232" t="n">
        <v>12</v>
      </c>
      <c r="V1232" t="n">
        <v>0.011</v>
      </c>
      <c r="W1232" t="n">
        <v>0.6</v>
      </c>
      <c r="X1232" t="n">
        <v>73.69</v>
      </c>
      <c r="Y1232">
        <f>VLOOKUP(D1232,$AB$2:$AC$7,2,FALSE)</f>
        <v/>
      </c>
      <c r="Z1232">
        <f>IF(A1232&lt;Y1232,"Yes","No")</f>
        <v/>
      </c>
    </row>
    <row r="1233">
      <c r="A1233" t="n">
        <v>2023</v>
      </c>
      <c r="B1233" t="inlineStr">
        <is>
          <t>Q2</t>
        </is>
      </c>
      <c r="C1233" t="inlineStr">
        <is>
          <t>Asia</t>
        </is>
      </c>
      <c r="D1233" t="inlineStr">
        <is>
          <t>Semi</t>
        </is>
      </c>
      <c r="E1233" t="n">
        <v>3629</v>
      </c>
      <c r="F1233" t="n">
        <v>106695.88</v>
      </c>
      <c r="G1233" t="n">
        <v>35</v>
      </c>
      <c r="H1233" t="inlineStr">
        <is>
          <t>Standard</t>
        </is>
      </c>
      <c r="I1233" t="inlineStr">
        <is>
          <t>RWD</t>
        </is>
      </c>
      <c r="J1233" t="inlineStr">
        <is>
          <t>Red</t>
        </is>
      </c>
      <c r="K1233" t="n">
        <v>612</v>
      </c>
      <c r="L1233" t="n">
        <v>41</v>
      </c>
      <c r="M1233" t="n">
        <v>24.69</v>
      </c>
      <c r="N1233" t="n">
        <v>4301.85</v>
      </c>
      <c r="O1233" t="n">
        <v>4.92</v>
      </c>
      <c r="P1233" t="n">
        <v>8</v>
      </c>
      <c r="Q1233" t="n">
        <v>1</v>
      </c>
      <c r="R1233" t="n">
        <v>2023.1</v>
      </c>
      <c r="S1233" t="b">
        <v>0</v>
      </c>
      <c r="T1233" t="n">
        <v>673021</v>
      </c>
      <c r="U1233" t="n">
        <v>4</v>
      </c>
      <c r="V1233" t="n">
        <v>0.0898</v>
      </c>
      <c r="W1233" t="n">
        <v>2.23</v>
      </c>
      <c r="X1233" t="n">
        <v>75.69</v>
      </c>
      <c r="Y1233">
        <f>VLOOKUP(D1233,$AB$2:$AC$7,2,FALSE)</f>
        <v/>
      </c>
      <c r="Z1233">
        <f>IF(A1233&lt;Y1233,"Yes","No")</f>
        <v/>
      </c>
    </row>
    <row r="1234">
      <c r="A1234" t="n">
        <v>2018</v>
      </c>
      <c r="B1234" t="inlineStr">
        <is>
          <t>Q1</t>
        </is>
      </c>
      <c r="C1234" t="inlineStr">
        <is>
          <t>North America</t>
        </is>
      </c>
      <c r="D1234" t="inlineStr">
        <is>
          <t>Model 3</t>
        </is>
      </c>
      <c r="E1234" t="n">
        <v>1102</v>
      </c>
      <c r="F1234" t="n">
        <v>116337.7</v>
      </c>
      <c r="G1234" t="n">
        <v>50</v>
      </c>
      <c r="H1234" t="inlineStr">
        <is>
          <t>Standard</t>
        </is>
      </c>
      <c r="I1234" t="inlineStr">
        <is>
          <t>AWD</t>
        </is>
      </c>
      <c r="J1234" t="inlineStr">
        <is>
          <t>White</t>
        </is>
      </c>
      <c r="K1234" t="n">
        <v>670</v>
      </c>
      <c r="L1234" t="n">
        <v>72</v>
      </c>
      <c r="M1234" t="n">
        <v>15</v>
      </c>
      <c r="N1234" t="n">
        <v>2461.29</v>
      </c>
      <c r="O1234" t="n">
        <v>4.71</v>
      </c>
      <c r="P1234" t="n">
        <v>4</v>
      </c>
      <c r="Q1234" t="n">
        <v>0</v>
      </c>
      <c r="R1234" t="n">
        <v>2024.8</v>
      </c>
      <c r="S1234" t="b">
        <v>1</v>
      </c>
      <c r="T1234" t="n">
        <v>2894637</v>
      </c>
      <c r="U1234" t="n">
        <v>11</v>
      </c>
      <c r="V1234" t="n">
        <v>0.08790000000000001</v>
      </c>
      <c r="W1234" t="n">
        <v>1.29</v>
      </c>
      <c r="X1234" t="n">
        <v>82.75</v>
      </c>
      <c r="Y1234">
        <f>VLOOKUP(D1234,$AB$2:$AC$7,2,FALSE)</f>
        <v/>
      </c>
      <c r="Z1234">
        <f>IF(A1234&lt;Y1234,"Yes","No")</f>
        <v/>
      </c>
    </row>
    <row r="1235">
      <c r="A1235" t="n">
        <v>2017</v>
      </c>
      <c r="B1235" t="inlineStr">
        <is>
          <t>Q4</t>
        </is>
      </c>
      <c r="C1235" t="inlineStr">
        <is>
          <t>Asia</t>
        </is>
      </c>
      <c r="D1235" t="inlineStr">
        <is>
          <t>Semi</t>
        </is>
      </c>
      <c r="E1235" t="n">
        <v>2285</v>
      </c>
      <c r="F1235" t="n">
        <v>67091.10000000001</v>
      </c>
      <c r="G1235" t="n">
        <v>23</v>
      </c>
      <c r="H1235" t="inlineStr">
        <is>
          <t>Performance</t>
        </is>
      </c>
      <c r="I1235" t="inlineStr">
        <is>
          <t>AWD</t>
        </is>
      </c>
      <c r="J1235" t="inlineStr">
        <is>
          <t>Black</t>
        </is>
      </c>
      <c r="K1235" t="n">
        <v>541</v>
      </c>
      <c r="L1235" t="n">
        <v>73</v>
      </c>
      <c r="M1235" t="n">
        <v>22.83</v>
      </c>
      <c r="N1235" t="n">
        <v>2422.85</v>
      </c>
      <c r="O1235" t="n">
        <v>4.89</v>
      </c>
      <c r="P1235" t="n">
        <v>4</v>
      </c>
      <c r="Q1235" t="n">
        <v>0</v>
      </c>
      <c r="R1235" t="n">
        <v>2024.11</v>
      </c>
      <c r="S1235" t="b">
        <v>0</v>
      </c>
      <c r="T1235" t="n">
        <v>815783</v>
      </c>
      <c r="U1235" t="n">
        <v>5</v>
      </c>
      <c r="V1235" t="n">
        <v>0.0444</v>
      </c>
      <c r="W1235" t="n">
        <v>1.4</v>
      </c>
      <c r="X1235" t="n">
        <v>75.34</v>
      </c>
      <c r="Y1235">
        <f>VLOOKUP(D1235,$AB$2:$AC$7,2,FALSE)</f>
        <v/>
      </c>
      <c r="Z1235">
        <f>IF(A1235&lt;Y1235,"Yes","No")</f>
        <v/>
      </c>
    </row>
    <row r="1236">
      <c r="A1236" t="n">
        <v>2012</v>
      </c>
      <c r="B1236" t="inlineStr">
        <is>
          <t>Q3</t>
        </is>
      </c>
      <c r="C1236" t="inlineStr">
        <is>
          <t>Europe</t>
        </is>
      </c>
      <c r="D1236" t="inlineStr">
        <is>
          <t>Model S</t>
        </is>
      </c>
      <c r="E1236" t="n">
        <v>1738</v>
      </c>
      <c r="F1236" t="n">
        <v>81972.42999999999</v>
      </c>
      <c r="G1236" t="n">
        <v>41</v>
      </c>
      <c r="H1236" t="inlineStr">
        <is>
          <t>Performance</t>
        </is>
      </c>
      <c r="I1236" t="inlineStr">
        <is>
          <t>AWD</t>
        </is>
      </c>
      <c r="J1236" t="inlineStr">
        <is>
          <t>Green</t>
        </is>
      </c>
      <c r="K1236" t="n">
        <v>653</v>
      </c>
      <c r="L1236" t="n">
        <v>43</v>
      </c>
      <c r="M1236" t="n">
        <v>18.33</v>
      </c>
      <c r="N1236" t="n">
        <v>4175.44</v>
      </c>
      <c r="O1236" t="n">
        <v>4.14</v>
      </c>
      <c r="P1236" t="n">
        <v>6</v>
      </c>
      <c r="Q1236" t="n">
        <v>0</v>
      </c>
      <c r="R1236" t="n">
        <v>2024.5</v>
      </c>
      <c r="S1236" t="b">
        <v>0</v>
      </c>
      <c r="T1236" t="n">
        <v>773363</v>
      </c>
      <c r="U1236" t="n">
        <v>6</v>
      </c>
      <c r="V1236" t="n">
        <v>0.0444</v>
      </c>
      <c r="W1236" t="n">
        <v>0.77</v>
      </c>
      <c r="X1236" t="n">
        <v>60.84</v>
      </c>
      <c r="Y1236">
        <f>VLOOKUP(D1236,$AB$2:$AC$7,2,FALSE)</f>
        <v/>
      </c>
      <c r="Z1236">
        <f>IF(A1236&lt;Y1236,"Yes","No")</f>
        <v/>
      </c>
    </row>
    <row r="1237">
      <c r="A1237" t="n">
        <v>2013</v>
      </c>
      <c r="B1237" t="inlineStr">
        <is>
          <t>Q3</t>
        </is>
      </c>
      <c r="C1237" t="inlineStr">
        <is>
          <t>South America</t>
        </is>
      </c>
      <c r="D1237" t="inlineStr">
        <is>
          <t>Model 3</t>
        </is>
      </c>
      <c r="E1237" t="n">
        <v>1674</v>
      </c>
      <c r="F1237" t="n">
        <v>55649.4</v>
      </c>
      <c r="G1237" t="n">
        <v>17</v>
      </c>
      <c r="H1237" t="inlineStr">
        <is>
          <t>Standard</t>
        </is>
      </c>
      <c r="I1237" t="inlineStr">
        <is>
          <t>AWD</t>
        </is>
      </c>
      <c r="J1237" t="inlineStr">
        <is>
          <t>Red</t>
        </is>
      </c>
      <c r="K1237" t="n">
        <v>444</v>
      </c>
      <c r="L1237" t="n">
        <v>58</v>
      </c>
      <c r="M1237" t="n">
        <v>15.03</v>
      </c>
      <c r="N1237" t="n">
        <v>1530.23</v>
      </c>
      <c r="O1237" t="n">
        <v>4.08</v>
      </c>
      <c r="P1237" t="n">
        <v>5</v>
      </c>
      <c r="Q1237" t="n">
        <v>0</v>
      </c>
      <c r="R1237" t="n">
        <v>2024.8</v>
      </c>
      <c r="S1237" t="b">
        <v>0</v>
      </c>
      <c r="T1237" t="n">
        <v>2541754</v>
      </c>
      <c r="U1237" t="n">
        <v>9</v>
      </c>
      <c r="V1237" t="n">
        <v>0.0917</v>
      </c>
      <c r="W1237" t="n">
        <v>0.59</v>
      </c>
      <c r="X1237" t="n">
        <v>77.19</v>
      </c>
      <c r="Y1237">
        <f>VLOOKUP(D1237,$AB$2:$AC$7,2,FALSE)</f>
        <v/>
      </c>
      <c r="Z1237">
        <f>IF(A1237&lt;Y1237,"Yes","No")</f>
        <v/>
      </c>
    </row>
    <row r="1238">
      <c r="A1238" t="n">
        <v>2018</v>
      </c>
      <c r="B1238" t="inlineStr">
        <is>
          <t>Q4</t>
        </is>
      </c>
      <c r="C1238" t="inlineStr">
        <is>
          <t>Australia</t>
        </is>
      </c>
      <c r="D1238" t="inlineStr">
        <is>
          <t>Model S</t>
        </is>
      </c>
      <c r="E1238" t="n">
        <v>4502</v>
      </c>
      <c r="F1238" t="n">
        <v>55165.26</v>
      </c>
      <c r="G1238" t="n">
        <v>29</v>
      </c>
      <c r="H1238" t="inlineStr">
        <is>
          <t>Long Range</t>
        </is>
      </c>
      <c r="I1238" t="inlineStr">
        <is>
          <t>AWD</t>
        </is>
      </c>
      <c r="J1238" t="inlineStr">
        <is>
          <t>Green</t>
        </is>
      </c>
      <c r="K1238" t="n">
        <v>659</v>
      </c>
      <c r="L1238" t="n">
        <v>53</v>
      </c>
      <c r="M1238" t="n">
        <v>13.03</v>
      </c>
      <c r="N1238" t="n">
        <v>6042.29</v>
      </c>
      <c r="O1238" t="n">
        <v>4.22</v>
      </c>
      <c r="P1238" t="n">
        <v>4</v>
      </c>
      <c r="Q1238" t="n">
        <v>3</v>
      </c>
      <c r="R1238" t="n">
        <v>2021.2</v>
      </c>
      <c r="S1238" t="b">
        <v>0</v>
      </c>
      <c r="T1238" t="n">
        <v>1335488</v>
      </c>
      <c r="U1238" t="n">
        <v>2</v>
      </c>
      <c r="V1238" t="n">
        <v>0.0354</v>
      </c>
      <c r="W1238" t="n">
        <v>1.55</v>
      </c>
      <c r="X1238" t="n">
        <v>75.48</v>
      </c>
      <c r="Y1238">
        <f>VLOOKUP(D1238,$AB$2:$AC$7,2,FALSE)</f>
        <v/>
      </c>
      <c r="Z1238">
        <f>IF(A1238&lt;Y1238,"Yes","No")</f>
        <v/>
      </c>
    </row>
    <row r="1239">
      <c r="A1239" t="n">
        <v>2020</v>
      </c>
      <c r="B1239" t="inlineStr">
        <is>
          <t>Q1</t>
        </is>
      </c>
      <c r="C1239" t="inlineStr">
        <is>
          <t>Asia</t>
        </is>
      </c>
      <c r="D1239" t="inlineStr">
        <is>
          <t>Model S</t>
        </is>
      </c>
      <c r="E1239" t="n">
        <v>4154</v>
      </c>
      <c r="F1239" t="n">
        <v>68144.13</v>
      </c>
      <c r="G1239" t="n">
        <v>36</v>
      </c>
      <c r="H1239" t="inlineStr">
        <is>
          <t>Standard</t>
        </is>
      </c>
      <c r="I1239" t="inlineStr">
        <is>
          <t>AWD</t>
        </is>
      </c>
      <c r="J1239" t="inlineStr">
        <is>
          <t>Black</t>
        </is>
      </c>
      <c r="K1239" t="n">
        <v>693</v>
      </c>
      <c r="L1239" t="n">
        <v>40</v>
      </c>
      <c r="M1239" t="n">
        <v>17.65</v>
      </c>
      <c r="N1239" t="n">
        <v>4547.58</v>
      </c>
      <c r="O1239" t="n">
        <v>3.99</v>
      </c>
      <c r="P1239" t="n">
        <v>8</v>
      </c>
      <c r="Q1239" t="n">
        <v>2</v>
      </c>
      <c r="R1239" t="n">
        <v>2024.7</v>
      </c>
      <c r="S1239" t="b">
        <v>0</v>
      </c>
      <c r="T1239" t="n">
        <v>2604088</v>
      </c>
      <c r="U1239" t="n">
        <v>3</v>
      </c>
      <c r="V1239" t="n">
        <v>0.063</v>
      </c>
      <c r="W1239" t="n">
        <v>0.67</v>
      </c>
      <c r="X1239" t="n">
        <v>61.11</v>
      </c>
      <c r="Y1239">
        <f>VLOOKUP(D1239,$AB$2:$AC$7,2,FALSE)</f>
        <v/>
      </c>
      <c r="Z1239">
        <f>IF(A1239&lt;Y1239,"Yes","No")</f>
        <v/>
      </c>
    </row>
    <row r="1240">
      <c r="A1240" t="n">
        <v>2023</v>
      </c>
      <c r="B1240" t="inlineStr">
        <is>
          <t>Q2</t>
        </is>
      </c>
      <c r="C1240" t="inlineStr">
        <is>
          <t>South America</t>
        </is>
      </c>
      <c r="D1240" t="inlineStr">
        <is>
          <t>Semi</t>
        </is>
      </c>
      <c r="E1240" t="n">
        <v>217</v>
      </c>
      <c r="F1240" t="n">
        <v>67886.81</v>
      </c>
      <c r="G1240" t="n">
        <v>58</v>
      </c>
      <c r="H1240" t="inlineStr">
        <is>
          <t>Long Range</t>
        </is>
      </c>
      <c r="I1240" t="inlineStr">
        <is>
          <t>AWD</t>
        </is>
      </c>
      <c r="J1240" t="inlineStr">
        <is>
          <t>Silver</t>
        </is>
      </c>
      <c r="K1240" t="n">
        <v>599</v>
      </c>
      <c r="L1240" t="n">
        <v>71</v>
      </c>
      <c r="M1240" t="n">
        <v>13.19</v>
      </c>
      <c r="N1240" t="n">
        <v>237.99</v>
      </c>
      <c r="O1240" t="n">
        <v>4</v>
      </c>
      <c r="P1240" t="n">
        <v>4</v>
      </c>
      <c r="Q1240" t="n">
        <v>3</v>
      </c>
      <c r="R1240" t="n">
        <v>2020.2</v>
      </c>
      <c r="S1240" t="b">
        <v>1</v>
      </c>
      <c r="T1240" t="n">
        <v>3235357</v>
      </c>
      <c r="U1240" t="n">
        <v>10</v>
      </c>
      <c r="V1240" t="n">
        <v>0.0616</v>
      </c>
      <c r="W1240" t="n">
        <v>0.88</v>
      </c>
      <c r="X1240" t="n">
        <v>89.8</v>
      </c>
      <c r="Y1240">
        <f>VLOOKUP(D1240,$AB$2:$AC$7,2,FALSE)</f>
        <v/>
      </c>
      <c r="Z1240">
        <f>IF(A1240&lt;Y1240,"Yes","No")</f>
        <v/>
      </c>
    </row>
    <row r="1241">
      <c r="A1241" t="n">
        <v>2014</v>
      </c>
      <c r="B1241" t="inlineStr">
        <is>
          <t>Q4</t>
        </is>
      </c>
      <c r="C1241" t="inlineStr">
        <is>
          <t>Australia</t>
        </is>
      </c>
      <c r="D1241" t="inlineStr">
        <is>
          <t>Model S</t>
        </is>
      </c>
      <c r="E1241" t="n">
        <v>3837</v>
      </c>
      <c r="F1241" t="n">
        <v>58568.12</v>
      </c>
      <c r="G1241" t="n">
        <v>7</v>
      </c>
      <c r="H1241" t="inlineStr">
        <is>
          <t>Long Range</t>
        </is>
      </c>
      <c r="I1241" t="inlineStr">
        <is>
          <t>AWD</t>
        </is>
      </c>
      <c r="J1241" t="inlineStr">
        <is>
          <t>Red</t>
        </is>
      </c>
      <c r="K1241" t="n">
        <v>656</v>
      </c>
      <c r="L1241" t="n">
        <v>45</v>
      </c>
      <c r="M1241" t="n">
        <v>20.65</v>
      </c>
      <c r="N1241" t="n">
        <v>4972.55</v>
      </c>
      <c r="O1241" t="n">
        <v>3.71</v>
      </c>
      <c r="P1241" t="n">
        <v>6</v>
      </c>
      <c r="Q1241" t="n">
        <v>1</v>
      </c>
      <c r="R1241" t="n">
        <v>2023.1</v>
      </c>
      <c r="S1241" t="b">
        <v>1</v>
      </c>
      <c r="T1241" t="n">
        <v>1561565</v>
      </c>
      <c r="U1241" t="n">
        <v>3</v>
      </c>
      <c r="V1241" t="n">
        <v>0.0481</v>
      </c>
      <c r="W1241" t="n">
        <v>1.97</v>
      </c>
      <c r="X1241" t="n">
        <v>82.7</v>
      </c>
      <c r="Y1241">
        <f>VLOOKUP(D1241,$AB$2:$AC$7,2,FALSE)</f>
        <v/>
      </c>
      <c r="Z1241">
        <f>IF(A1241&lt;Y1241,"Yes","No")</f>
        <v/>
      </c>
    </row>
    <row r="1242">
      <c r="A1242" t="n">
        <v>2020</v>
      </c>
      <c r="B1242" t="inlineStr">
        <is>
          <t>Q4</t>
        </is>
      </c>
      <c r="C1242" t="inlineStr">
        <is>
          <t>Asia</t>
        </is>
      </c>
      <c r="D1242" t="inlineStr">
        <is>
          <t>Model X</t>
        </is>
      </c>
      <c r="E1242" t="n">
        <v>4263</v>
      </c>
      <c r="F1242" t="n">
        <v>35889.49</v>
      </c>
      <c r="G1242" t="n">
        <v>55</v>
      </c>
      <c r="H1242" t="inlineStr">
        <is>
          <t>Performance</t>
        </is>
      </c>
      <c r="I1242" t="inlineStr">
        <is>
          <t>AWD</t>
        </is>
      </c>
      <c r="J1242" t="inlineStr">
        <is>
          <t>Black</t>
        </is>
      </c>
      <c r="K1242" t="n">
        <v>538</v>
      </c>
      <c r="L1242" t="n">
        <v>64</v>
      </c>
      <c r="M1242" t="n">
        <v>15.77</v>
      </c>
      <c r="N1242" t="n">
        <v>6424.22</v>
      </c>
      <c r="O1242" t="n">
        <v>3.95</v>
      </c>
      <c r="P1242" t="n">
        <v>4</v>
      </c>
      <c r="Q1242" t="n">
        <v>0</v>
      </c>
      <c r="R1242" t="n">
        <v>2023.6</v>
      </c>
      <c r="S1242" t="b">
        <v>0</v>
      </c>
      <c r="T1242" t="n">
        <v>2107503</v>
      </c>
      <c r="U1242" t="n">
        <v>7</v>
      </c>
      <c r="V1242" t="n">
        <v>0.0866</v>
      </c>
      <c r="W1242" t="n">
        <v>1.46</v>
      </c>
      <c r="X1242" t="n">
        <v>70.14</v>
      </c>
      <c r="Y1242">
        <f>VLOOKUP(D1242,$AB$2:$AC$7,2,FALSE)</f>
        <v/>
      </c>
      <c r="Z1242">
        <f>IF(A1242&lt;Y1242,"Yes","No")</f>
        <v/>
      </c>
    </row>
    <row r="1243">
      <c r="A1243" t="n">
        <v>2016</v>
      </c>
      <c r="B1243" t="inlineStr">
        <is>
          <t>Q4</t>
        </is>
      </c>
      <c r="C1243" t="inlineStr">
        <is>
          <t>South America</t>
        </is>
      </c>
      <c r="D1243" t="inlineStr">
        <is>
          <t>Model 3</t>
        </is>
      </c>
      <c r="E1243" t="n">
        <v>2877</v>
      </c>
      <c r="F1243" t="n">
        <v>45380.01</v>
      </c>
      <c r="G1243" t="n">
        <v>56</v>
      </c>
      <c r="H1243" t="inlineStr">
        <is>
          <t>Standard</t>
        </is>
      </c>
      <c r="I1243" t="inlineStr">
        <is>
          <t>AWD</t>
        </is>
      </c>
      <c r="J1243" t="inlineStr">
        <is>
          <t>White</t>
        </is>
      </c>
      <c r="K1243" t="n">
        <v>374</v>
      </c>
      <c r="L1243" t="n">
        <v>88</v>
      </c>
      <c r="M1243" t="n">
        <v>22.69</v>
      </c>
      <c r="N1243" t="n">
        <v>1947.31</v>
      </c>
      <c r="O1243" t="n">
        <v>4.87</v>
      </c>
      <c r="P1243" t="n">
        <v>5</v>
      </c>
      <c r="Q1243" t="n">
        <v>1</v>
      </c>
      <c r="R1243" t="n">
        <v>2020.1</v>
      </c>
      <c r="S1243" t="b">
        <v>0</v>
      </c>
      <c r="T1243" t="n">
        <v>3184015</v>
      </c>
      <c r="U1243" t="n">
        <v>10</v>
      </c>
      <c r="V1243" t="n">
        <v>0.0956</v>
      </c>
      <c r="W1243" t="n">
        <v>1.67</v>
      </c>
      <c r="X1243" t="n">
        <v>74.47</v>
      </c>
      <c r="Y1243">
        <f>VLOOKUP(D1243,$AB$2:$AC$7,2,FALSE)</f>
        <v/>
      </c>
      <c r="Z1243">
        <f>IF(A1243&lt;Y1243,"Yes","No")</f>
        <v/>
      </c>
    </row>
    <row r="1244">
      <c r="A1244" t="n">
        <v>2021</v>
      </c>
      <c r="B1244" t="inlineStr">
        <is>
          <t>Q1</t>
        </is>
      </c>
      <c r="C1244" t="inlineStr">
        <is>
          <t>Europe</t>
        </is>
      </c>
      <c r="D1244" t="inlineStr">
        <is>
          <t>Model X</t>
        </is>
      </c>
      <c r="E1244" t="n">
        <v>4988</v>
      </c>
      <c r="F1244" t="n">
        <v>73572.64</v>
      </c>
      <c r="G1244" t="n">
        <v>31</v>
      </c>
      <c r="H1244" t="inlineStr">
        <is>
          <t>Long Range</t>
        </is>
      </c>
      <c r="I1244" t="inlineStr">
        <is>
          <t>AWD</t>
        </is>
      </c>
      <c r="J1244" t="inlineStr">
        <is>
          <t>Blue</t>
        </is>
      </c>
      <c r="K1244" t="n">
        <v>363</v>
      </c>
      <c r="L1244" t="n">
        <v>42</v>
      </c>
      <c r="M1244" t="n">
        <v>13.39</v>
      </c>
      <c r="N1244" t="n">
        <v>6592.2</v>
      </c>
      <c r="O1244" t="n">
        <v>4.18</v>
      </c>
      <c r="P1244" t="n">
        <v>4</v>
      </c>
      <c r="Q1244" t="n">
        <v>2</v>
      </c>
      <c r="R1244" t="n">
        <v>2020.3</v>
      </c>
      <c r="S1244" t="b">
        <v>0</v>
      </c>
      <c r="T1244" t="n">
        <v>3304337</v>
      </c>
      <c r="U1244" t="n">
        <v>2</v>
      </c>
      <c r="V1244" t="n">
        <v>0.0397</v>
      </c>
      <c r="W1244" t="n">
        <v>2.43</v>
      </c>
      <c r="X1244" t="n">
        <v>67.59999999999999</v>
      </c>
      <c r="Y1244">
        <f>VLOOKUP(D1244,$AB$2:$AC$7,2,FALSE)</f>
        <v/>
      </c>
      <c r="Z1244">
        <f>IF(A1244&lt;Y1244,"Yes","No")</f>
        <v/>
      </c>
    </row>
    <row r="1245">
      <c r="A1245" t="n">
        <v>2024</v>
      </c>
      <c r="B1245" t="inlineStr">
        <is>
          <t>Q2</t>
        </is>
      </c>
      <c r="C1245" t="inlineStr">
        <is>
          <t>South America</t>
        </is>
      </c>
      <c r="D1245" t="inlineStr">
        <is>
          <t>Cybertruck</t>
        </is>
      </c>
      <c r="E1245" t="n">
        <v>2677</v>
      </c>
      <c r="F1245" t="n">
        <v>52750.88</v>
      </c>
      <c r="G1245" t="n">
        <v>28</v>
      </c>
      <c r="H1245" t="inlineStr">
        <is>
          <t>Long Range</t>
        </is>
      </c>
      <c r="I1245" t="inlineStr">
        <is>
          <t>RWD</t>
        </is>
      </c>
      <c r="J1245" t="inlineStr">
        <is>
          <t>Red</t>
        </is>
      </c>
      <c r="K1245" t="n">
        <v>635</v>
      </c>
      <c r="L1245" t="n">
        <v>59</v>
      </c>
      <c r="M1245" t="n">
        <v>22.17</v>
      </c>
      <c r="N1245" t="n">
        <v>3499.97</v>
      </c>
      <c r="O1245" t="n">
        <v>4.2</v>
      </c>
      <c r="P1245" t="n">
        <v>8</v>
      </c>
      <c r="Q1245" t="n">
        <v>0</v>
      </c>
      <c r="R1245" t="n">
        <v>2020.7</v>
      </c>
      <c r="S1245" t="b">
        <v>0</v>
      </c>
      <c r="T1245" t="n">
        <v>1982744</v>
      </c>
      <c r="U1245" t="n">
        <v>6</v>
      </c>
      <c r="V1245" t="n">
        <v>0.0392</v>
      </c>
      <c r="W1245" t="n">
        <v>2.41</v>
      </c>
      <c r="X1245" t="n">
        <v>85.28</v>
      </c>
      <c r="Y1245">
        <f>VLOOKUP(D1245,$AB$2:$AC$7,2,FALSE)</f>
        <v/>
      </c>
      <c r="Z1245">
        <f>IF(A1245&lt;Y1245,"Yes","No")</f>
        <v/>
      </c>
    </row>
    <row r="1246">
      <c r="A1246" t="n">
        <v>2021</v>
      </c>
      <c r="B1246" t="inlineStr">
        <is>
          <t>Q4</t>
        </is>
      </c>
      <c r="C1246" t="inlineStr">
        <is>
          <t>Europe</t>
        </is>
      </c>
      <c r="D1246" t="inlineStr">
        <is>
          <t>Model S</t>
        </is>
      </c>
      <c r="E1246" t="n">
        <v>3920</v>
      </c>
      <c r="F1246" t="n">
        <v>99625.86</v>
      </c>
      <c r="G1246" t="n">
        <v>2</v>
      </c>
      <c r="H1246" t="inlineStr">
        <is>
          <t>Standard</t>
        </is>
      </c>
      <c r="I1246" t="inlineStr">
        <is>
          <t>AWD</t>
        </is>
      </c>
      <c r="J1246" t="inlineStr">
        <is>
          <t>Black</t>
        </is>
      </c>
      <c r="K1246" t="n">
        <v>485</v>
      </c>
      <c r="L1246" t="n">
        <v>67</v>
      </c>
      <c r="M1246" t="n">
        <v>22.49</v>
      </c>
      <c r="N1246" t="n">
        <v>7827.59</v>
      </c>
      <c r="O1246" t="n">
        <v>4.58</v>
      </c>
      <c r="P1246" t="n">
        <v>8</v>
      </c>
      <c r="Q1246" t="n">
        <v>2</v>
      </c>
      <c r="R1246" t="n">
        <v>2023.5</v>
      </c>
      <c r="S1246" t="b">
        <v>0</v>
      </c>
      <c r="T1246" t="n">
        <v>1075682</v>
      </c>
      <c r="U1246" t="n">
        <v>2</v>
      </c>
      <c r="V1246" t="n">
        <v>0.0372</v>
      </c>
      <c r="W1246" t="n">
        <v>1.06</v>
      </c>
      <c r="X1246" t="n">
        <v>76</v>
      </c>
      <c r="Y1246">
        <f>VLOOKUP(D1246,$AB$2:$AC$7,2,FALSE)</f>
        <v/>
      </c>
      <c r="Z1246">
        <f>IF(A1246&lt;Y1246,"Yes","No")</f>
        <v/>
      </c>
    </row>
    <row r="1247">
      <c r="A1247" t="n">
        <v>2012</v>
      </c>
      <c r="B1247" t="inlineStr">
        <is>
          <t>Q3</t>
        </is>
      </c>
      <c r="C1247" t="inlineStr">
        <is>
          <t>Australia</t>
        </is>
      </c>
      <c r="D1247" t="inlineStr">
        <is>
          <t>Semi</t>
        </is>
      </c>
      <c r="E1247" t="n">
        <v>1829</v>
      </c>
      <c r="F1247" t="n">
        <v>106714.27</v>
      </c>
      <c r="G1247" t="n">
        <v>34</v>
      </c>
      <c r="H1247" t="inlineStr">
        <is>
          <t>Standard</t>
        </is>
      </c>
      <c r="I1247" t="inlineStr">
        <is>
          <t>RWD</t>
        </is>
      </c>
      <c r="J1247" t="inlineStr">
        <is>
          <t>Blue</t>
        </is>
      </c>
      <c r="K1247" t="n">
        <v>360</v>
      </c>
      <c r="L1247" t="n">
        <v>84</v>
      </c>
      <c r="M1247" t="n">
        <v>17.09</v>
      </c>
      <c r="N1247" t="n">
        <v>1973.53</v>
      </c>
      <c r="O1247" t="n">
        <v>4.23</v>
      </c>
      <c r="P1247" t="n">
        <v>8</v>
      </c>
      <c r="Q1247" t="n">
        <v>2</v>
      </c>
      <c r="R1247" t="n">
        <v>2024.12</v>
      </c>
      <c r="S1247" t="b">
        <v>0</v>
      </c>
      <c r="T1247" t="n">
        <v>4104042</v>
      </c>
      <c r="U1247" t="n">
        <v>8</v>
      </c>
      <c r="V1247" t="n">
        <v>0.0849</v>
      </c>
      <c r="W1247" t="n">
        <v>0.71</v>
      </c>
      <c r="X1247" t="n">
        <v>61.54</v>
      </c>
      <c r="Y1247">
        <f>VLOOKUP(D1247,$AB$2:$AC$7,2,FALSE)</f>
        <v/>
      </c>
      <c r="Z1247">
        <f>IF(A1247&lt;Y1247,"Yes","No")</f>
        <v/>
      </c>
    </row>
    <row r="1248">
      <c r="A1248" t="n">
        <v>2021</v>
      </c>
      <c r="B1248" t="inlineStr">
        <is>
          <t>Q4</t>
        </is>
      </c>
      <c r="C1248" t="inlineStr">
        <is>
          <t>Australia</t>
        </is>
      </c>
      <c r="D1248" t="inlineStr">
        <is>
          <t>Model X</t>
        </is>
      </c>
      <c r="E1248" t="n">
        <v>3732</v>
      </c>
      <c r="F1248" t="n">
        <v>65774.87</v>
      </c>
      <c r="G1248" t="n">
        <v>43</v>
      </c>
      <c r="H1248" t="inlineStr">
        <is>
          <t>Performance</t>
        </is>
      </c>
      <c r="I1248" t="inlineStr">
        <is>
          <t>RWD</t>
        </is>
      </c>
      <c r="J1248" t="inlineStr">
        <is>
          <t>Blue</t>
        </is>
      </c>
      <c r="K1248" t="n">
        <v>524</v>
      </c>
      <c r="L1248" t="n">
        <v>59</v>
      </c>
      <c r="M1248" t="n">
        <v>14.8</v>
      </c>
      <c r="N1248" t="n">
        <v>6085.21</v>
      </c>
      <c r="O1248" t="n">
        <v>4.18</v>
      </c>
      <c r="P1248" t="n">
        <v>5</v>
      </c>
      <c r="Q1248" t="n">
        <v>3</v>
      </c>
      <c r="R1248" t="n">
        <v>2024.4</v>
      </c>
      <c r="S1248" t="b">
        <v>0</v>
      </c>
      <c r="T1248" t="n">
        <v>4352268</v>
      </c>
      <c r="U1248" t="n">
        <v>7</v>
      </c>
      <c r="V1248" t="n">
        <v>0.0342</v>
      </c>
      <c r="W1248" t="n">
        <v>2.48</v>
      </c>
      <c r="X1248" t="n">
        <v>60.74</v>
      </c>
      <c r="Y1248">
        <f>VLOOKUP(D1248,$AB$2:$AC$7,2,FALSE)</f>
        <v/>
      </c>
      <c r="Z1248">
        <f>IF(A1248&lt;Y1248,"Yes","No")</f>
        <v/>
      </c>
    </row>
    <row r="1249">
      <c r="A1249" t="n">
        <v>2015</v>
      </c>
      <c r="B1249" t="inlineStr">
        <is>
          <t>Q1</t>
        </is>
      </c>
      <c r="C1249" t="inlineStr">
        <is>
          <t>South America</t>
        </is>
      </c>
      <c r="D1249" t="inlineStr">
        <is>
          <t>Cybertruck</t>
        </is>
      </c>
      <c r="E1249" t="n">
        <v>2162</v>
      </c>
      <c r="F1249" t="n">
        <v>116314.25</v>
      </c>
      <c r="G1249" t="n">
        <v>24</v>
      </c>
      <c r="H1249" t="inlineStr">
        <is>
          <t>Performance</t>
        </is>
      </c>
      <c r="I1249" t="inlineStr">
        <is>
          <t>RWD</t>
        </is>
      </c>
      <c r="J1249" t="inlineStr">
        <is>
          <t>Green</t>
        </is>
      </c>
      <c r="K1249" t="n">
        <v>563</v>
      </c>
      <c r="L1249" t="n">
        <v>30</v>
      </c>
      <c r="M1249" t="n">
        <v>23.11</v>
      </c>
      <c r="N1249" t="n">
        <v>2719.61</v>
      </c>
      <c r="O1249" t="n">
        <v>4.39</v>
      </c>
      <c r="P1249" t="n">
        <v>5</v>
      </c>
      <c r="Q1249" t="n">
        <v>3</v>
      </c>
      <c r="R1249" t="n">
        <v>2020.4</v>
      </c>
      <c r="S1249" t="b">
        <v>1</v>
      </c>
      <c r="T1249" t="n">
        <v>3537375</v>
      </c>
      <c r="U1249" t="n">
        <v>10</v>
      </c>
      <c r="V1249" t="n">
        <v>0.0529</v>
      </c>
      <c r="W1249" t="n">
        <v>1.75</v>
      </c>
      <c r="X1249" t="n">
        <v>85.87</v>
      </c>
      <c r="Y1249">
        <f>VLOOKUP(D1249,$AB$2:$AC$7,2,FALSE)</f>
        <v/>
      </c>
      <c r="Z1249">
        <f>IF(A1249&lt;Y1249,"Yes","No")</f>
        <v/>
      </c>
    </row>
    <row r="1250">
      <c r="A1250" t="n">
        <v>2019</v>
      </c>
      <c r="B1250" t="inlineStr">
        <is>
          <t>Q4</t>
        </is>
      </c>
      <c r="C1250" t="inlineStr">
        <is>
          <t>Australia</t>
        </is>
      </c>
      <c r="D1250" t="inlineStr">
        <is>
          <t>Cybertruck</t>
        </is>
      </c>
      <c r="E1250" t="n">
        <v>3118</v>
      </c>
      <c r="F1250" t="n">
        <v>74812.92999999999</v>
      </c>
      <c r="G1250" t="n">
        <v>48</v>
      </c>
      <c r="H1250" t="inlineStr">
        <is>
          <t>Performance</t>
        </is>
      </c>
      <c r="I1250" t="inlineStr">
        <is>
          <t>AWD</t>
        </is>
      </c>
      <c r="J1250" t="inlineStr">
        <is>
          <t>Silver</t>
        </is>
      </c>
      <c r="K1250" t="n">
        <v>639</v>
      </c>
      <c r="L1250" t="n">
        <v>87</v>
      </c>
      <c r="M1250" t="n">
        <v>22.9</v>
      </c>
      <c r="N1250" t="n">
        <v>2458.95</v>
      </c>
      <c r="O1250" t="n">
        <v>3.83</v>
      </c>
      <c r="P1250" t="n">
        <v>8</v>
      </c>
      <c r="Q1250" t="n">
        <v>1</v>
      </c>
      <c r="R1250" t="n">
        <v>2023.2</v>
      </c>
      <c r="S1250" t="b">
        <v>1</v>
      </c>
      <c r="T1250" t="n">
        <v>562834</v>
      </c>
      <c r="U1250" t="n">
        <v>9</v>
      </c>
      <c r="V1250" t="n">
        <v>0.07829999999999999</v>
      </c>
      <c r="W1250" t="n">
        <v>2.48</v>
      </c>
      <c r="X1250" t="n">
        <v>63.7</v>
      </c>
      <c r="Y1250">
        <f>VLOOKUP(D1250,$AB$2:$AC$7,2,FALSE)</f>
        <v/>
      </c>
      <c r="Z1250">
        <f>IF(A1250&lt;Y1250,"Yes","No")</f>
        <v/>
      </c>
    </row>
    <row r="1251">
      <c r="A1251" t="n">
        <v>2020</v>
      </c>
      <c r="B1251" t="inlineStr">
        <is>
          <t>Q4</t>
        </is>
      </c>
      <c r="C1251" t="inlineStr">
        <is>
          <t>Europe</t>
        </is>
      </c>
      <c r="D1251" t="inlineStr">
        <is>
          <t>Model 3</t>
        </is>
      </c>
      <c r="E1251" t="n">
        <v>316</v>
      </c>
      <c r="F1251" t="n">
        <v>69583.66</v>
      </c>
      <c r="G1251" t="n">
        <v>57</v>
      </c>
      <c r="H1251" t="inlineStr">
        <is>
          <t>Performance</t>
        </is>
      </c>
      <c r="I1251" t="inlineStr">
        <is>
          <t>AWD</t>
        </is>
      </c>
      <c r="J1251" t="inlineStr">
        <is>
          <t>White</t>
        </is>
      </c>
      <c r="K1251" t="n">
        <v>453</v>
      </c>
      <c r="L1251" t="n">
        <v>40</v>
      </c>
      <c r="M1251" t="n">
        <v>15.78</v>
      </c>
      <c r="N1251" t="n">
        <v>590.55</v>
      </c>
      <c r="O1251" t="n">
        <v>4.66</v>
      </c>
      <c r="P1251" t="n">
        <v>4</v>
      </c>
      <c r="Q1251" t="n">
        <v>1</v>
      </c>
      <c r="R1251" t="n">
        <v>2021.1</v>
      </c>
      <c r="S1251" t="b">
        <v>1</v>
      </c>
      <c r="T1251" t="n">
        <v>2215868</v>
      </c>
      <c r="U1251" t="n">
        <v>6</v>
      </c>
      <c r="V1251" t="n">
        <v>0.0441</v>
      </c>
      <c r="W1251" t="n">
        <v>2.07</v>
      </c>
      <c r="X1251" t="n">
        <v>84.43000000000001</v>
      </c>
      <c r="Y1251">
        <f>VLOOKUP(D1251,$AB$2:$AC$7,2,FALSE)</f>
        <v/>
      </c>
      <c r="Z1251">
        <f>IF(A1251&lt;Y1251,"Yes","No")</f>
        <v/>
      </c>
    </row>
    <row r="1252">
      <c r="A1252" t="n">
        <v>2012</v>
      </c>
      <c r="B1252" t="inlineStr">
        <is>
          <t>Q4</t>
        </is>
      </c>
      <c r="C1252" t="inlineStr">
        <is>
          <t>South America</t>
        </is>
      </c>
      <c r="D1252" t="inlineStr">
        <is>
          <t>Model X</t>
        </is>
      </c>
      <c r="E1252" t="n">
        <v>1906</v>
      </c>
      <c r="F1252" t="n">
        <v>92804.33</v>
      </c>
      <c r="G1252" t="n">
        <v>0</v>
      </c>
      <c r="H1252" t="inlineStr">
        <is>
          <t>Long Range</t>
        </is>
      </c>
      <c r="I1252" t="inlineStr">
        <is>
          <t>RWD</t>
        </is>
      </c>
      <c r="J1252" t="inlineStr">
        <is>
          <t>Green</t>
        </is>
      </c>
      <c r="K1252" t="n">
        <v>416</v>
      </c>
      <c r="L1252" t="n">
        <v>42</v>
      </c>
      <c r="M1252" t="n">
        <v>17.09</v>
      </c>
      <c r="N1252" t="n">
        <v>3002.66</v>
      </c>
      <c r="O1252" t="n">
        <v>4.09</v>
      </c>
      <c r="P1252" t="n">
        <v>5</v>
      </c>
      <c r="Q1252" t="n">
        <v>2</v>
      </c>
      <c r="R1252" t="n">
        <v>2020.3</v>
      </c>
      <c r="S1252" t="b">
        <v>0</v>
      </c>
      <c r="T1252" t="n">
        <v>2133734</v>
      </c>
      <c r="U1252" t="n">
        <v>9</v>
      </c>
      <c r="V1252" t="n">
        <v>0.07439999999999999</v>
      </c>
      <c r="W1252" t="n">
        <v>0.6</v>
      </c>
      <c r="X1252" t="n">
        <v>83.56</v>
      </c>
      <c r="Y1252">
        <f>VLOOKUP(D1252,$AB$2:$AC$7,2,FALSE)</f>
        <v/>
      </c>
      <c r="Z1252">
        <f>IF(A1252&lt;Y1252,"Yes","No")</f>
        <v/>
      </c>
    </row>
    <row r="1253">
      <c r="A1253" t="n">
        <v>2016</v>
      </c>
      <c r="B1253" t="inlineStr">
        <is>
          <t>Q3</t>
        </is>
      </c>
      <c r="C1253" t="inlineStr">
        <is>
          <t>South America</t>
        </is>
      </c>
      <c r="D1253" t="inlineStr">
        <is>
          <t>Cybertruck</t>
        </is>
      </c>
      <c r="E1253" t="n">
        <v>2805</v>
      </c>
      <c r="F1253" t="n">
        <v>59417.81</v>
      </c>
      <c r="G1253" t="n">
        <v>30</v>
      </c>
      <c r="H1253" t="inlineStr">
        <is>
          <t>Long Range</t>
        </is>
      </c>
      <c r="I1253" t="inlineStr">
        <is>
          <t>AWD</t>
        </is>
      </c>
      <c r="J1253" t="inlineStr">
        <is>
          <t>Red</t>
        </is>
      </c>
      <c r="K1253" t="n">
        <v>409</v>
      </c>
      <c r="L1253" t="n">
        <v>67</v>
      </c>
      <c r="M1253" t="n">
        <v>20.58</v>
      </c>
      <c r="N1253" t="n">
        <v>5692.29</v>
      </c>
      <c r="O1253" t="n">
        <v>4.28</v>
      </c>
      <c r="P1253" t="n">
        <v>4</v>
      </c>
      <c r="Q1253" t="n">
        <v>2</v>
      </c>
      <c r="R1253" t="n">
        <v>2021.6</v>
      </c>
      <c r="S1253" t="b">
        <v>0</v>
      </c>
      <c r="T1253" t="n">
        <v>2709009</v>
      </c>
      <c r="U1253" t="n">
        <v>4</v>
      </c>
      <c r="V1253" t="n">
        <v>0.0576</v>
      </c>
      <c r="W1253" t="n">
        <v>0.51</v>
      </c>
      <c r="X1253" t="n">
        <v>67.43000000000001</v>
      </c>
      <c r="Y1253">
        <f>VLOOKUP(D1253,$AB$2:$AC$7,2,FALSE)</f>
        <v/>
      </c>
      <c r="Z1253">
        <f>IF(A1253&lt;Y1253,"Yes","No")</f>
        <v/>
      </c>
    </row>
    <row r="1254">
      <c r="A1254" t="n">
        <v>2019</v>
      </c>
      <c r="B1254" t="inlineStr">
        <is>
          <t>Q4</t>
        </is>
      </c>
      <c r="C1254" t="inlineStr">
        <is>
          <t>Asia</t>
        </is>
      </c>
      <c r="D1254" t="inlineStr">
        <is>
          <t>Model 3</t>
        </is>
      </c>
      <c r="E1254" t="n">
        <v>3041</v>
      </c>
      <c r="F1254" t="n">
        <v>63306.81</v>
      </c>
      <c r="G1254" t="n">
        <v>1</v>
      </c>
      <c r="H1254" t="inlineStr">
        <is>
          <t>Long Range</t>
        </is>
      </c>
      <c r="I1254" t="inlineStr">
        <is>
          <t>RWD</t>
        </is>
      </c>
      <c r="J1254" t="inlineStr">
        <is>
          <t>Silver</t>
        </is>
      </c>
      <c r="K1254" t="n">
        <v>621</v>
      </c>
      <c r="L1254" t="n">
        <v>70</v>
      </c>
      <c r="M1254" t="n">
        <v>24.53</v>
      </c>
      <c r="N1254" t="n">
        <v>4831.28</v>
      </c>
      <c r="O1254" t="n">
        <v>3.54</v>
      </c>
      <c r="P1254" t="n">
        <v>5</v>
      </c>
      <c r="Q1254" t="n">
        <v>0</v>
      </c>
      <c r="R1254" t="n">
        <v>2021.12</v>
      </c>
      <c r="S1254" t="b">
        <v>1</v>
      </c>
      <c r="T1254" t="n">
        <v>1515861</v>
      </c>
      <c r="U1254" t="n">
        <v>3</v>
      </c>
      <c r="V1254" t="n">
        <v>0.0324</v>
      </c>
      <c r="W1254" t="n">
        <v>0.65</v>
      </c>
      <c r="X1254" t="n">
        <v>74.42</v>
      </c>
      <c r="Y1254">
        <f>VLOOKUP(D1254,$AB$2:$AC$7,2,FALSE)</f>
        <v/>
      </c>
      <c r="Z1254">
        <f>IF(A1254&lt;Y1254,"Yes","No")</f>
        <v/>
      </c>
    </row>
    <row r="1255">
      <c r="A1255" t="n">
        <v>2013</v>
      </c>
      <c r="B1255" t="inlineStr">
        <is>
          <t>Q3</t>
        </is>
      </c>
      <c r="C1255" t="inlineStr">
        <is>
          <t>South America</t>
        </is>
      </c>
      <c r="D1255" t="inlineStr">
        <is>
          <t>Model Y</t>
        </is>
      </c>
      <c r="E1255" t="n">
        <v>3447</v>
      </c>
      <c r="F1255" t="n">
        <v>113412.81</v>
      </c>
      <c r="G1255" t="n">
        <v>60</v>
      </c>
      <c r="H1255" t="inlineStr">
        <is>
          <t>Performance</t>
        </is>
      </c>
      <c r="I1255" t="inlineStr">
        <is>
          <t>AWD</t>
        </is>
      </c>
      <c r="J1255" t="inlineStr">
        <is>
          <t>Silver</t>
        </is>
      </c>
      <c r="K1255" t="n">
        <v>591</v>
      </c>
      <c r="L1255" t="n">
        <v>66</v>
      </c>
      <c r="M1255" t="n">
        <v>19.29</v>
      </c>
      <c r="N1255" t="n">
        <v>5060.45</v>
      </c>
      <c r="O1255" t="n">
        <v>4.88</v>
      </c>
      <c r="P1255" t="n">
        <v>8</v>
      </c>
      <c r="Q1255" t="n">
        <v>1</v>
      </c>
      <c r="R1255" t="n">
        <v>2020.5</v>
      </c>
      <c r="S1255" t="b">
        <v>1</v>
      </c>
      <c r="T1255" t="n">
        <v>2698079</v>
      </c>
      <c r="U1255" t="n">
        <v>11</v>
      </c>
      <c r="V1255" t="n">
        <v>0.0426</v>
      </c>
      <c r="W1255" t="n">
        <v>1.32</v>
      </c>
      <c r="X1255" t="n">
        <v>77.29000000000001</v>
      </c>
      <c r="Y1255">
        <f>VLOOKUP(D1255,$AB$2:$AC$7,2,FALSE)</f>
        <v/>
      </c>
      <c r="Z1255">
        <f>IF(A1255&lt;Y1255,"Yes","No")</f>
        <v/>
      </c>
    </row>
    <row r="1256">
      <c r="A1256" t="n">
        <v>2013</v>
      </c>
      <c r="B1256" t="inlineStr">
        <is>
          <t>Q4</t>
        </is>
      </c>
      <c r="C1256" t="inlineStr">
        <is>
          <t>South America</t>
        </is>
      </c>
      <c r="D1256" t="inlineStr">
        <is>
          <t>Model Y</t>
        </is>
      </c>
      <c r="E1256" t="n">
        <v>2587</v>
      </c>
      <c r="F1256" t="n">
        <v>60535.45</v>
      </c>
      <c r="G1256" t="n">
        <v>27</v>
      </c>
      <c r="H1256" t="inlineStr">
        <is>
          <t>Standard</t>
        </is>
      </c>
      <c r="I1256" t="inlineStr">
        <is>
          <t>AWD</t>
        </is>
      </c>
      <c r="J1256" t="inlineStr">
        <is>
          <t>Black</t>
        </is>
      </c>
      <c r="K1256" t="n">
        <v>443</v>
      </c>
      <c r="L1256" t="n">
        <v>64</v>
      </c>
      <c r="M1256" t="n">
        <v>19.68</v>
      </c>
      <c r="N1256" t="n">
        <v>1327.8</v>
      </c>
      <c r="O1256" t="n">
        <v>3.51</v>
      </c>
      <c r="P1256" t="n">
        <v>6</v>
      </c>
      <c r="Q1256" t="n">
        <v>0</v>
      </c>
      <c r="R1256" t="n">
        <v>2020.3</v>
      </c>
      <c r="S1256" t="b">
        <v>0</v>
      </c>
      <c r="T1256" t="n">
        <v>2719086</v>
      </c>
      <c r="U1256" t="n">
        <v>7</v>
      </c>
      <c r="V1256" t="n">
        <v>0.0716</v>
      </c>
      <c r="W1256" t="n">
        <v>0.8</v>
      </c>
      <c r="X1256" t="n">
        <v>60.64</v>
      </c>
      <c r="Y1256">
        <f>VLOOKUP(D1256,$AB$2:$AC$7,2,FALSE)</f>
        <v/>
      </c>
      <c r="Z1256">
        <f>IF(A1256&lt;Y1256,"Yes","No")</f>
        <v/>
      </c>
    </row>
    <row r="1257">
      <c r="A1257" t="n">
        <v>2022</v>
      </c>
      <c r="B1257" t="inlineStr">
        <is>
          <t>Q2</t>
        </is>
      </c>
      <c r="C1257" t="inlineStr">
        <is>
          <t>North America</t>
        </is>
      </c>
      <c r="D1257" t="inlineStr">
        <is>
          <t>Model S</t>
        </is>
      </c>
      <c r="E1257" t="n">
        <v>4056</v>
      </c>
      <c r="F1257" t="n">
        <v>65672.45</v>
      </c>
      <c r="G1257" t="n">
        <v>23</v>
      </c>
      <c r="H1257" t="inlineStr">
        <is>
          <t>Long Range</t>
        </is>
      </c>
      <c r="I1257" t="inlineStr">
        <is>
          <t>AWD</t>
        </is>
      </c>
      <c r="J1257" t="inlineStr">
        <is>
          <t>Blue</t>
        </is>
      </c>
      <c r="K1257" t="n">
        <v>491</v>
      </c>
      <c r="L1257" t="n">
        <v>63</v>
      </c>
      <c r="M1257" t="n">
        <v>18.98</v>
      </c>
      <c r="N1257" t="n">
        <v>3143.31</v>
      </c>
      <c r="O1257" t="n">
        <v>4.8</v>
      </c>
      <c r="P1257" t="n">
        <v>4</v>
      </c>
      <c r="Q1257" t="n">
        <v>0</v>
      </c>
      <c r="R1257" t="n">
        <v>2022.7</v>
      </c>
      <c r="S1257" t="b">
        <v>0</v>
      </c>
      <c r="T1257" t="n">
        <v>1204008</v>
      </c>
      <c r="U1257" t="n">
        <v>9</v>
      </c>
      <c r="V1257" t="n">
        <v>0.0388</v>
      </c>
      <c r="W1257" t="n">
        <v>1.98</v>
      </c>
      <c r="X1257" t="n">
        <v>83.40000000000001</v>
      </c>
      <c r="Y1257">
        <f>VLOOKUP(D1257,$AB$2:$AC$7,2,FALSE)</f>
        <v/>
      </c>
      <c r="Z1257">
        <f>IF(A1257&lt;Y1257,"Yes","No")</f>
        <v/>
      </c>
    </row>
    <row r="1258">
      <c r="A1258" t="n">
        <v>2017</v>
      </c>
      <c r="B1258" t="inlineStr">
        <is>
          <t>Q2</t>
        </is>
      </c>
      <c r="C1258" t="inlineStr">
        <is>
          <t>Australia</t>
        </is>
      </c>
      <c r="D1258" t="inlineStr">
        <is>
          <t>Semi</t>
        </is>
      </c>
      <c r="E1258" t="n">
        <v>4728</v>
      </c>
      <c r="F1258" t="n">
        <v>73021.89999999999</v>
      </c>
      <c r="G1258" t="n">
        <v>17</v>
      </c>
      <c r="H1258" t="inlineStr">
        <is>
          <t>Standard</t>
        </is>
      </c>
      <c r="I1258" t="inlineStr">
        <is>
          <t>AWD</t>
        </is>
      </c>
      <c r="J1258" t="inlineStr">
        <is>
          <t>Black</t>
        </is>
      </c>
      <c r="K1258" t="n">
        <v>553</v>
      </c>
      <c r="L1258" t="n">
        <v>33</v>
      </c>
      <c r="M1258" t="n">
        <v>18.78</v>
      </c>
      <c r="N1258" t="n">
        <v>10955.23</v>
      </c>
      <c r="O1258" t="n">
        <v>4.01</v>
      </c>
      <c r="P1258" t="n">
        <v>5</v>
      </c>
      <c r="Q1258" t="n">
        <v>1</v>
      </c>
      <c r="R1258" t="n">
        <v>2020.1</v>
      </c>
      <c r="S1258" t="b">
        <v>0</v>
      </c>
      <c r="T1258" t="n">
        <v>4358800</v>
      </c>
      <c r="U1258" t="n">
        <v>9</v>
      </c>
      <c r="V1258" t="n">
        <v>0.0228</v>
      </c>
      <c r="W1258" t="n">
        <v>0.98</v>
      </c>
      <c r="X1258" t="n">
        <v>76.66</v>
      </c>
      <c r="Y1258">
        <f>VLOOKUP(D1258,$AB$2:$AC$7,2,FALSE)</f>
        <v/>
      </c>
      <c r="Z1258">
        <f>IF(A1258&lt;Y1258,"Yes","No")</f>
        <v/>
      </c>
    </row>
    <row r="1259">
      <c r="A1259" t="n">
        <v>2018</v>
      </c>
      <c r="B1259" t="inlineStr">
        <is>
          <t>Q1</t>
        </is>
      </c>
      <c r="C1259" t="inlineStr">
        <is>
          <t>Australia</t>
        </is>
      </c>
      <c r="D1259" t="inlineStr">
        <is>
          <t>Model S</t>
        </is>
      </c>
      <c r="E1259" t="n">
        <v>770</v>
      </c>
      <c r="F1259" t="n">
        <v>108476.43</v>
      </c>
      <c r="G1259" t="n">
        <v>21</v>
      </c>
      <c r="H1259" t="inlineStr">
        <is>
          <t>Long Range</t>
        </is>
      </c>
      <c r="I1259" t="inlineStr">
        <is>
          <t>AWD</t>
        </is>
      </c>
      <c r="J1259" t="inlineStr">
        <is>
          <t>Black</t>
        </is>
      </c>
      <c r="K1259" t="n">
        <v>418</v>
      </c>
      <c r="L1259" t="n">
        <v>55</v>
      </c>
      <c r="M1259" t="n">
        <v>18.83</v>
      </c>
      <c r="N1259" t="n">
        <v>797.55</v>
      </c>
      <c r="O1259" t="n">
        <v>4.5</v>
      </c>
      <c r="P1259" t="n">
        <v>6</v>
      </c>
      <c r="Q1259" t="n">
        <v>0</v>
      </c>
      <c r="R1259" t="n">
        <v>2024.11</v>
      </c>
      <c r="S1259" t="b">
        <v>0</v>
      </c>
      <c r="T1259" t="n">
        <v>158446</v>
      </c>
      <c r="U1259" t="n">
        <v>3</v>
      </c>
      <c r="V1259" t="n">
        <v>0.0428</v>
      </c>
      <c r="W1259" t="n">
        <v>1.94</v>
      </c>
      <c r="X1259" t="n">
        <v>76.95999999999999</v>
      </c>
      <c r="Y1259">
        <f>VLOOKUP(D1259,$AB$2:$AC$7,2,FALSE)</f>
        <v/>
      </c>
      <c r="Z1259">
        <f>IF(A1259&lt;Y1259,"Yes","No")</f>
        <v/>
      </c>
    </row>
    <row r="1260">
      <c r="A1260" t="n">
        <v>2019</v>
      </c>
      <c r="B1260" t="inlineStr">
        <is>
          <t>Q4</t>
        </is>
      </c>
      <c r="C1260" t="inlineStr">
        <is>
          <t>Europe</t>
        </is>
      </c>
      <c r="D1260" t="inlineStr">
        <is>
          <t>Model S</t>
        </is>
      </c>
      <c r="E1260" t="n">
        <v>1107</v>
      </c>
      <c r="F1260" t="n">
        <v>64783.79</v>
      </c>
      <c r="G1260" t="n">
        <v>36</v>
      </c>
      <c r="H1260" t="inlineStr">
        <is>
          <t>Standard</t>
        </is>
      </c>
      <c r="I1260" t="inlineStr">
        <is>
          <t>AWD</t>
        </is>
      </c>
      <c r="J1260" t="inlineStr">
        <is>
          <t>Red</t>
        </is>
      </c>
      <c r="K1260" t="n">
        <v>637</v>
      </c>
      <c r="L1260" t="n">
        <v>39</v>
      </c>
      <c r="M1260" t="n">
        <v>19.6</v>
      </c>
      <c r="N1260" t="n">
        <v>2149.51</v>
      </c>
      <c r="O1260" t="n">
        <v>3.69</v>
      </c>
      <c r="P1260" t="n">
        <v>5</v>
      </c>
      <c r="Q1260" t="n">
        <v>1</v>
      </c>
      <c r="R1260" t="n">
        <v>2024.8</v>
      </c>
      <c r="S1260" t="b">
        <v>1</v>
      </c>
      <c r="T1260" t="n">
        <v>2353620</v>
      </c>
      <c r="U1260" t="n">
        <v>11</v>
      </c>
      <c r="V1260" t="n">
        <v>0.0683</v>
      </c>
      <c r="W1260" t="n">
        <v>0.9</v>
      </c>
      <c r="X1260" t="n">
        <v>74.3</v>
      </c>
      <c r="Y1260">
        <f>VLOOKUP(D1260,$AB$2:$AC$7,2,FALSE)</f>
        <v/>
      </c>
      <c r="Z1260">
        <f>IF(A1260&lt;Y1260,"Yes","No")</f>
        <v/>
      </c>
    </row>
    <row r="1261">
      <c r="A1261" t="n">
        <v>2017</v>
      </c>
      <c r="B1261" t="inlineStr">
        <is>
          <t>Q2</t>
        </is>
      </c>
      <c r="C1261" t="inlineStr">
        <is>
          <t>South America</t>
        </is>
      </c>
      <c r="D1261" t="inlineStr">
        <is>
          <t>Model S</t>
        </is>
      </c>
      <c r="E1261" t="n">
        <v>2865</v>
      </c>
      <c r="F1261" t="n">
        <v>80519.73</v>
      </c>
      <c r="G1261" t="n">
        <v>60</v>
      </c>
      <c r="H1261" t="inlineStr">
        <is>
          <t>Performance</t>
        </is>
      </c>
      <c r="I1261" t="inlineStr">
        <is>
          <t>RWD</t>
        </is>
      </c>
      <c r="J1261" t="inlineStr">
        <is>
          <t>White</t>
        </is>
      </c>
      <c r="K1261" t="n">
        <v>413</v>
      </c>
      <c r="L1261" t="n">
        <v>34</v>
      </c>
      <c r="M1261" t="n">
        <v>18.15</v>
      </c>
      <c r="N1261" t="n">
        <v>2641.6</v>
      </c>
      <c r="O1261" t="n">
        <v>4.41</v>
      </c>
      <c r="P1261" t="n">
        <v>8</v>
      </c>
      <c r="Q1261" t="n">
        <v>0</v>
      </c>
      <c r="R1261" t="n">
        <v>2022.1</v>
      </c>
      <c r="S1261" t="b">
        <v>1</v>
      </c>
      <c r="T1261" t="n">
        <v>262716</v>
      </c>
      <c r="U1261" t="n">
        <v>9</v>
      </c>
      <c r="V1261" t="n">
        <v>0.0401</v>
      </c>
      <c r="W1261" t="n">
        <v>2.37</v>
      </c>
      <c r="X1261" t="n">
        <v>69.08</v>
      </c>
      <c r="Y1261">
        <f>VLOOKUP(D1261,$AB$2:$AC$7,2,FALSE)</f>
        <v/>
      </c>
      <c r="Z1261">
        <f>IF(A1261&lt;Y1261,"Yes","No")</f>
        <v/>
      </c>
    </row>
    <row r="1262">
      <c r="A1262" t="n">
        <v>2013</v>
      </c>
      <c r="B1262" t="inlineStr">
        <is>
          <t>Q3</t>
        </is>
      </c>
      <c r="C1262" t="inlineStr">
        <is>
          <t>Europe</t>
        </is>
      </c>
      <c r="D1262" t="inlineStr">
        <is>
          <t>Model X</t>
        </is>
      </c>
      <c r="E1262" t="n">
        <v>4648</v>
      </c>
      <c r="F1262" t="n">
        <v>103909.73</v>
      </c>
      <c r="G1262" t="n">
        <v>52</v>
      </c>
      <c r="H1262" t="inlineStr">
        <is>
          <t>Standard</t>
        </is>
      </c>
      <c r="I1262" t="inlineStr">
        <is>
          <t>RWD</t>
        </is>
      </c>
      <c r="J1262" t="inlineStr">
        <is>
          <t>Black</t>
        </is>
      </c>
      <c r="K1262" t="n">
        <v>547</v>
      </c>
      <c r="L1262" t="n">
        <v>38</v>
      </c>
      <c r="M1262" t="n">
        <v>17.15</v>
      </c>
      <c r="N1262" t="n">
        <v>3065.16</v>
      </c>
      <c r="O1262" t="n">
        <v>4.89</v>
      </c>
      <c r="P1262" t="n">
        <v>5</v>
      </c>
      <c r="Q1262" t="n">
        <v>0</v>
      </c>
      <c r="R1262" t="n">
        <v>2021.5</v>
      </c>
      <c r="S1262" t="b">
        <v>0</v>
      </c>
      <c r="T1262" t="n">
        <v>3870945</v>
      </c>
      <c r="U1262" t="n">
        <v>5</v>
      </c>
      <c r="V1262" t="n">
        <v>0.0784</v>
      </c>
      <c r="W1262" t="n">
        <v>1.79</v>
      </c>
      <c r="X1262" t="n">
        <v>81.25</v>
      </c>
      <c r="Y1262">
        <f>VLOOKUP(D1262,$AB$2:$AC$7,2,FALSE)</f>
        <v/>
      </c>
      <c r="Z1262">
        <f>IF(A1262&lt;Y1262,"Yes","No")</f>
        <v/>
      </c>
    </row>
    <row r="1263">
      <c r="A1263" t="n">
        <v>2019</v>
      </c>
      <c r="B1263" t="inlineStr">
        <is>
          <t>Q4</t>
        </is>
      </c>
      <c r="C1263" t="inlineStr">
        <is>
          <t>Europe</t>
        </is>
      </c>
      <c r="D1263" t="inlineStr">
        <is>
          <t>Model X</t>
        </is>
      </c>
      <c r="E1263" t="n">
        <v>2483</v>
      </c>
      <c r="F1263" t="n">
        <v>51257.89</v>
      </c>
      <c r="G1263" t="n">
        <v>19</v>
      </c>
      <c r="H1263" t="inlineStr">
        <is>
          <t>Standard</t>
        </is>
      </c>
      <c r="I1263" t="inlineStr">
        <is>
          <t>RWD</t>
        </is>
      </c>
      <c r="J1263" t="inlineStr">
        <is>
          <t>White</t>
        </is>
      </c>
      <c r="K1263" t="n">
        <v>668</v>
      </c>
      <c r="L1263" t="n">
        <v>87</v>
      </c>
      <c r="M1263" t="n">
        <v>18.55</v>
      </c>
      <c r="N1263" t="n">
        <v>3701.69</v>
      </c>
      <c r="O1263" t="n">
        <v>4.41</v>
      </c>
      <c r="P1263" t="n">
        <v>8</v>
      </c>
      <c r="Q1263" t="n">
        <v>2</v>
      </c>
      <c r="R1263" t="n">
        <v>2023.2</v>
      </c>
      <c r="S1263" t="b">
        <v>0</v>
      </c>
      <c r="T1263" t="n">
        <v>3506618</v>
      </c>
      <c r="U1263" t="n">
        <v>6</v>
      </c>
      <c r="V1263" t="n">
        <v>0.0301</v>
      </c>
      <c r="W1263" t="n">
        <v>1.54</v>
      </c>
      <c r="X1263" t="n">
        <v>80.29000000000001</v>
      </c>
      <c r="Y1263">
        <f>VLOOKUP(D1263,$AB$2:$AC$7,2,FALSE)</f>
        <v/>
      </c>
      <c r="Z1263">
        <f>IF(A1263&lt;Y1263,"Yes","No")</f>
        <v/>
      </c>
    </row>
    <row r="1264">
      <c r="A1264" t="n">
        <v>2012</v>
      </c>
      <c r="B1264" t="inlineStr">
        <is>
          <t>Q2</t>
        </is>
      </c>
      <c r="C1264" t="inlineStr">
        <is>
          <t>South America</t>
        </is>
      </c>
      <c r="D1264" t="inlineStr">
        <is>
          <t>Cybertruck</t>
        </is>
      </c>
      <c r="E1264" t="n">
        <v>434</v>
      </c>
      <c r="F1264" t="n">
        <v>99846.42999999999</v>
      </c>
      <c r="G1264" t="n">
        <v>14</v>
      </c>
      <c r="H1264" t="inlineStr">
        <is>
          <t>Long Range</t>
        </is>
      </c>
      <c r="I1264" t="inlineStr">
        <is>
          <t>AWD</t>
        </is>
      </c>
      <c r="J1264" t="inlineStr">
        <is>
          <t>Green</t>
        </is>
      </c>
      <c r="K1264" t="n">
        <v>501</v>
      </c>
      <c r="L1264" t="n">
        <v>38</v>
      </c>
      <c r="M1264" t="n">
        <v>16.52</v>
      </c>
      <c r="N1264" t="n">
        <v>721.47</v>
      </c>
      <c r="O1264" t="n">
        <v>4.13</v>
      </c>
      <c r="P1264" t="n">
        <v>4</v>
      </c>
      <c r="Q1264" t="n">
        <v>0</v>
      </c>
      <c r="R1264" t="n">
        <v>2020.1</v>
      </c>
      <c r="S1264" t="b">
        <v>0</v>
      </c>
      <c r="T1264" t="n">
        <v>179555</v>
      </c>
      <c r="U1264" t="n">
        <v>11</v>
      </c>
      <c r="V1264" t="n">
        <v>0.0159</v>
      </c>
      <c r="W1264" t="n">
        <v>1.9</v>
      </c>
      <c r="X1264" t="n">
        <v>74.48999999999999</v>
      </c>
      <c r="Y1264">
        <f>VLOOKUP(D1264,$AB$2:$AC$7,2,FALSE)</f>
        <v/>
      </c>
      <c r="Z1264">
        <f>IF(A1264&lt;Y1264,"Yes","No")</f>
        <v/>
      </c>
    </row>
    <row r="1265">
      <c r="A1265" t="n">
        <v>2019</v>
      </c>
      <c r="B1265" t="inlineStr">
        <is>
          <t>Q4</t>
        </is>
      </c>
      <c r="C1265" t="inlineStr">
        <is>
          <t>Europe</t>
        </is>
      </c>
      <c r="D1265" t="inlineStr">
        <is>
          <t>Model X</t>
        </is>
      </c>
      <c r="E1265" t="n">
        <v>1424</v>
      </c>
      <c r="F1265" t="n">
        <v>69468.99000000001</v>
      </c>
      <c r="G1265" t="n">
        <v>44</v>
      </c>
      <c r="H1265" t="inlineStr">
        <is>
          <t>Performance</t>
        </is>
      </c>
      <c r="I1265" t="inlineStr">
        <is>
          <t>AWD</t>
        </is>
      </c>
      <c r="J1265" t="inlineStr">
        <is>
          <t>Black</t>
        </is>
      </c>
      <c r="K1265" t="n">
        <v>537</v>
      </c>
      <c r="L1265" t="n">
        <v>46</v>
      </c>
      <c r="M1265" t="n">
        <v>20.13</v>
      </c>
      <c r="N1265" t="n">
        <v>3340.26</v>
      </c>
      <c r="O1265" t="n">
        <v>3.83</v>
      </c>
      <c r="P1265" t="n">
        <v>5</v>
      </c>
      <c r="Q1265" t="n">
        <v>0</v>
      </c>
      <c r="R1265" t="n">
        <v>2024.2</v>
      </c>
      <c r="S1265" t="b">
        <v>0</v>
      </c>
      <c r="T1265" t="n">
        <v>591970</v>
      </c>
      <c r="U1265" t="n">
        <v>3</v>
      </c>
      <c r="V1265" t="n">
        <v>0.0711</v>
      </c>
      <c r="W1265" t="n">
        <v>0.8</v>
      </c>
      <c r="X1265" t="n">
        <v>67.25</v>
      </c>
      <c r="Y1265">
        <f>VLOOKUP(D1265,$AB$2:$AC$7,2,FALSE)</f>
        <v/>
      </c>
      <c r="Z1265">
        <f>IF(A1265&lt;Y1265,"Yes","No")</f>
        <v/>
      </c>
    </row>
    <row r="1266">
      <c r="A1266" t="n">
        <v>2023</v>
      </c>
      <c r="B1266" t="inlineStr">
        <is>
          <t>Q1</t>
        </is>
      </c>
      <c r="C1266" t="inlineStr">
        <is>
          <t>Australia</t>
        </is>
      </c>
      <c r="D1266" t="inlineStr">
        <is>
          <t>Model 3</t>
        </is>
      </c>
      <c r="E1266" t="n">
        <v>1543</v>
      </c>
      <c r="F1266" t="n">
        <v>68660.17</v>
      </c>
      <c r="G1266" t="n">
        <v>58</v>
      </c>
      <c r="H1266" t="inlineStr">
        <is>
          <t>Standard</t>
        </is>
      </c>
      <c r="I1266" t="inlineStr">
        <is>
          <t>RWD</t>
        </is>
      </c>
      <c r="J1266" t="inlineStr">
        <is>
          <t>Blue</t>
        </is>
      </c>
      <c r="K1266" t="n">
        <v>518</v>
      </c>
      <c r="L1266" t="n">
        <v>56</v>
      </c>
      <c r="M1266" t="n">
        <v>19.86</v>
      </c>
      <c r="N1266" t="n">
        <v>3203.14</v>
      </c>
      <c r="O1266" t="n">
        <v>4.82</v>
      </c>
      <c r="P1266" t="n">
        <v>4</v>
      </c>
      <c r="Q1266" t="n">
        <v>2</v>
      </c>
      <c r="R1266" t="n">
        <v>2021.1</v>
      </c>
      <c r="S1266" t="b">
        <v>1</v>
      </c>
      <c r="T1266" t="n">
        <v>1923915</v>
      </c>
      <c r="U1266" t="n">
        <v>7</v>
      </c>
      <c r="V1266" t="n">
        <v>0.065</v>
      </c>
      <c r="W1266" t="n">
        <v>2.47</v>
      </c>
      <c r="X1266" t="n">
        <v>68.19</v>
      </c>
      <c r="Y1266">
        <f>VLOOKUP(D1266,$AB$2:$AC$7,2,FALSE)</f>
        <v/>
      </c>
      <c r="Z1266">
        <f>IF(A1266&lt;Y1266,"Yes","No")</f>
        <v/>
      </c>
    </row>
    <row r="1267">
      <c r="A1267" t="n">
        <v>2024</v>
      </c>
      <c r="B1267" t="inlineStr">
        <is>
          <t>Q3</t>
        </is>
      </c>
      <c r="C1267" t="inlineStr">
        <is>
          <t>Europe</t>
        </is>
      </c>
      <c r="D1267" t="inlineStr">
        <is>
          <t>Model 3</t>
        </is>
      </c>
      <c r="E1267" t="n">
        <v>4762</v>
      </c>
      <c r="F1267" t="n">
        <v>80789.84</v>
      </c>
      <c r="G1267" t="n">
        <v>15</v>
      </c>
      <c r="H1267" t="inlineStr">
        <is>
          <t>Performance</t>
        </is>
      </c>
      <c r="I1267" t="inlineStr">
        <is>
          <t>RWD</t>
        </is>
      </c>
      <c r="J1267" t="inlineStr">
        <is>
          <t>Silver</t>
        </is>
      </c>
      <c r="K1267" t="n">
        <v>563</v>
      </c>
      <c r="L1267" t="n">
        <v>73</v>
      </c>
      <c r="M1267" t="n">
        <v>17.99</v>
      </c>
      <c r="N1267" t="n">
        <v>8986.27</v>
      </c>
      <c r="O1267" t="n">
        <v>4.68</v>
      </c>
      <c r="P1267" t="n">
        <v>4</v>
      </c>
      <c r="Q1267" t="n">
        <v>2</v>
      </c>
      <c r="R1267" t="n">
        <v>2021.1</v>
      </c>
      <c r="S1267" t="b">
        <v>1</v>
      </c>
      <c r="T1267" t="n">
        <v>1516087</v>
      </c>
      <c r="U1267" t="n">
        <v>4</v>
      </c>
      <c r="V1267" t="n">
        <v>0.0488</v>
      </c>
      <c r="W1267" t="n">
        <v>2.33</v>
      </c>
      <c r="X1267" t="n">
        <v>82.25</v>
      </c>
      <c r="Y1267">
        <f>VLOOKUP(D1267,$AB$2:$AC$7,2,FALSE)</f>
        <v/>
      </c>
      <c r="Z1267">
        <f>IF(A1267&lt;Y1267,"Yes","No")</f>
        <v/>
      </c>
    </row>
    <row r="1268">
      <c r="A1268" t="n">
        <v>2019</v>
      </c>
      <c r="B1268" t="inlineStr">
        <is>
          <t>Q2</t>
        </is>
      </c>
      <c r="C1268" t="inlineStr">
        <is>
          <t>Australia</t>
        </is>
      </c>
      <c r="D1268" t="inlineStr">
        <is>
          <t>Model X</t>
        </is>
      </c>
      <c r="E1268" t="n">
        <v>136</v>
      </c>
      <c r="F1268" t="n">
        <v>38630.02</v>
      </c>
      <c r="G1268" t="n">
        <v>12</v>
      </c>
      <c r="H1268" t="inlineStr">
        <is>
          <t>Standard</t>
        </is>
      </c>
      <c r="I1268" t="inlineStr">
        <is>
          <t>AWD</t>
        </is>
      </c>
      <c r="J1268" t="inlineStr">
        <is>
          <t>Silver</t>
        </is>
      </c>
      <c r="K1268" t="n">
        <v>369</v>
      </c>
      <c r="L1268" t="n">
        <v>75</v>
      </c>
      <c r="M1268" t="n">
        <v>24.66</v>
      </c>
      <c r="N1268" t="n">
        <v>83.12</v>
      </c>
      <c r="O1268" t="n">
        <v>3.95</v>
      </c>
      <c r="P1268" t="n">
        <v>8</v>
      </c>
      <c r="Q1268" t="n">
        <v>3</v>
      </c>
      <c r="R1268" t="n">
        <v>2020.11</v>
      </c>
      <c r="S1268" t="b">
        <v>0</v>
      </c>
      <c r="T1268" t="n">
        <v>2625860</v>
      </c>
      <c r="U1268" t="n">
        <v>4</v>
      </c>
      <c r="V1268" t="n">
        <v>0.0506</v>
      </c>
      <c r="W1268" t="n">
        <v>1.48</v>
      </c>
      <c r="X1268" t="n">
        <v>85.26000000000001</v>
      </c>
      <c r="Y1268">
        <f>VLOOKUP(D1268,$AB$2:$AC$7,2,FALSE)</f>
        <v/>
      </c>
      <c r="Z1268">
        <f>IF(A1268&lt;Y1268,"Yes","No")</f>
        <v/>
      </c>
    </row>
    <row r="1269">
      <c r="A1269" t="n">
        <v>2023</v>
      </c>
      <c r="B1269" t="inlineStr">
        <is>
          <t>Q3</t>
        </is>
      </c>
      <c r="C1269" t="inlineStr">
        <is>
          <t>Asia</t>
        </is>
      </c>
      <c r="D1269" t="inlineStr">
        <is>
          <t>Model X</t>
        </is>
      </c>
      <c r="E1269" t="n">
        <v>480</v>
      </c>
      <c r="F1269" t="n">
        <v>95723.88</v>
      </c>
      <c r="G1269" t="n">
        <v>18</v>
      </c>
      <c r="H1269" t="inlineStr">
        <is>
          <t>Standard</t>
        </is>
      </c>
      <c r="I1269" t="inlineStr">
        <is>
          <t>AWD</t>
        </is>
      </c>
      <c r="J1269" t="inlineStr">
        <is>
          <t>Red</t>
        </is>
      </c>
      <c r="K1269" t="n">
        <v>555</v>
      </c>
      <c r="L1269" t="n">
        <v>69</v>
      </c>
      <c r="M1269" t="n">
        <v>18.91</v>
      </c>
      <c r="N1269" t="n">
        <v>377.86</v>
      </c>
      <c r="O1269" t="n">
        <v>4.56</v>
      </c>
      <c r="P1269" t="n">
        <v>4</v>
      </c>
      <c r="Q1269" t="n">
        <v>3</v>
      </c>
      <c r="R1269" t="n">
        <v>2023.6</v>
      </c>
      <c r="S1269" t="b">
        <v>0</v>
      </c>
      <c r="T1269" t="n">
        <v>4889092</v>
      </c>
      <c r="U1269" t="n">
        <v>5</v>
      </c>
      <c r="V1269" t="n">
        <v>0.066</v>
      </c>
      <c r="W1269" t="n">
        <v>1.11</v>
      </c>
      <c r="X1269" t="n">
        <v>66.94</v>
      </c>
      <c r="Y1269">
        <f>VLOOKUP(D1269,$AB$2:$AC$7,2,FALSE)</f>
        <v/>
      </c>
      <c r="Z1269">
        <f>IF(A1269&lt;Y1269,"Yes","No")</f>
        <v/>
      </c>
    </row>
    <row r="1270">
      <c r="A1270" t="n">
        <v>2021</v>
      </c>
      <c r="B1270" t="inlineStr">
        <is>
          <t>Q4</t>
        </is>
      </c>
      <c r="C1270" t="inlineStr">
        <is>
          <t>South America</t>
        </is>
      </c>
      <c r="D1270" t="inlineStr">
        <is>
          <t>Model S</t>
        </is>
      </c>
      <c r="E1270" t="n">
        <v>2320</v>
      </c>
      <c r="F1270" t="n">
        <v>62154.5</v>
      </c>
      <c r="G1270" t="n">
        <v>13</v>
      </c>
      <c r="H1270" t="inlineStr">
        <is>
          <t>Performance</t>
        </is>
      </c>
      <c r="I1270" t="inlineStr">
        <is>
          <t>AWD</t>
        </is>
      </c>
      <c r="J1270" t="inlineStr">
        <is>
          <t>Green</t>
        </is>
      </c>
      <c r="K1270" t="n">
        <v>527</v>
      </c>
      <c r="L1270" t="n">
        <v>41</v>
      </c>
      <c r="M1270" t="n">
        <v>19.16</v>
      </c>
      <c r="N1270" t="n">
        <v>3748.82</v>
      </c>
      <c r="O1270" t="n">
        <v>3.83</v>
      </c>
      <c r="P1270" t="n">
        <v>8</v>
      </c>
      <c r="Q1270" t="n">
        <v>1</v>
      </c>
      <c r="R1270" t="n">
        <v>2021.9</v>
      </c>
      <c r="S1270" t="b">
        <v>1</v>
      </c>
      <c r="T1270" t="n">
        <v>1956525</v>
      </c>
      <c r="U1270" t="n">
        <v>5</v>
      </c>
      <c r="V1270" t="n">
        <v>0.0118</v>
      </c>
      <c r="W1270" t="n">
        <v>1.46</v>
      </c>
      <c r="X1270" t="n">
        <v>68.31999999999999</v>
      </c>
      <c r="Y1270">
        <f>VLOOKUP(D1270,$AB$2:$AC$7,2,FALSE)</f>
        <v/>
      </c>
      <c r="Z1270">
        <f>IF(A1270&lt;Y1270,"Yes","No")</f>
        <v/>
      </c>
    </row>
    <row r="1271">
      <c r="A1271" t="n">
        <v>2015</v>
      </c>
      <c r="B1271" t="inlineStr">
        <is>
          <t>Q2</t>
        </is>
      </c>
      <c r="C1271" t="inlineStr">
        <is>
          <t>North America</t>
        </is>
      </c>
      <c r="D1271" t="inlineStr">
        <is>
          <t>Model 3</t>
        </is>
      </c>
      <c r="E1271" t="n">
        <v>1934</v>
      </c>
      <c r="F1271" t="n">
        <v>70963.55</v>
      </c>
      <c r="G1271" t="n">
        <v>6</v>
      </c>
      <c r="H1271" t="inlineStr">
        <is>
          <t>Standard</t>
        </is>
      </c>
      <c r="I1271" t="inlineStr">
        <is>
          <t>AWD</t>
        </is>
      </c>
      <c r="J1271" t="inlineStr">
        <is>
          <t>White</t>
        </is>
      </c>
      <c r="K1271" t="n">
        <v>593</v>
      </c>
      <c r="L1271" t="n">
        <v>89</v>
      </c>
      <c r="M1271" t="n">
        <v>16.04</v>
      </c>
      <c r="N1271" t="n">
        <v>3417.54</v>
      </c>
      <c r="O1271" t="n">
        <v>4.31</v>
      </c>
      <c r="P1271" t="n">
        <v>5</v>
      </c>
      <c r="Q1271" t="n">
        <v>3</v>
      </c>
      <c r="R1271" t="n">
        <v>2021.1</v>
      </c>
      <c r="S1271" t="b">
        <v>1</v>
      </c>
      <c r="T1271" t="n">
        <v>2030650</v>
      </c>
      <c r="U1271" t="n">
        <v>7</v>
      </c>
      <c r="V1271" t="n">
        <v>0.014</v>
      </c>
      <c r="W1271" t="n">
        <v>2.33</v>
      </c>
      <c r="X1271" t="n">
        <v>71.98999999999999</v>
      </c>
      <c r="Y1271">
        <f>VLOOKUP(D1271,$AB$2:$AC$7,2,FALSE)</f>
        <v/>
      </c>
      <c r="Z1271">
        <f>IF(A1271&lt;Y1271,"Yes","No")</f>
        <v/>
      </c>
    </row>
    <row r="1272">
      <c r="A1272" t="n">
        <v>2014</v>
      </c>
      <c r="B1272" t="inlineStr">
        <is>
          <t>Q2</t>
        </is>
      </c>
      <c r="C1272" t="inlineStr">
        <is>
          <t>Europe</t>
        </is>
      </c>
      <c r="D1272" t="inlineStr">
        <is>
          <t>Model X</t>
        </is>
      </c>
      <c r="E1272" t="n">
        <v>835</v>
      </c>
      <c r="F1272" t="n">
        <v>104602.55</v>
      </c>
      <c r="G1272" t="n">
        <v>31</v>
      </c>
      <c r="H1272" t="inlineStr">
        <is>
          <t>Performance</t>
        </is>
      </c>
      <c r="I1272" t="inlineStr">
        <is>
          <t>AWD</t>
        </is>
      </c>
      <c r="J1272" t="inlineStr">
        <is>
          <t>White</t>
        </is>
      </c>
      <c r="K1272" t="n">
        <v>532</v>
      </c>
      <c r="L1272" t="n">
        <v>50</v>
      </c>
      <c r="M1272" t="n">
        <v>19.41</v>
      </c>
      <c r="N1272" t="n">
        <v>1250.26</v>
      </c>
      <c r="O1272" t="n">
        <v>4.71</v>
      </c>
      <c r="P1272" t="n">
        <v>6</v>
      </c>
      <c r="Q1272" t="n">
        <v>0</v>
      </c>
      <c r="R1272" t="n">
        <v>2022.3</v>
      </c>
      <c r="S1272" t="b">
        <v>1</v>
      </c>
      <c r="T1272" t="n">
        <v>2609483</v>
      </c>
      <c r="U1272" t="n">
        <v>7</v>
      </c>
      <c r="V1272" t="n">
        <v>0.0454</v>
      </c>
      <c r="W1272" t="n">
        <v>0.64</v>
      </c>
      <c r="X1272" t="n">
        <v>77.81</v>
      </c>
      <c r="Y1272">
        <f>VLOOKUP(D1272,$AB$2:$AC$7,2,FALSE)</f>
        <v/>
      </c>
      <c r="Z1272">
        <f>IF(A1272&lt;Y1272,"Yes","No")</f>
        <v/>
      </c>
    </row>
    <row r="1273">
      <c r="A1273" t="n">
        <v>2014</v>
      </c>
      <c r="B1273" t="inlineStr">
        <is>
          <t>Q3</t>
        </is>
      </c>
      <c r="C1273" t="inlineStr">
        <is>
          <t>Asia</t>
        </is>
      </c>
      <c r="D1273" t="inlineStr">
        <is>
          <t>Model S</t>
        </is>
      </c>
      <c r="E1273" t="n">
        <v>1128</v>
      </c>
      <c r="F1273" t="n">
        <v>62263.06</v>
      </c>
      <c r="G1273" t="n">
        <v>32</v>
      </c>
      <c r="H1273" t="inlineStr">
        <is>
          <t>Standard</t>
        </is>
      </c>
      <c r="I1273" t="inlineStr">
        <is>
          <t>RWD</t>
        </is>
      </c>
      <c r="J1273" t="inlineStr">
        <is>
          <t>Silver</t>
        </is>
      </c>
      <c r="K1273" t="n">
        <v>388</v>
      </c>
      <c r="L1273" t="n">
        <v>67</v>
      </c>
      <c r="M1273" t="n">
        <v>14.09</v>
      </c>
      <c r="N1273" t="n">
        <v>1126.8</v>
      </c>
      <c r="O1273" t="n">
        <v>4.97</v>
      </c>
      <c r="P1273" t="n">
        <v>6</v>
      </c>
      <c r="Q1273" t="n">
        <v>0</v>
      </c>
      <c r="R1273" t="n">
        <v>2022.12</v>
      </c>
      <c r="S1273" t="b">
        <v>1</v>
      </c>
      <c r="T1273" t="n">
        <v>2700974</v>
      </c>
      <c r="U1273" t="n">
        <v>11</v>
      </c>
      <c r="V1273" t="n">
        <v>0.0965</v>
      </c>
      <c r="W1273" t="n">
        <v>2.36</v>
      </c>
      <c r="X1273" t="n">
        <v>89.22</v>
      </c>
      <c r="Y1273">
        <f>VLOOKUP(D1273,$AB$2:$AC$7,2,FALSE)</f>
        <v/>
      </c>
      <c r="Z1273">
        <f>IF(A1273&lt;Y1273,"Yes","No")</f>
        <v/>
      </c>
    </row>
    <row r="1274">
      <c r="A1274" t="n">
        <v>2021</v>
      </c>
      <c r="B1274" t="inlineStr">
        <is>
          <t>Q4</t>
        </is>
      </c>
      <c r="C1274" t="inlineStr">
        <is>
          <t>North America</t>
        </is>
      </c>
      <c r="D1274" t="inlineStr">
        <is>
          <t>Model X</t>
        </is>
      </c>
      <c r="E1274" t="n">
        <v>4123</v>
      </c>
      <c r="F1274" t="n">
        <v>107957.33</v>
      </c>
      <c r="G1274" t="n">
        <v>20</v>
      </c>
      <c r="H1274" t="inlineStr">
        <is>
          <t>Long Range</t>
        </is>
      </c>
      <c r="I1274" t="inlineStr">
        <is>
          <t>RWD</t>
        </is>
      </c>
      <c r="J1274" t="inlineStr">
        <is>
          <t>Red</t>
        </is>
      </c>
      <c r="K1274" t="n">
        <v>550</v>
      </c>
      <c r="L1274" t="n">
        <v>57</v>
      </c>
      <c r="M1274" t="n">
        <v>22.57</v>
      </c>
      <c r="N1274" t="n">
        <v>3493.65</v>
      </c>
      <c r="O1274" t="n">
        <v>4.27</v>
      </c>
      <c r="P1274" t="n">
        <v>5</v>
      </c>
      <c r="Q1274" t="n">
        <v>2</v>
      </c>
      <c r="R1274" t="n">
        <v>2023.4</v>
      </c>
      <c r="S1274" t="b">
        <v>1</v>
      </c>
      <c r="T1274" t="n">
        <v>3711994</v>
      </c>
      <c r="U1274" t="n">
        <v>3</v>
      </c>
      <c r="V1274" t="n">
        <v>0.077</v>
      </c>
      <c r="W1274" t="n">
        <v>0.77</v>
      </c>
      <c r="X1274" t="n">
        <v>85.56</v>
      </c>
      <c r="Y1274">
        <f>VLOOKUP(D1274,$AB$2:$AC$7,2,FALSE)</f>
        <v/>
      </c>
      <c r="Z1274">
        <f>IF(A1274&lt;Y1274,"Yes","No")</f>
        <v/>
      </c>
    </row>
    <row r="1275">
      <c r="A1275" t="n">
        <v>2022</v>
      </c>
      <c r="B1275" t="inlineStr">
        <is>
          <t>Q3</t>
        </is>
      </c>
      <c r="C1275" t="inlineStr">
        <is>
          <t>Australia</t>
        </is>
      </c>
      <c r="D1275" t="inlineStr">
        <is>
          <t>Model 3</t>
        </is>
      </c>
      <c r="E1275" t="n">
        <v>2638</v>
      </c>
      <c r="F1275" t="n">
        <v>46170.98</v>
      </c>
      <c r="G1275" t="n">
        <v>55</v>
      </c>
      <c r="H1275" t="inlineStr">
        <is>
          <t>Standard</t>
        </is>
      </c>
      <c r="I1275" t="inlineStr">
        <is>
          <t>RWD</t>
        </is>
      </c>
      <c r="J1275" t="inlineStr">
        <is>
          <t>Blue</t>
        </is>
      </c>
      <c r="K1275" t="n">
        <v>387</v>
      </c>
      <c r="L1275" t="n">
        <v>50</v>
      </c>
      <c r="M1275" t="n">
        <v>13.5</v>
      </c>
      <c r="N1275" t="n">
        <v>2130.67</v>
      </c>
      <c r="O1275" t="n">
        <v>3.97</v>
      </c>
      <c r="P1275" t="n">
        <v>8</v>
      </c>
      <c r="Q1275" t="n">
        <v>2</v>
      </c>
      <c r="R1275" t="n">
        <v>2023.1</v>
      </c>
      <c r="S1275" t="b">
        <v>0</v>
      </c>
      <c r="T1275" t="n">
        <v>3963617</v>
      </c>
      <c r="U1275" t="n">
        <v>3</v>
      </c>
      <c r="V1275" t="n">
        <v>0.0375</v>
      </c>
      <c r="W1275" t="n">
        <v>1.87</v>
      </c>
      <c r="X1275" t="n">
        <v>80.78</v>
      </c>
      <c r="Y1275">
        <f>VLOOKUP(D1275,$AB$2:$AC$7,2,FALSE)</f>
        <v/>
      </c>
      <c r="Z1275">
        <f>IF(A1275&lt;Y1275,"Yes","No")</f>
        <v/>
      </c>
    </row>
    <row r="1276">
      <c r="A1276" t="n">
        <v>2018</v>
      </c>
      <c r="B1276" t="inlineStr">
        <is>
          <t>Q1</t>
        </is>
      </c>
      <c r="C1276" t="inlineStr">
        <is>
          <t>South America</t>
        </is>
      </c>
      <c r="D1276" t="inlineStr">
        <is>
          <t>Model S</t>
        </is>
      </c>
      <c r="E1276" t="n">
        <v>4906</v>
      </c>
      <c r="F1276" t="n">
        <v>38225.07</v>
      </c>
      <c r="G1276" t="n">
        <v>2</v>
      </c>
      <c r="H1276" t="inlineStr">
        <is>
          <t>Standard</t>
        </is>
      </c>
      <c r="I1276" t="inlineStr">
        <is>
          <t>RWD</t>
        </is>
      </c>
      <c r="J1276" t="inlineStr">
        <is>
          <t>Blue</t>
        </is>
      </c>
      <c r="K1276" t="n">
        <v>399</v>
      </c>
      <c r="L1276" t="n">
        <v>84</v>
      </c>
      <c r="M1276" t="n">
        <v>13.6</v>
      </c>
      <c r="N1276" t="n">
        <v>4577.78</v>
      </c>
      <c r="O1276" t="n">
        <v>3.72</v>
      </c>
      <c r="P1276" t="n">
        <v>4</v>
      </c>
      <c r="Q1276" t="n">
        <v>1</v>
      </c>
      <c r="R1276" t="n">
        <v>2020.5</v>
      </c>
      <c r="S1276" t="b">
        <v>0</v>
      </c>
      <c r="T1276" t="n">
        <v>1061168</v>
      </c>
      <c r="U1276" t="n">
        <v>8</v>
      </c>
      <c r="V1276" t="n">
        <v>0.0944</v>
      </c>
      <c r="W1276" t="n">
        <v>1.61</v>
      </c>
      <c r="X1276" t="n">
        <v>63.42</v>
      </c>
      <c r="Y1276">
        <f>VLOOKUP(D1276,$AB$2:$AC$7,2,FALSE)</f>
        <v/>
      </c>
      <c r="Z1276">
        <f>IF(A1276&lt;Y1276,"Yes","No")</f>
        <v/>
      </c>
    </row>
    <row r="1277">
      <c r="A1277" t="n">
        <v>2020</v>
      </c>
      <c r="B1277" t="inlineStr">
        <is>
          <t>Q4</t>
        </is>
      </c>
      <c r="C1277" t="inlineStr">
        <is>
          <t>South America</t>
        </is>
      </c>
      <c r="D1277" t="inlineStr">
        <is>
          <t>Semi</t>
        </is>
      </c>
      <c r="E1277" t="n">
        <v>2936</v>
      </c>
      <c r="F1277" t="n">
        <v>42530.57</v>
      </c>
      <c r="G1277" t="n">
        <v>52</v>
      </c>
      <c r="H1277" t="inlineStr">
        <is>
          <t>Performance</t>
        </is>
      </c>
      <c r="I1277" t="inlineStr">
        <is>
          <t>RWD</t>
        </is>
      </c>
      <c r="J1277" t="inlineStr">
        <is>
          <t>Blue</t>
        </is>
      </c>
      <c r="K1277" t="n">
        <v>655</v>
      </c>
      <c r="L1277" t="n">
        <v>32</v>
      </c>
      <c r="M1277" t="n">
        <v>24.92</v>
      </c>
      <c r="N1277" t="n">
        <v>5153.92</v>
      </c>
      <c r="O1277" t="n">
        <v>4.49</v>
      </c>
      <c r="P1277" t="n">
        <v>8</v>
      </c>
      <c r="Q1277" t="n">
        <v>2</v>
      </c>
      <c r="R1277" t="n">
        <v>2023.9</v>
      </c>
      <c r="S1277" t="b">
        <v>1</v>
      </c>
      <c r="T1277" t="n">
        <v>3289294</v>
      </c>
      <c r="U1277" t="n">
        <v>9</v>
      </c>
      <c r="V1277" t="n">
        <v>0.0258</v>
      </c>
      <c r="W1277" t="n">
        <v>0.57</v>
      </c>
      <c r="X1277" t="n">
        <v>74.38</v>
      </c>
      <c r="Y1277">
        <f>VLOOKUP(D1277,$AB$2:$AC$7,2,FALSE)</f>
        <v/>
      </c>
      <c r="Z1277">
        <f>IF(A1277&lt;Y1277,"Yes","No")</f>
        <v/>
      </c>
    </row>
    <row r="1278">
      <c r="A1278" t="n">
        <v>2014</v>
      </c>
      <c r="B1278" t="inlineStr">
        <is>
          <t>Q4</t>
        </is>
      </c>
      <c r="C1278" t="inlineStr">
        <is>
          <t>Europe</t>
        </is>
      </c>
      <c r="D1278" t="inlineStr">
        <is>
          <t>Model S</t>
        </is>
      </c>
      <c r="E1278" t="n">
        <v>4588</v>
      </c>
      <c r="F1278" t="n">
        <v>44542.09</v>
      </c>
      <c r="G1278" t="n">
        <v>42</v>
      </c>
      <c r="H1278" t="inlineStr">
        <is>
          <t>Long Range</t>
        </is>
      </c>
      <c r="I1278" t="inlineStr">
        <is>
          <t>RWD</t>
        </is>
      </c>
      <c r="J1278" t="inlineStr">
        <is>
          <t>Black</t>
        </is>
      </c>
      <c r="K1278" t="n">
        <v>673</v>
      </c>
      <c r="L1278" t="n">
        <v>42</v>
      </c>
      <c r="M1278" t="n">
        <v>18.5</v>
      </c>
      <c r="N1278" t="n">
        <v>5521.24</v>
      </c>
      <c r="O1278" t="n">
        <v>3.92</v>
      </c>
      <c r="P1278" t="n">
        <v>8</v>
      </c>
      <c r="Q1278" t="n">
        <v>1</v>
      </c>
      <c r="R1278" t="n">
        <v>2020.9</v>
      </c>
      <c r="S1278" t="b">
        <v>1</v>
      </c>
      <c r="T1278" t="n">
        <v>517055</v>
      </c>
      <c r="U1278" t="n">
        <v>8</v>
      </c>
      <c r="V1278" t="n">
        <v>0.0643</v>
      </c>
      <c r="W1278" t="n">
        <v>2.4</v>
      </c>
      <c r="X1278" t="n">
        <v>75.61</v>
      </c>
      <c r="Y1278">
        <f>VLOOKUP(D1278,$AB$2:$AC$7,2,FALSE)</f>
        <v/>
      </c>
      <c r="Z1278">
        <f>IF(A1278&lt;Y1278,"Yes","No")</f>
        <v/>
      </c>
    </row>
    <row r="1279">
      <c r="A1279" t="n">
        <v>2021</v>
      </c>
      <c r="B1279" t="inlineStr">
        <is>
          <t>Q3</t>
        </is>
      </c>
      <c r="C1279" t="inlineStr">
        <is>
          <t>North America</t>
        </is>
      </c>
      <c r="D1279" t="inlineStr">
        <is>
          <t>Semi</t>
        </is>
      </c>
      <c r="E1279" t="n">
        <v>2141</v>
      </c>
      <c r="F1279" t="n">
        <v>64467.75</v>
      </c>
      <c r="G1279" t="n">
        <v>18</v>
      </c>
      <c r="H1279" t="inlineStr">
        <is>
          <t>Performance</t>
        </is>
      </c>
      <c r="I1279" t="inlineStr">
        <is>
          <t>AWD</t>
        </is>
      </c>
      <c r="J1279" t="inlineStr">
        <is>
          <t>Blue</t>
        </is>
      </c>
      <c r="K1279" t="n">
        <v>586</v>
      </c>
      <c r="L1279" t="n">
        <v>87</v>
      </c>
      <c r="M1279" t="n">
        <v>13.95</v>
      </c>
      <c r="N1279" t="n">
        <v>2729.9</v>
      </c>
      <c r="O1279" t="n">
        <v>3.9</v>
      </c>
      <c r="P1279" t="n">
        <v>4</v>
      </c>
      <c r="Q1279" t="n">
        <v>3</v>
      </c>
      <c r="R1279" t="n">
        <v>2023.9</v>
      </c>
      <c r="S1279" t="b">
        <v>0</v>
      </c>
      <c r="T1279" t="n">
        <v>3870179</v>
      </c>
      <c r="U1279" t="n">
        <v>7</v>
      </c>
      <c r="V1279" t="n">
        <v>0.0162</v>
      </c>
      <c r="W1279" t="n">
        <v>1.62</v>
      </c>
      <c r="X1279" t="n">
        <v>82.89</v>
      </c>
      <c r="Y1279">
        <f>VLOOKUP(D1279,$AB$2:$AC$7,2,FALSE)</f>
        <v/>
      </c>
      <c r="Z1279">
        <f>IF(A1279&lt;Y1279,"Yes","No")</f>
        <v/>
      </c>
    </row>
    <row r="1280">
      <c r="A1280" t="n">
        <v>2013</v>
      </c>
      <c r="B1280" t="inlineStr">
        <is>
          <t>Q1</t>
        </is>
      </c>
      <c r="C1280" t="inlineStr">
        <is>
          <t>Australia</t>
        </is>
      </c>
      <c r="D1280" t="inlineStr">
        <is>
          <t>Model X</t>
        </is>
      </c>
      <c r="E1280" t="n">
        <v>2952</v>
      </c>
      <c r="F1280" t="n">
        <v>71644.12</v>
      </c>
      <c r="G1280" t="n">
        <v>22</v>
      </c>
      <c r="H1280" t="inlineStr">
        <is>
          <t>Performance</t>
        </is>
      </c>
      <c r="I1280" t="inlineStr">
        <is>
          <t>RWD</t>
        </is>
      </c>
      <c r="J1280" t="inlineStr">
        <is>
          <t>Blue</t>
        </is>
      </c>
      <c r="K1280" t="n">
        <v>456</v>
      </c>
      <c r="L1280" t="n">
        <v>49</v>
      </c>
      <c r="M1280" t="n">
        <v>15.99</v>
      </c>
      <c r="N1280" t="n">
        <v>5906.92</v>
      </c>
      <c r="O1280" t="n">
        <v>4.26</v>
      </c>
      <c r="P1280" t="n">
        <v>8</v>
      </c>
      <c r="Q1280" t="n">
        <v>1</v>
      </c>
      <c r="R1280" t="n">
        <v>2024.3</v>
      </c>
      <c r="S1280" t="b">
        <v>1</v>
      </c>
      <c r="T1280" t="n">
        <v>371559</v>
      </c>
      <c r="U1280" t="n">
        <v>4</v>
      </c>
      <c r="V1280" t="n">
        <v>0.0415</v>
      </c>
      <c r="W1280" t="n">
        <v>2.17</v>
      </c>
      <c r="X1280" t="n">
        <v>70.38</v>
      </c>
      <c r="Y1280">
        <f>VLOOKUP(D1280,$AB$2:$AC$7,2,FALSE)</f>
        <v/>
      </c>
      <c r="Z1280">
        <f>IF(A1280&lt;Y1280,"Yes","No")</f>
        <v/>
      </c>
    </row>
    <row r="1281">
      <c r="A1281" t="n">
        <v>2017</v>
      </c>
      <c r="B1281" t="inlineStr">
        <is>
          <t>Q2</t>
        </is>
      </c>
      <c r="C1281" t="inlineStr">
        <is>
          <t>Europe</t>
        </is>
      </c>
      <c r="D1281" t="inlineStr">
        <is>
          <t>Model Y</t>
        </is>
      </c>
      <c r="E1281" t="n">
        <v>3956</v>
      </c>
      <c r="F1281" t="n">
        <v>75979.42999999999</v>
      </c>
      <c r="G1281" t="n">
        <v>15</v>
      </c>
      <c r="H1281" t="inlineStr">
        <is>
          <t>Standard</t>
        </is>
      </c>
      <c r="I1281" t="inlineStr">
        <is>
          <t>AWD</t>
        </is>
      </c>
      <c r="J1281" t="inlineStr">
        <is>
          <t>Red</t>
        </is>
      </c>
      <c r="K1281" t="n">
        <v>543</v>
      </c>
      <c r="L1281" t="n">
        <v>61</v>
      </c>
      <c r="M1281" t="n">
        <v>21.25</v>
      </c>
      <c r="N1281" t="n">
        <v>5783.92</v>
      </c>
      <c r="O1281" t="n">
        <v>4.39</v>
      </c>
      <c r="P1281" t="n">
        <v>5</v>
      </c>
      <c r="Q1281" t="n">
        <v>3</v>
      </c>
      <c r="R1281" t="n">
        <v>2020.6</v>
      </c>
      <c r="S1281" t="b">
        <v>0</v>
      </c>
      <c r="T1281" t="n">
        <v>4692812</v>
      </c>
      <c r="U1281" t="n">
        <v>9</v>
      </c>
      <c r="V1281" t="n">
        <v>0.0706</v>
      </c>
      <c r="W1281" t="n">
        <v>0.53</v>
      </c>
      <c r="X1281" t="n">
        <v>63.1</v>
      </c>
      <c r="Y1281">
        <f>VLOOKUP(D1281,$AB$2:$AC$7,2,FALSE)</f>
        <v/>
      </c>
      <c r="Z1281">
        <f>IF(A1281&lt;Y1281,"Yes","No")</f>
        <v/>
      </c>
    </row>
    <row r="1282">
      <c r="A1282" t="n">
        <v>2016</v>
      </c>
      <c r="B1282" t="inlineStr">
        <is>
          <t>Q1</t>
        </is>
      </c>
      <c r="C1282" t="inlineStr">
        <is>
          <t>Europe</t>
        </is>
      </c>
      <c r="D1282" t="inlineStr">
        <is>
          <t>Model X</t>
        </is>
      </c>
      <c r="E1282" t="n">
        <v>2426</v>
      </c>
      <c r="F1282" t="n">
        <v>63646.3</v>
      </c>
      <c r="G1282" t="n">
        <v>1</v>
      </c>
      <c r="H1282" t="inlineStr">
        <is>
          <t>Performance</t>
        </is>
      </c>
      <c r="I1282" t="inlineStr">
        <is>
          <t>AWD</t>
        </is>
      </c>
      <c r="J1282" t="inlineStr">
        <is>
          <t>White</t>
        </is>
      </c>
      <c r="K1282" t="n">
        <v>501</v>
      </c>
      <c r="L1282" t="n">
        <v>67</v>
      </c>
      <c r="M1282" t="n">
        <v>24.91</v>
      </c>
      <c r="N1282" t="n">
        <v>3674.33</v>
      </c>
      <c r="O1282" t="n">
        <v>4.62</v>
      </c>
      <c r="P1282" t="n">
        <v>4</v>
      </c>
      <c r="Q1282" t="n">
        <v>1</v>
      </c>
      <c r="R1282" t="n">
        <v>2024.8</v>
      </c>
      <c r="S1282" t="b">
        <v>0</v>
      </c>
      <c r="T1282" t="n">
        <v>3944059</v>
      </c>
      <c r="U1282" t="n">
        <v>5</v>
      </c>
      <c r="V1282" t="n">
        <v>0.0568</v>
      </c>
      <c r="W1282" t="n">
        <v>1.46</v>
      </c>
      <c r="X1282" t="n">
        <v>69.3</v>
      </c>
      <c r="Y1282">
        <f>VLOOKUP(D1282,$AB$2:$AC$7,2,FALSE)</f>
        <v/>
      </c>
      <c r="Z1282">
        <f>IF(A1282&lt;Y1282,"Yes","No")</f>
        <v/>
      </c>
    </row>
    <row r="1283">
      <c r="A1283" t="n">
        <v>2013</v>
      </c>
      <c r="B1283" t="inlineStr">
        <is>
          <t>Q4</t>
        </is>
      </c>
      <c r="C1283" t="inlineStr">
        <is>
          <t>Europe</t>
        </is>
      </c>
      <c r="D1283" t="inlineStr">
        <is>
          <t>Model S</t>
        </is>
      </c>
      <c r="E1283" t="n">
        <v>1706</v>
      </c>
      <c r="F1283" t="n">
        <v>102858.39</v>
      </c>
      <c r="G1283" t="n">
        <v>49</v>
      </c>
      <c r="H1283" t="inlineStr">
        <is>
          <t>Long Range</t>
        </is>
      </c>
      <c r="I1283" t="inlineStr">
        <is>
          <t>AWD</t>
        </is>
      </c>
      <c r="J1283" t="inlineStr">
        <is>
          <t>Silver</t>
        </is>
      </c>
      <c r="K1283" t="n">
        <v>462</v>
      </c>
      <c r="L1283" t="n">
        <v>79</v>
      </c>
      <c r="M1283" t="n">
        <v>21.06</v>
      </c>
      <c r="N1283" t="n">
        <v>946.8200000000001</v>
      </c>
      <c r="O1283" t="n">
        <v>4.37</v>
      </c>
      <c r="P1283" t="n">
        <v>6</v>
      </c>
      <c r="Q1283" t="n">
        <v>1</v>
      </c>
      <c r="R1283" t="n">
        <v>2022.3</v>
      </c>
      <c r="S1283" t="b">
        <v>0</v>
      </c>
      <c r="T1283" t="n">
        <v>1996038</v>
      </c>
      <c r="U1283" t="n">
        <v>2</v>
      </c>
      <c r="V1283" t="n">
        <v>0.0543</v>
      </c>
      <c r="W1283" t="n">
        <v>2.45</v>
      </c>
      <c r="X1283" t="n">
        <v>68.34</v>
      </c>
      <c r="Y1283">
        <f>VLOOKUP(D1283,$AB$2:$AC$7,2,FALSE)</f>
        <v/>
      </c>
      <c r="Z1283">
        <f>IF(A1283&lt;Y1283,"Yes","No")</f>
        <v/>
      </c>
    </row>
    <row r="1284">
      <c r="A1284" t="n">
        <v>2019</v>
      </c>
      <c r="B1284" t="inlineStr">
        <is>
          <t>Q4</t>
        </is>
      </c>
      <c r="C1284" t="inlineStr">
        <is>
          <t>Asia</t>
        </is>
      </c>
      <c r="D1284" t="inlineStr">
        <is>
          <t>Model X</t>
        </is>
      </c>
      <c r="E1284" t="n">
        <v>3435</v>
      </c>
      <c r="F1284" t="n">
        <v>99140.56</v>
      </c>
      <c r="G1284" t="n">
        <v>9</v>
      </c>
      <c r="H1284" t="inlineStr">
        <is>
          <t>Performance</t>
        </is>
      </c>
      <c r="I1284" t="inlineStr">
        <is>
          <t>RWD</t>
        </is>
      </c>
      <c r="J1284" t="inlineStr">
        <is>
          <t>Green</t>
        </is>
      </c>
      <c r="K1284" t="n">
        <v>449</v>
      </c>
      <c r="L1284" t="n">
        <v>52</v>
      </c>
      <c r="M1284" t="n">
        <v>14.2</v>
      </c>
      <c r="N1284" t="n">
        <v>5878.22</v>
      </c>
      <c r="O1284" t="n">
        <v>4.07</v>
      </c>
      <c r="P1284" t="n">
        <v>5</v>
      </c>
      <c r="Q1284" t="n">
        <v>2</v>
      </c>
      <c r="R1284" t="n">
        <v>2021.8</v>
      </c>
      <c r="S1284" t="b">
        <v>0</v>
      </c>
      <c r="T1284" t="n">
        <v>3490846</v>
      </c>
      <c r="U1284" t="n">
        <v>2</v>
      </c>
      <c r="V1284" t="n">
        <v>0.0104</v>
      </c>
      <c r="W1284" t="n">
        <v>0.75</v>
      </c>
      <c r="X1284" t="n">
        <v>61.12</v>
      </c>
      <c r="Y1284">
        <f>VLOOKUP(D1284,$AB$2:$AC$7,2,FALSE)</f>
        <v/>
      </c>
      <c r="Z1284">
        <f>IF(A1284&lt;Y1284,"Yes","No")</f>
        <v/>
      </c>
    </row>
    <row r="1285">
      <c r="A1285" t="n">
        <v>2015</v>
      </c>
      <c r="B1285" t="inlineStr">
        <is>
          <t>Q3</t>
        </is>
      </c>
      <c r="C1285" t="inlineStr">
        <is>
          <t>North America</t>
        </is>
      </c>
      <c r="D1285" t="inlineStr">
        <is>
          <t>Model X</t>
        </is>
      </c>
      <c r="E1285" t="n">
        <v>3181</v>
      </c>
      <c r="F1285" t="n">
        <v>98202.44</v>
      </c>
      <c r="G1285" t="n">
        <v>28</v>
      </c>
      <c r="H1285" t="inlineStr">
        <is>
          <t>Standard</t>
        </is>
      </c>
      <c r="I1285" t="inlineStr">
        <is>
          <t>AWD</t>
        </is>
      </c>
      <c r="J1285" t="inlineStr">
        <is>
          <t>White</t>
        </is>
      </c>
      <c r="K1285" t="n">
        <v>390</v>
      </c>
      <c r="L1285" t="n">
        <v>72</v>
      </c>
      <c r="M1285" t="n">
        <v>17.43</v>
      </c>
      <c r="N1285" t="n">
        <v>5177.79</v>
      </c>
      <c r="O1285" t="n">
        <v>3.57</v>
      </c>
      <c r="P1285" t="n">
        <v>6</v>
      </c>
      <c r="Q1285" t="n">
        <v>0</v>
      </c>
      <c r="R1285" t="n">
        <v>2024.11</v>
      </c>
      <c r="S1285" t="b">
        <v>1</v>
      </c>
      <c r="T1285" t="n">
        <v>4351690</v>
      </c>
      <c r="U1285" t="n">
        <v>2</v>
      </c>
      <c r="V1285" t="n">
        <v>0.0403</v>
      </c>
      <c r="W1285" t="n">
        <v>1.33</v>
      </c>
      <c r="X1285" t="n">
        <v>72.94</v>
      </c>
      <c r="Y1285">
        <f>VLOOKUP(D1285,$AB$2:$AC$7,2,FALSE)</f>
        <v/>
      </c>
      <c r="Z1285">
        <f>IF(A1285&lt;Y1285,"Yes","No")</f>
        <v/>
      </c>
    </row>
    <row r="1286">
      <c r="A1286" t="n">
        <v>2023</v>
      </c>
      <c r="B1286" t="inlineStr">
        <is>
          <t>Q1</t>
        </is>
      </c>
      <c r="C1286" t="inlineStr">
        <is>
          <t>Europe</t>
        </is>
      </c>
      <c r="D1286" t="inlineStr">
        <is>
          <t>Model 3</t>
        </is>
      </c>
      <c r="E1286" t="n">
        <v>4794</v>
      </c>
      <c r="F1286" t="n">
        <v>45802.63</v>
      </c>
      <c r="G1286" t="n">
        <v>33</v>
      </c>
      <c r="H1286" t="inlineStr">
        <is>
          <t>Performance</t>
        </is>
      </c>
      <c r="I1286" t="inlineStr">
        <is>
          <t>RWD</t>
        </is>
      </c>
      <c r="J1286" t="inlineStr">
        <is>
          <t>White</t>
        </is>
      </c>
      <c r="K1286" t="n">
        <v>598</v>
      </c>
      <c r="L1286" t="n">
        <v>70</v>
      </c>
      <c r="M1286" t="n">
        <v>20.37</v>
      </c>
      <c r="N1286" t="n">
        <v>7993.55</v>
      </c>
      <c r="O1286" t="n">
        <v>4.07</v>
      </c>
      <c r="P1286" t="n">
        <v>5</v>
      </c>
      <c r="Q1286" t="n">
        <v>3</v>
      </c>
      <c r="R1286" t="n">
        <v>2020.6</v>
      </c>
      <c r="S1286" t="b">
        <v>1</v>
      </c>
      <c r="T1286" t="n">
        <v>4073141</v>
      </c>
      <c r="U1286" t="n">
        <v>8</v>
      </c>
      <c r="V1286" t="n">
        <v>0.065</v>
      </c>
      <c r="W1286" t="n">
        <v>2.16</v>
      </c>
      <c r="X1286" t="n">
        <v>84.31</v>
      </c>
      <c r="Y1286">
        <f>VLOOKUP(D1286,$AB$2:$AC$7,2,FALSE)</f>
        <v/>
      </c>
      <c r="Z1286">
        <f>IF(A1286&lt;Y1286,"Yes","No")</f>
        <v/>
      </c>
    </row>
    <row r="1287">
      <c r="A1287" t="n">
        <v>2016</v>
      </c>
      <c r="B1287" t="inlineStr">
        <is>
          <t>Q3</t>
        </is>
      </c>
      <c r="C1287" t="inlineStr">
        <is>
          <t>Asia</t>
        </is>
      </c>
      <c r="D1287" t="inlineStr">
        <is>
          <t>Model 3</t>
        </is>
      </c>
      <c r="E1287" t="n">
        <v>171</v>
      </c>
      <c r="F1287" t="n">
        <v>47303.55</v>
      </c>
      <c r="G1287" t="n">
        <v>51</v>
      </c>
      <c r="H1287" t="inlineStr">
        <is>
          <t>Long Range</t>
        </is>
      </c>
      <c r="I1287" t="inlineStr">
        <is>
          <t>AWD</t>
        </is>
      </c>
      <c r="J1287" t="inlineStr">
        <is>
          <t>White</t>
        </is>
      </c>
      <c r="K1287" t="n">
        <v>624</v>
      </c>
      <c r="L1287" t="n">
        <v>64</v>
      </c>
      <c r="M1287" t="n">
        <v>23.04</v>
      </c>
      <c r="N1287" t="n">
        <v>150.96</v>
      </c>
      <c r="O1287" t="n">
        <v>3.61</v>
      </c>
      <c r="P1287" t="n">
        <v>8</v>
      </c>
      <c r="Q1287" t="n">
        <v>1</v>
      </c>
      <c r="R1287" t="n">
        <v>2023.2</v>
      </c>
      <c r="S1287" t="b">
        <v>0</v>
      </c>
      <c r="T1287" t="n">
        <v>3178545</v>
      </c>
      <c r="U1287" t="n">
        <v>2</v>
      </c>
      <c r="V1287" t="n">
        <v>0.0304</v>
      </c>
      <c r="W1287" t="n">
        <v>0.65</v>
      </c>
      <c r="X1287" t="n">
        <v>85.06999999999999</v>
      </c>
      <c r="Y1287">
        <f>VLOOKUP(D1287,$AB$2:$AC$7,2,FALSE)</f>
        <v/>
      </c>
      <c r="Z1287">
        <f>IF(A1287&lt;Y1287,"Yes","No")</f>
        <v/>
      </c>
    </row>
    <row r="1288">
      <c r="A1288" t="n">
        <v>2013</v>
      </c>
      <c r="B1288" t="inlineStr">
        <is>
          <t>Q1</t>
        </is>
      </c>
      <c r="C1288" t="inlineStr">
        <is>
          <t>Europe</t>
        </is>
      </c>
      <c r="D1288" t="inlineStr">
        <is>
          <t>Model Y</t>
        </is>
      </c>
      <c r="E1288" t="n">
        <v>3168</v>
      </c>
      <c r="F1288" t="n">
        <v>88660.37</v>
      </c>
      <c r="G1288" t="n">
        <v>51</v>
      </c>
      <c r="H1288" t="inlineStr">
        <is>
          <t>Standard</t>
        </is>
      </c>
      <c r="I1288" t="inlineStr">
        <is>
          <t>RWD</t>
        </is>
      </c>
      <c r="J1288" t="inlineStr">
        <is>
          <t>Red</t>
        </is>
      </c>
      <c r="K1288" t="n">
        <v>659</v>
      </c>
      <c r="L1288" t="n">
        <v>78</v>
      </c>
      <c r="M1288" t="n">
        <v>15.98</v>
      </c>
      <c r="N1288" t="n">
        <v>5219.3</v>
      </c>
      <c r="O1288" t="n">
        <v>3.51</v>
      </c>
      <c r="P1288" t="n">
        <v>4</v>
      </c>
      <c r="Q1288" t="n">
        <v>0</v>
      </c>
      <c r="R1288" t="n">
        <v>2022.8</v>
      </c>
      <c r="S1288" t="b">
        <v>1</v>
      </c>
      <c r="T1288" t="n">
        <v>4305717</v>
      </c>
      <c r="U1288" t="n">
        <v>11</v>
      </c>
      <c r="V1288" t="n">
        <v>0.08500000000000001</v>
      </c>
      <c r="W1288" t="n">
        <v>0.75</v>
      </c>
      <c r="X1288" t="n">
        <v>63.06</v>
      </c>
      <c r="Y1288">
        <f>VLOOKUP(D1288,$AB$2:$AC$7,2,FALSE)</f>
        <v/>
      </c>
      <c r="Z1288">
        <f>IF(A1288&lt;Y1288,"Yes","No")</f>
        <v/>
      </c>
    </row>
    <row r="1289">
      <c r="A1289" t="n">
        <v>2021</v>
      </c>
      <c r="B1289" t="inlineStr">
        <is>
          <t>Q2</t>
        </is>
      </c>
      <c r="C1289" t="inlineStr">
        <is>
          <t>Asia</t>
        </is>
      </c>
      <c r="D1289" t="inlineStr">
        <is>
          <t>Model Y</t>
        </is>
      </c>
      <c r="E1289" t="n">
        <v>4959</v>
      </c>
      <c r="F1289" t="n">
        <v>47156.24</v>
      </c>
      <c r="G1289" t="n">
        <v>19</v>
      </c>
      <c r="H1289" t="inlineStr">
        <is>
          <t>Performance</t>
        </is>
      </c>
      <c r="I1289" t="inlineStr">
        <is>
          <t>RWD</t>
        </is>
      </c>
      <c r="J1289" t="inlineStr">
        <is>
          <t>Blue</t>
        </is>
      </c>
      <c r="K1289" t="n">
        <v>636</v>
      </c>
      <c r="L1289" t="n">
        <v>65</v>
      </c>
      <c r="M1289" t="n">
        <v>21.03</v>
      </c>
      <c r="N1289" t="n">
        <v>4576.35</v>
      </c>
      <c r="O1289" t="n">
        <v>3.6</v>
      </c>
      <c r="P1289" t="n">
        <v>4</v>
      </c>
      <c r="Q1289" t="n">
        <v>1</v>
      </c>
      <c r="R1289" t="n">
        <v>2022.2</v>
      </c>
      <c r="S1289" t="b">
        <v>0</v>
      </c>
      <c r="T1289" t="n">
        <v>882123</v>
      </c>
      <c r="U1289" t="n">
        <v>5</v>
      </c>
      <c r="V1289" t="n">
        <v>0.078</v>
      </c>
      <c r="W1289" t="n">
        <v>1.53</v>
      </c>
      <c r="X1289" t="n">
        <v>63.33</v>
      </c>
      <c r="Y1289">
        <f>VLOOKUP(D1289,$AB$2:$AC$7,2,FALSE)</f>
        <v/>
      </c>
      <c r="Z1289">
        <f>IF(A1289&lt;Y1289,"Yes","No")</f>
        <v/>
      </c>
    </row>
    <row r="1290">
      <c r="A1290" t="n">
        <v>2020</v>
      </c>
      <c r="B1290" t="inlineStr">
        <is>
          <t>Q1</t>
        </is>
      </c>
      <c r="C1290" t="inlineStr">
        <is>
          <t>Asia</t>
        </is>
      </c>
      <c r="D1290" t="inlineStr">
        <is>
          <t>Model S</t>
        </is>
      </c>
      <c r="E1290" t="n">
        <v>2850</v>
      </c>
      <c r="F1290" t="n">
        <v>113338.54</v>
      </c>
      <c r="G1290" t="n">
        <v>44</v>
      </c>
      <c r="H1290" t="inlineStr">
        <is>
          <t>Performance</t>
        </is>
      </c>
      <c r="I1290" t="inlineStr">
        <is>
          <t>AWD</t>
        </is>
      </c>
      <c r="J1290" t="inlineStr">
        <is>
          <t>Black</t>
        </is>
      </c>
      <c r="K1290" t="n">
        <v>511</v>
      </c>
      <c r="L1290" t="n">
        <v>70</v>
      </c>
      <c r="M1290" t="n">
        <v>14.39</v>
      </c>
      <c r="N1290" t="n">
        <v>6406.08</v>
      </c>
      <c r="O1290" t="n">
        <v>4.5</v>
      </c>
      <c r="P1290" t="n">
        <v>6</v>
      </c>
      <c r="Q1290" t="n">
        <v>2</v>
      </c>
      <c r="R1290" t="n">
        <v>2023.1</v>
      </c>
      <c r="S1290" t="b">
        <v>0</v>
      </c>
      <c r="T1290" t="n">
        <v>3573475</v>
      </c>
      <c r="U1290" t="n">
        <v>2</v>
      </c>
      <c r="V1290" t="n">
        <v>0.0615</v>
      </c>
      <c r="W1290" t="n">
        <v>1.05</v>
      </c>
      <c r="X1290" t="n">
        <v>61.43</v>
      </c>
      <c r="Y1290">
        <f>VLOOKUP(D1290,$AB$2:$AC$7,2,FALSE)</f>
        <v/>
      </c>
      <c r="Z1290">
        <f>IF(A1290&lt;Y1290,"Yes","No")</f>
        <v/>
      </c>
    </row>
    <row r="1291">
      <c r="A1291" t="n">
        <v>2018</v>
      </c>
      <c r="B1291" t="inlineStr">
        <is>
          <t>Q4</t>
        </is>
      </c>
      <c r="C1291" t="inlineStr">
        <is>
          <t>North America</t>
        </is>
      </c>
      <c r="D1291" t="inlineStr">
        <is>
          <t>Model X</t>
        </is>
      </c>
      <c r="E1291" t="n">
        <v>4173</v>
      </c>
      <c r="F1291" t="n">
        <v>73995.56</v>
      </c>
      <c r="G1291" t="n">
        <v>13</v>
      </c>
      <c r="H1291" t="inlineStr">
        <is>
          <t>Standard</t>
        </is>
      </c>
      <c r="I1291" t="inlineStr">
        <is>
          <t>AWD</t>
        </is>
      </c>
      <c r="J1291" t="inlineStr">
        <is>
          <t>Black</t>
        </is>
      </c>
      <c r="K1291" t="n">
        <v>403</v>
      </c>
      <c r="L1291" t="n">
        <v>46</v>
      </c>
      <c r="M1291" t="n">
        <v>22.71</v>
      </c>
      <c r="N1291" t="n">
        <v>5038.38</v>
      </c>
      <c r="O1291" t="n">
        <v>4.87</v>
      </c>
      <c r="P1291" t="n">
        <v>6</v>
      </c>
      <c r="Q1291" t="n">
        <v>2</v>
      </c>
      <c r="R1291" t="n">
        <v>2023.3</v>
      </c>
      <c r="S1291" t="b">
        <v>1</v>
      </c>
      <c r="T1291" t="n">
        <v>3939672</v>
      </c>
      <c r="U1291" t="n">
        <v>7</v>
      </c>
      <c r="V1291" t="n">
        <v>0.06950000000000001</v>
      </c>
      <c r="W1291" t="n">
        <v>1.44</v>
      </c>
      <c r="X1291" t="n">
        <v>68.06</v>
      </c>
      <c r="Y1291">
        <f>VLOOKUP(D1291,$AB$2:$AC$7,2,FALSE)</f>
        <v/>
      </c>
      <c r="Z1291">
        <f>IF(A1291&lt;Y1291,"Yes","No")</f>
        <v/>
      </c>
    </row>
    <row r="1292">
      <c r="A1292" t="n">
        <v>2012</v>
      </c>
      <c r="B1292" t="inlineStr">
        <is>
          <t>Q4</t>
        </is>
      </c>
      <c r="C1292" t="inlineStr">
        <is>
          <t>Asia</t>
        </is>
      </c>
      <c r="D1292" t="inlineStr">
        <is>
          <t>Model S</t>
        </is>
      </c>
      <c r="E1292" t="n">
        <v>1872</v>
      </c>
      <c r="F1292" t="n">
        <v>53257.54</v>
      </c>
      <c r="G1292" t="n">
        <v>59</v>
      </c>
      <c r="H1292" t="inlineStr">
        <is>
          <t>Long Range</t>
        </is>
      </c>
      <c r="I1292" t="inlineStr">
        <is>
          <t>RWD</t>
        </is>
      </c>
      <c r="J1292" t="inlineStr">
        <is>
          <t>White</t>
        </is>
      </c>
      <c r="K1292" t="n">
        <v>666</v>
      </c>
      <c r="L1292" t="n">
        <v>70</v>
      </c>
      <c r="M1292" t="n">
        <v>19.97</v>
      </c>
      <c r="N1292" t="n">
        <v>4384.63</v>
      </c>
      <c r="O1292" t="n">
        <v>4.29</v>
      </c>
      <c r="P1292" t="n">
        <v>4</v>
      </c>
      <c r="Q1292" t="n">
        <v>1</v>
      </c>
      <c r="R1292" t="n">
        <v>2021.1</v>
      </c>
      <c r="S1292" t="b">
        <v>1</v>
      </c>
      <c r="T1292" t="n">
        <v>2018972</v>
      </c>
      <c r="U1292" t="n">
        <v>8</v>
      </c>
      <c r="V1292" t="n">
        <v>0.07729999999999999</v>
      </c>
      <c r="W1292" t="n">
        <v>2.5</v>
      </c>
      <c r="X1292" t="n">
        <v>68.67</v>
      </c>
      <c r="Y1292">
        <f>VLOOKUP(D1292,$AB$2:$AC$7,2,FALSE)</f>
        <v/>
      </c>
      <c r="Z1292">
        <f>IF(A1292&lt;Y1292,"Yes","No")</f>
        <v/>
      </c>
    </row>
    <row r="1293">
      <c r="A1293" t="n">
        <v>2014</v>
      </c>
      <c r="B1293" t="inlineStr">
        <is>
          <t>Q4</t>
        </is>
      </c>
      <c r="C1293" t="inlineStr">
        <is>
          <t>Asia</t>
        </is>
      </c>
      <c r="D1293" t="inlineStr">
        <is>
          <t>Model S</t>
        </is>
      </c>
      <c r="E1293" t="n">
        <v>85</v>
      </c>
      <c r="F1293" t="n">
        <v>105843.73</v>
      </c>
      <c r="G1293" t="n">
        <v>1</v>
      </c>
      <c r="H1293" t="inlineStr">
        <is>
          <t>Standard</t>
        </is>
      </c>
      <c r="I1293" t="inlineStr">
        <is>
          <t>AWD</t>
        </is>
      </c>
      <c r="J1293" t="inlineStr">
        <is>
          <t>Blue</t>
        </is>
      </c>
      <c r="K1293" t="n">
        <v>580</v>
      </c>
      <c r="L1293" t="n">
        <v>52</v>
      </c>
      <c r="M1293" t="n">
        <v>15.8</v>
      </c>
      <c r="N1293" t="n">
        <v>53.61</v>
      </c>
      <c r="O1293" t="n">
        <v>4.47</v>
      </c>
      <c r="P1293" t="n">
        <v>4</v>
      </c>
      <c r="Q1293" t="n">
        <v>2</v>
      </c>
      <c r="R1293" t="n">
        <v>2023.7</v>
      </c>
      <c r="S1293" t="b">
        <v>1</v>
      </c>
      <c r="T1293" t="n">
        <v>834750</v>
      </c>
      <c r="U1293" t="n">
        <v>12</v>
      </c>
      <c r="V1293" t="n">
        <v>0.0853</v>
      </c>
      <c r="W1293" t="n">
        <v>0.66</v>
      </c>
      <c r="X1293" t="n">
        <v>89.89</v>
      </c>
      <c r="Y1293">
        <f>VLOOKUP(D1293,$AB$2:$AC$7,2,FALSE)</f>
        <v/>
      </c>
      <c r="Z1293">
        <f>IF(A1293&lt;Y1293,"Yes","No")</f>
        <v/>
      </c>
    </row>
    <row r="1294">
      <c r="A1294" t="n">
        <v>2021</v>
      </c>
      <c r="B1294" t="inlineStr">
        <is>
          <t>Q4</t>
        </is>
      </c>
      <c r="C1294" t="inlineStr">
        <is>
          <t>Asia</t>
        </is>
      </c>
      <c r="D1294" t="inlineStr">
        <is>
          <t>Model X</t>
        </is>
      </c>
      <c r="E1294" t="n">
        <v>3384</v>
      </c>
      <c r="F1294" t="n">
        <v>101878.46</v>
      </c>
      <c r="G1294" t="n">
        <v>10</v>
      </c>
      <c r="H1294" t="inlineStr">
        <is>
          <t>Long Range</t>
        </is>
      </c>
      <c r="I1294" t="inlineStr">
        <is>
          <t>AWD</t>
        </is>
      </c>
      <c r="J1294" t="inlineStr">
        <is>
          <t>Blue</t>
        </is>
      </c>
      <c r="K1294" t="n">
        <v>369</v>
      </c>
      <c r="L1294" t="n">
        <v>54</v>
      </c>
      <c r="M1294" t="n">
        <v>24.17</v>
      </c>
      <c r="N1294" t="n">
        <v>1836.28</v>
      </c>
      <c r="O1294" t="n">
        <v>3.92</v>
      </c>
      <c r="P1294" t="n">
        <v>6</v>
      </c>
      <c r="Q1294" t="n">
        <v>3</v>
      </c>
      <c r="R1294" t="n">
        <v>2023.1</v>
      </c>
      <c r="S1294" t="b">
        <v>0</v>
      </c>
      <c r="T1294" t="n">
        <v>4809621</v>
      </c>
      <c r="U1294" t="n">
        <v>8</v>
      </c>
      <c r="V1294" t="n">
        <v>0.07969999999999999</v>
      </c>
      <c r="W1294" t="n">
        <v>1.77</v>
      </c>
      <c r="X1294" t="n">
        <v>84.48999999999999</v>
      </c>
      <c r="Y1294">
        <f>VLOOKUP(D1294,$AB$2:$AC$7,2,FALSE)</f>
        <v/>
      </c>
      <c r="Z1294">
        <f>IF(A1294&lt;Y1294,"Yes","No")</f>
        <v/>
      </c>
    </row>
    <row r="1295">
      <c r="A1295" t="n">
        <v>2021</v>
      </c>
      <c r="B1295" t="inlineStr">
        <is>
          <t>Q3</t>
        </is>
      </c>
      <c r="C1295" t="inlineStr">
        <is>
          <t>South America</t>
        </is>
      </c>
      <c r="D1295" t="inlineStr">
        <is>
          <t>Model X</t>
        </is>
      </c>
      <c r="E1295" t="n">
        <v>4283</v>
      </c>
      <c r="F1295" t="n">
        <v>40893.59</v>
      </c>
      <c r="G1295" t="n">
        <v>0</v>
      </c>
      <c r="H1295" t="inlineStr">
        <is>
          <t>Performance</t>
        </is>
      </c>
      <c r="I1295" t="inlineStr">
        <is>
          <t>AWD</t>
        </is>
      </c>
      <c r="J1295" t="inlineStr">
        <is>
          <t>Blue</t>
        </is>
      </c>
      <c r="K1295" t="n">
        <v>404</v>
      </c>
      <c r="L1295" t="n">
        <v>31</v>
      </c>
      <c r="M1295" t="n">
        <v>24.86</v>
      </c>
      <c r="N1295" t="n">
        <v>10033.81</v>
      </c>
      <c r="O1295" t="n">
        <v>4.18</v>
      </c>
      <c r="P1295" t="n">
        <v>8</v>
      </c>
      <c r="Q1295" t="n">
        <v>0</v>
      </c>
      <c r="R1295" t="n">
        <v>2020.8</v>
      </c>
      <c r="S1295" t="b">
        <v>0</v>
      </c>
      <c r="T1295" t="n">
        <v>1961629</v>
      </c>
      <c r="U1295" t="n">
        <v>12</v>
      </c>
      <c r="V1295" t="n">
        <v>0.0532</v>
      </c>
      <c r="W1295" t="n">
        <v>1.65</v>
      </c>
      <c r="X1295" t="n">
        <v>69.3</v>
      </c>
      <c r="Y1295">
        <f>VLOOKUP(D1295,$AB$2:$AC$7,2,FALSE)</f>
        <v/>
      </c>
      <c r="Z1295">
        <f>IF(A1295&lt;Y1295,"Yes","No")</f>
        <v/>
      </c>
    </row>
    <row r="1296">
      <c r="A1296" t="n">
        <v>2015</v>
      </c>
      <c r="B1296" t="inlineStr">
        <is>
          <t>Q2</t>
        </is>
      </c>
      <c r="C1296" t="inlineStr">
        <is>
          <t>North America</t>
        </is>
      </c>
      <c r="D1296" t="inlineStr">
        <is>
          <t>Model Y</t>
        </is>
      </c>
      <c r="E1296" t="n">
        <v>4373</v>
      </c>
      <c r="F1296" t="n">
        <v>43777.39</v>
      </c>
      <c r="G1296" t="n">
        <v>59</v>
      </c>
      <c r="H1296" t="inlineStr">
        <is>
          <t>Standard</t>
        </is>
      </c>
      <c r="I1296" t="inlineStr">
        <is>
          <t>RWD</t>
        </is>
      </c>
      <c r="J1296" t="inlineStr">
        <is>
          <t>Red</t>
        </is>
      </c>
      <c r="K1296" t="n">
        <v>643</v>
      </c>
      <c r="L1296" t="n">
        <v>75</v>
      </c>
      <c r="M1296" t="n">
        <v>22.11</v>
      </c>
      <c r="N1296" t="n">
        <v>9464.459999999999</v>
      </c>
      <c r="O1296" t="n">
        <v>4.99</v>
      </c>
      <c r="P1296" t="n">
        <v>6</v>
      </c>
      <c r="Q1296" t="n">
        <v>0</v>
      </c>
      <c r="R1296" t="n">
        <v>2021.2</v>
      </c>
      <c r="S1296" t="b">
        <v>0</v>
      </c>
      <c r="T1296" t="n">
        <v>2504292</v>
      </c>
      <c r="U1296" t="n">
        <v>6</v>
      </c>
      <c r="V1296" t="n">
        <v>0.0178</v>
      </c>
      <c r="W1296" t="n">
        <v>2.44</v>
      </c>
      <c r="X1296" t="n">
        <v>70.7</v>
      </c>
      <c r="Y1296">
        <f>VLOOKUP(D1296,$AB$2:$AC$7,2,FALSE)</f>
        <v/>
      </c>
      <c r="Z1296">
        <f>IF(A1296&lt;Y1296,"Yes","No")</f>
        <v/>
      </c>
    </row>
    <row r="1297">
      <c r="A1297" t="n">
        <v>2021</v>
      </c>
      <c r="B1297" t="inlineStr">
        <is>
          <t>Q4</t>
        </is>
      </c>
      <c r="C1297" t="inlineStr">
        <is>
          <t>Australia</t>
        </is>
      </c>
      <c r="D1297" t="inlineStr">
        <is>
          <t>Model X</t>
        </is>
      </c>
      <c r="E1297" t="n">
        <v>1913</v>
      </c>
      <c r="F1297" t="n">
        <v>54750.78</v>
      </c>
      <c r="G1297" t="n">
        <v>42</v>
      </c>
      <c r="H1297" t="inlineStr">
        <is>
          <t>Performance</t>
        </is>
      </c>
      <c r="I1297" t="inlineStr">
        <is>
          <t>RWD</t>
        </is>
      </c>
      <c r="J1297" t="inlineStr">
        <is>
          <t>Green</t>
        </is>
      </c>
      <c r="K1297" t="n">
        <v>639</v>
      </c>
      <c r="L1297" t="n">
        <v>76</v>
      </c>
      <c r="M1297" t="n">
        <v>17.89</v>
      </c>
      <c r="N1297" t="n">
        <v>3639.79</v>
      </c>
      <c r="O1297" t="n">
        <v>4.01</v>
      </c>
      <c r="P1297" t="n">
        <v>5</v>
      </c>
      <c r="Q1297" t="n">
        <v>1</v>
      </c>
      <c r="R1297" t="n">
        <v>2024.2</v>
      </c>
      <c r="S1297" t="b">
        <v>0</v>
      </c>
      <c r="T1297" t="n">
        <v>322413</v>
      </c>
      <c r="U1297" t="n">
        <v>5</v>
      </c>
      <c r="V1297" t="n">
        <v>0.07539999999999999</v>
      </c>
      <c r="W1297" t="n">
        <v>1.22</v>
      </c>
      <c r="X1297" t="n">
        <v>87.20999999999999</v>
      </c>
      <c r="Y1297">
        <f>VLOOKUP(D1297,$AB$2:$AC$7,2,FALSE)</f>
        <v/>
      </c>
      <c r="Z1297">
        <f>IF(A1297&lt;Y1297,"Yes","No")</f>
        <v/>
      </c>
    </row>
    <row r="1298">
      <c r="A1298" t="n">
        <v>2024</v>
      </c>
      <c r="B1298" t="inlineStr">
        <is>
          <t>Q1</t>
        </is>
      </c>
      <c r="C1298" t="inlineStr">
        <is>
          <t>Asia</t>
        </is>
      </c>
      <c r="D1298" t="inlineStr">
        <is>
          <t>Cybertruck</t>
        </is>
      </c>
      <c r="E1298" t="n">
        <v>4847</v>
      </c>
      <c r="F1298" t="n">
        <v>84606.60000000001</v>
      </c>
      <c r="G1298" t="n">
        <v>24</v>
      </c>
      <c r="H1298" t="inlineStr">
        <is>
          <t>Performance</t>
        </is>
      </c>
      <c r="I1298" t="inlineStr">
        <is>
          <t>RWD</t>
        </is>
      </c>
      <c r="J1298" t="inlineStr">
        <is>
          <t>White</t>
        </is>
      </c>
      <c r="K1298" t="n">
        <v>459</v>
      </c>
      <c r="L1298" t="n">
        <v>76</v>
      </c>
      <c r="M1298" t="n">
        <v>17.63</v>
      </c>
      <c r="N1298" t="n">
        <v>3506.01</v>
      </c>
      <c r="O1298" t="n">
        <v>4.61</v>
      </c>
      <c r="P1298" t="n">
        <v>8</v>
      </c>
      <c r="Q1298" t="n">
        <v>3</v>
      </c>
      <c r="R1298" t="n">
        <v>2021.2</v>
      </c>
      <c r="S1298" t="b">
        <v>0</v>
      </c>
      <c r="T1298" t="n">
        <v>1915763</v>
      </c>
      <c r="U1298" t="n">
        <v>11</v>
      </c>
      <c r="V1298" t="n">
        <v>0.0882</v>
      </c>
      <c r="W1298" t="n">
        <v>2.03</v>
      </c>
      <c r="X1298" t="n">
        <v>80.83</v>
      </c>
      <c r="Y1298">
        <f>VLOOKUP(D1298,$AB$2:$AC$7,2,FALSE)</f>
        <v/>
      </c>
      <c r="Z1298">
        <f>IF(A1298&lt;Y1298,"Yes","No")</f>
        <v/>
      </c>
    </row>
    <row r="1299">
      <c r="A1299" t="n">
        <v>2014</v>
      </c>
      <c r="B1299" t="inlineStr">
        <is>
          <t>Q3</t>
        </is>
      </c>
      <c r="C1299" t="inlineStr">
        <is>
          <t>South America</t>
        </is>
      </c>
      <c r="D1299" t="inlineStr">
        <is>
          <t>Model Y</t>
        </is>
      </c>
      <c r="E1299" t="n">
        <v>1297</v>
      </c>
      <c r="F1299" t="n">
        <v>113973.03</v>
      </c>
      <c r="G1299" t="n">
        <v>12</v>
      </c>
      <c r="H1299" t="inlineStr">
        <is>
          <t>Performance</t>
        </is>
      </c>
      <c r="I1299" t="inlineStr">
        <is>
          <t>RWD</t>
        </is>
      </c>
      <c r="J1299" t="inlineStr">
        <is>
          <t>Silver</t>
        </is>
      </c>
      <c r="K1299" t="n">
        <v>542</v>
      </c>
      <c r="L1299" t="n">
        <v>84</v>
      </c>
      <c r="M1299" t="n">
        <v>16.95</v>
      </c>
      <c r="N1299" t="n">
        <v>2363.79</v>
      </c>
      <c r="O1299" t="n">
        <v>4.75</v>
      </c>
      <c r="P1299" t="n">
        <v>5</v>
      </c>
      <c r="Q1299" t="n">
        <v>3</v>
      </c>
      <c r="R1299" t="n">
        <v>2023.9</v>
      </c>
      <c r="S1299" t="b">
        <v>0</v>
      </c>
      <c r="T1299" t="n">
        <v>875852</v>
      </c>
      <c r="U1299" t="n">
        <v>6</v>
      </c>
      <c r="V1299" t="n">
        <v>0.0731</v>
      </c>
      <c r="W1299" t="n">
        <v>2.48</v>
      </c>
      <c r="X1299" t="n">
        <v>88.77</v>
      </c>
      <c r="Y1299">
        <f>VLOOKUP(D1299,$AB$2:$AC$7,2,FALSE)</f>
        <v/>
      </c>
      <c r="Z1299">
        <f>IF(A1299&lt;Y1299,"Yes","No")</f>
        <v/>
      </c>
    </row>
    <row r="1300">
      <c r="A1300" t="n">
        <v>2016</v>
      </c>
      <c r="B1300" t="inlineStr">
        <is>
          <t>Q2</t>
        </is>
      </c>
      <c r="C1300" t="inlineStr">
        <is>
          <t>North America</t>
        </is>
      </c>
      <c r="D1300" t="inlineStr">
        <is>
          <t>Model Y</t>
        </is>
      </c>
      <c r="E1300" t="n">
        <v>3249</v>
      </c>
      <c r="F1300" t="n">
        <v>72427.07000000001</v>
      </c>
      <c r="G1300" t="n">
        <v>2</v>
      </c>
      <c r="H1300" t="inlineStr">
        <is>
          <t>Long Range</t>
        </is>
      </c>
      <c r="I1300" t="inlineStr">
        <is>
          <t>AWD</t>
        </is>
      </c>
      <c r="J1300" t="inlineStr">
        <is>
          <t>White</t>
        </is>
      </c>
      <c r="K1300" t="n">
        <v>536</v>
      </c>
      <c r="L1300" t="n">
        <v>65</v>
      </c>
      <c r="M1300" t="n">
        <v>20.69</v>
      </c>
      <c r="N1300" t="n">
        <v>4728.54</v>
      </c>
      <c r="O1300" t="n">
        <v>3.84</v>
      </c>
      <c r="P1300" t="n">
        <v>6</v>
      </c>
      <c r="Q1300" t="n">
        <v>3</v>
      </c>
      <c r="R1300" t="n">
        <v>2024.3</v>
      </c>
      <c r="S1300" t="b">
        <v>1</v>
      </c>
      <c r="T1300" t="n">
        <v>1118671</v>
      </c>
      <c r="U1300" t="n">
        <v>8</v>
      </c>
      <c r="V1300" t="n">
        <v>0.0223</v>
      </c>
      <c r="W1300" t="n">
        <v>0.55</v>
      </c>
      <c r="X1300" t="n">
        <v>80.92</v>
      </c>
      <c r="Y1300">
        <f>VLOOKUP(D1300,$AB$2:$AC$7,2,FALSE)</f>
        <v/>
      </c>
      <c r="Z1300">
        <f>IF(A1300&lt;Y1300,"Yes","No")</f>
        <v/>
      </c>
    </row>
    <row r="1301">
      <c r="A1301" t="n">
        <v>2021</v>
      </c>
      <c r="B1301" t="inlineStr">
        <is>
          <t>Q2</t>
        </is>
      </c>
      <c r="C1301" t="inlineStr">
        <is>
          <t>Asia</t>
        </is>
      </c>
      <c r="D1301" t="inlineStr">
        <is>
          <t>Model X</t>
        </is>
      </c>
      <c r="E1301" t="n">
        <v>3270</v>
      </c>
      <c r="F1301" t="n">
        <v>60692.07</v>
      </c>
      <c r="G1301" t="n">
        <v>13</v>
      </c>
      <c r="H1301" t="inlineStr">
        <is>
          <t>Performance</t>
        </is>
      </c>
      <c r="I1301" t="inlineStr">
        <is>
          <t>RWD</t>
        </is>
      </c>
      <c r="J1301" t="inlineStr">
        <is>
          <t>Red</t>
        </is>
      </c>
      <c r="K1301" t="n">
        <v>402</v>
      </c>
      <c r="L1301" t="n">
        <v>90</v>
      </c>
      <c r="M1301" t="n">
        <v>16.55</v>
      </c>
      <c r="N1301" t="n">
        <v>8025.76</v>
      </c>
      <c r="O1301" t="n">
        <v>4.47</v>
      </c>
      <c r="P1301" t="n">
        <v>6</v>
      </c>
      <c r="Q1301" t="n">
        <v>3</v>
      </c>
      <c r="R1301" t="n">
        <v>2020.4</v>
      </c>
      <c r="S1301" t="b">
        <v>1</v>
      </c>
      <c r="T1301" t="n">
        <v>2201660</v>
      </c>
      <c r="U1301" t="n">
        <v>12</v>
      </c>
      <c r="V1301" t="n">
        <v>0.0219</v>
      </c>
      <c r="W1301" t="n">
        <v>1.89</v>
      </c>
      <c r="X1301" t="n">
        <v>89.47</v>
      </c>
      <c r="Y1301">
        <f>VLOOKUP(D1301,$AB$2:$AC$7,2,FALSE)</f>
        <v/>
      </c>
      <c r="Z1301">
        <f>IF(A1301&lt;Y1301,"Yes","No")</f>
        <v/>
      </c>
    </row>
    <row r="1302">
      <c r="A1302" t="n">
        <v>2023</v>
      </c>
      <c r="B1302" t="inlineStr">
        <is>
          <t>Q4</t>
        </is>
      </c>
      <c r="C1302" t="inlineStr">
        <is>
          <t>Australia</t>
        </is>
      </c>
      <c r="D1302" t="inlineStr">
        <is>
          <t>Semi</t>
        </is>
      </c>
      <c r="E1302" t="n">
        <v>4827</v>
      </c>
      <c r="F1302" t="n">
        <v>117014.69</v>
      </c>
      <c r="G1302" t="n">
        <v>23</v>
      </c>
      <c r="H1302" t="inlineStr">
        <is>
          <t>Long Range</t>
        </is>
      </c>
      <c r="I1302" t="inlineStr">
        <is>
          <t>AWD</t>
        </is>
      </c>
      <c r="J1302" t="inlineStr">
        <is>
          <t>Silver</t>
        </is>
      </c>
      <c r="K1302" t="n">
        <v>682</v>
      </c>
      <c r="L1302" t="n">
        <v>33</v>
      </c>
      <c r="M1302" t="n">
        <v>16.95</v>
      </c>
      <c r="N1302" t="n">
        <v>8409.969999999999</v>
      </c>
      <c r="O1302" t="n">
        <v>3.76</v>
      </c>
      <c r="P1302" t="n">
        <v>4</v>
      </c>
      <c r="Q1302" t="n">
        <v>0</v>
      </c>
      <c r="R1302" t="n">
        <v>2020.11</v>
      </c>
      <c r="S1302" t="b">
        <v>1</v>
      </c>
      <c r="T1302" t="n">
        <v>1031856</v>
      </c>
      <c r="U1302" t="n">
        <v>12</v>
      </c>
      <c r="V1302" t="n">
        <v>0.0794</v>
      </c>
      <c r="W1302" t="n">
        <v>0.61</v>
      </c>
      <c r="X1302" t="n">
        <v>84.54000000000001</v>
      </c>
      <c r="Y1302">
        <f>VLOOKUP(D1302,$AB$2:$AC$7,2,FALSE)</f>
        <v/>
      </c>
      <c r="Z1302">
        <f>IF(A1302&lt;Y1302,"Yes","No")</f>
        <v/>
      </c>
    </row>
    <row r="1303">
      <c r="A1303" t="n">
        <v>2018</v>
      </c>
      <c r="B1303" t="inlineStr">
        <is>
          <t>Q1</t>
        </is>
      </c>
      <c r="C1303" t="inlineStr">
        <is>
          <t>Australia</t>
        </is>
      </c>
      <c r="D1303" t="inlineStr">
        <is>
          <t>Model S</t>
        </is>
      </c>
      <c r="E1303" t="n">
        <v>4845</v>
      </c>
      <c r="F1303" t="n">
        <v>74072.21000000001</v>
      </c>
      <c r="G1303" t="n">
        <v>35</v>
      </c>
      <c r="H1303" t="inlineStr">
        <is>
          <t>Long Range</t>
        </is>
      </c>
      <c r="I1303" t="inlineStr">
        <is>
          <t>RWD</t>
        </is>
      </c>
      <c r="J1303" t="inlineStr">
        <is>
          <t>Green</t>
        </is>
      </c>
      <c r="K1303" t="n">
        <v>669</v>
      </c>
      <c r="L1303" t="n">
        <v>70</v>
      </c>
      <c r="M1303" t="n">
        <v>19.17</v>
      </c>
      <c r="N1303" t="n">
        <v>3772.46</v>
      </c>
      <c r="O1303" t="n">
        <v>3.63</v>
      </c>
      <c r="P1303" t="n">
        <v>5</v>
      </c>
      <c r="Q1303" t="n">
        <v>0</v>
      </c>
      <c r="R1303" t="n">
        <v>2020.11</v>
      </c>
      <c r="S1303" t="b">
        <v>1</v>
      </c>
      <c r="T1303" t="n">
        <v>1720824</v>
      </c>
      <c r="U1303" t="n">
        <v>10</v>
      </c>
      <c r="V1303" t="n">
        <v>0.0868</v>
      </c>
      <c r="W1303" t="n">
        <v>1.83</v>
      </c>
      <c r="X1303" t="n">
        <v>71.26000000000001</v>
      </c>
      <c r="Y1303">
        <f>VLOOKUP(D1303,$AB$2:$AC$7,2,FALSE)</f>
        <v/>
      </c>
      <c r="Z1303">
        <f>IF(A1303&lt;Y1303,"Yes","No")</f>
        <v/>
      </c>
    </row>
    <row r="1304">
      <c r="A1304" t="n">
        <v>2021</v>
      </c>
      <c r="B1304" t="inlineStr">
        <is>
          <t>Q1</t>
        </is>
      </c>
      <c r="C1304" t="inlineStr">
        <is>
          <t>South America</t>
        </is>
      </c>
      <c r="D1304" t="inlineStr">
        <is>
          <t>Model Y</t>
        </is>
      </c>
      <c r="E1304" t="n">
        <v>3966</v>
      </c>
      <c r="F1304" t="n">
        <v>45867.82</v>
      </c>
      <c r="G1304" t="n">
        <v>43</v>
      </c>
      <c r="H1304" t="inlineStr">
        <is>
          <t>Standard</t>
        </is>
      </c>
      <c r="I1304" t="inlineStr">
        <is>
          <t>AWD</t>
        </is>
      </c>
      <c r="J1304" t="inlineStr">
        <is>
          <t>Red</t>
        </is>
      </c>
      <c r="K1304" t="n">
        <v>485</v>
      </c>
      <c r="L1304" t="n">
        <v>72</v>
      </c>
      <c r="M1304" t="n">
        <v>16.15</v>
      </c>
      <c r="N1304" t="n">
        <v>2973.46</v>
      </c>
      <c r="O1304" t="n">
        <v>4.51</v>
      </c>
      <c r="P1304" t="n">
        <v>8</v>
      </c>
      <c r="Q1304" t="n">
        <v>1</v>
      </c>
      <c r="R1304" t="n">
        <v>2023.6</v>
      </c>
      <c r="S1304" t="b">
        <v>0</v>
      </c>
      <c r="T1304" t="n">
        <v>3614750</v>
      </c>
      <c r="U1304" t="n">
        <v>3</v>
      </c>
      <c r="V1304" t="n">
        <v>0.0645</v>
      </c>
      <c r="W1304" t="n">
        <v>0.75</v>
      </c>
      <c r="X1304" t="n">
        <v>62.15</v>
      </c>
      <c r="Y1304">
        <f>VLOOKUP(D1304,$AB$2:$AC$7,2,FALSE)</f>
        <v/>
      </c>
      <c r="Z1304">
        <f>IF(A1304&lt;Y1304,"Yes","No")</f>
        <v/>
      </c>
    </row>
    <row r="1305">
      <c r="A1305" t="n">
        <v>2020</v>
      </c>
      <c r="B1305" t="inlineStr">
        <is>
          <t>Q2</t>
        </is>
      </c>
      <c r="C1305" t="inlineStr">
        <is>
          <t>Europe</t>
        </is>
      </c>
      <c r="D1305" t="inlineStr">
        <is>
          <t>Model S</t>
        </is>
      </c>
      <c r="E1305" t="n">
        <v>3414</v>
      </c>
      <c r="F1305" t="n">
        <v>53132.45</v>
      </c>
      <c r="G1305" t="n">
        <v>5</v>
      </c>
      <c r="H1305" t="inlineStr">
        <is>
          <t>Performance</t>
        </is>
      </c>
      <c r="I1305" t="inlineStr">
        <is>
          <t>RWD</t>
        </is>
      </c>
      <c r="J1305" t="inlineStr">
        <is>
          <t>White</t>
        </is>
      </c>
      <c r="K1305" t="n">
        <v>412</v>
      </c>
      <c r="L1305" t="n">
        <v>60</v>
      </c>
      <c r="M1305" t="n">
        <v>17.61</v>
      </c>
      <c r="N1305" t="n">
        <v>6063.78</v>
      </c>
      <c r="O1305" t="n">
        <v>4.44</v>
      </c>
      <c r="P1305" t="n">
        <v>5</v>
      </c>
      <c r="Q1305" t="n">
        <v>0</v>
      </c>
      <c r="R1305" t="n">
        <v>2021.4</v>
      </c>
      <c r="S1305" t="b">
        <v>0</v>
      </c>
      <c r="T1305" t="n">
        <v>2296124</v>
      </c>
      <c r="U1305" t="n">
        <v>3</v>
      </c>
      <c r="V1305" t="n">
        <v>0.0721</v>
      </c>
      <c r="W1305" t="n">
        <v>1.37</v>
      </c>
      <c r="X1305" t="n">
        <v>67.16</v>
      </c>
      <c r="Y1305">
        <f>VLOOKUP(D1305,$AB$2:$AC$7,2,FALSE)</f>
        <v/>
      </c>
      <c r="Z1305">
        <f>IF(A1305&lt;Y1305,"Yes","No")</f>
        <v/>
      </c>
    </row>
    <row r="1306">
      <c r="A1306" t="n">
        <v>2020</v>
      </c>
      <c r="B1306" t="inlineStr">
        <is>
          <t>Q2</t>
        </is>
      </c>
      <c r="C1306" t="inlineStr">
        <is>
          <t>Asia</t>
        </is>
      </c>
      <c r="D1306" t="inlineStr">
        <is>
          <t>Semi</t>
        </is>
      </c>
      <c r="E1306" t="n">
        <v>4891</v>
      </c>
      <c r="F1306" t="n">
        <v>40620</v>
      </c>
      <c r="G1306" t="n">
        <v>54</v>
      </c>
      <c r="H1306" t="inlineStr">
        <is>
          <t>Long Range</t>
        </is>
      </c>
      <c r="I1306" t="inlineStr">
        <is>
          <t>RWD</t>
        </is>
      </c>
      <c r="J1306" t="inlineStr">
        <is>
          <t>White</t>
        </is>
      </c>
      <c r="K1306" t="n">
        <v>357</v>
      </c>
      <c r="L1306" t="n">
        <v>83</v>
      </c>
      <c r="M1306" t="n">
        <v>15.93</v>
      </c>
      <c r="N1306" t="n">
        <v>4649.66</v>
      </c>
      <c r="O1306" t="n">
        <v>4.37</v>
      </c>
      <c r="P1306" t="n">
        <v>4</v>
      </c>
      <c r="Q1306" t="n">
        <v>1</v>
      </c>
      <c r="R1306" t="n">
        <v>2021.6</v>
      </c>
      <c r="S1306" t="b">
        <v>1</v>
      </c>
      <c r="T1306" t="n">
        <v>4576667</v>
      </c>
      <c r="U1306" t="n">
        <v>4</v>
      </c>
      <c r="V1306" t="n">
        <v>0.0897</v>
      </c>
      <c r="W1306" t="n">
        <v>1.77</v>
      </c>
      <c r="X1306" t="n">
        <v>72.06999999999999</v>
      </c>
      <c r="Y1306">
        <f>VLOOKUP(D1306,$AB$2:$AC$7,2,FALSE)</f>
        <v/>
      </c>
      <c r="Z1306">
        <f>IF(A1306&lt;Y1306,"Yes","No")</f>
        <v/>
      </c>
    </row>
    <row r="1307">
      <c r="A1307" t="n">
        <v>2019</v>
      </c>
      <c r="B1307" t="inlineStr">
        <is>
          <t>Q1</t>
        </is>
      </c>
      <c r="C1307" t="inlineStr">
        <is>
          <t>Europe</t>
        </is>
      </c>
      <c r="D1307" t="inlineStr">
        <is>
          <t>Model Y</t>
        </is>
      </c>
      <c r="E1307" t="n">
        <v>4985</v>
      </c>
      <c r="F1307" t="n">
        <v>55433.98</v>
      </c>
      <c r="G1307" t="n">
        <v>37</v>
      </c>
      <c r="H1307" t="inlineStr">
        <is>
          <t>Long Range</t>
        </is>
      </c>
      <c r="I1307" t="inlineStr">
        <is>
          <t>RWD</t>
        </is>
      </c>
      <c r="J1307" t="inlineStr">
        <is>
          <t>Black</t>
        </is>
      </c>
      <c r="K1307" t="n">
        <v>445</v>
      </c>
      <c r="L1307" t="n">
        <v>50</v>
      </c>
      <c r="M1307" t="n">
        <v>15.22</v>
      </c>
      <c r="N1307" t="n">
        <v>8623.059999999999</v>
      </c>
      <c r="O1307" t="n">
        <v>4.64</v>
      </c>
      <c r="P1307" t="n">
        <v>6</v>
      </c>
      <c r="Q1307" t="n">
        <v>2</v>
      </c>
      <c r="R1307" t="n">
        <v>2024.5</v>
      </c>
      <c r="S1307" t="b">
        <v>1</v>
      </c>
      <c r="T1307" t="n">
        <v>3700429</v>
      </c>
      <c r="U1307" t="n">
        <v>10</v>
      </c>
      <c r="V1307" t="n">
        <v>0.0492</v>
      </c>
      <c r="W1307" t="n">
        <v>0.73</v>
      </c>
      <c r="X1307" t="n">
        <v>89.16</v>
      </c>
      <c r="Y1307">
        <f>VLOOKUP(D1307,$AB$2:$AC$7,2,FALSE)</f>
        <v/>
      </c>
      <c r="Z1307">
        <f>IF(A1307&lt;Y1307,"Yes","No")</f>
        <v/>
      </c>
    </row>
    <row r="1308">
      <c r="A1308" t="n">
        <v>2013</v>
      </c>
      <c r="B1308" t="inlineStr">
        <is>
          <t>Q1</t>
        </is>
      </c>
      <c r="C1308" t="inlineStr">
        <is>
          <t>Asia</t>
        </is>
      </c>
      <c r="D1308" t="inlineStr">
        <is>
          <t>Model 3</t>
        </is>
      </c>
      <c r="E1308" t="n">
        <v>1858</v>
      </c>
      <c r="F1308" t="n">
        <v>38938.23</v>
      </c>
      <c r="G1308" t="n">
        <v>16</v>
      </c>
      <c r="H1308" t="inlineStr">
        <is>
          <t>Standard</t>
        </is>
      </c>
      <c r="I1308" t="inlineStr">
        <is>
          <t>AWD</t>
        </is>
      </c>
      <c r="J1308" t="inlineStr">
        <is>
          <t>White</t>
        </is>
      </c>
      <c r="K1308" t="n">
        <v>637</v>
      </c>
      <c r="L1308" t="n">
        <v>61</v>
      </c>
      <c r="M1308" t="n">
        <v>18.75</v>
      </c>
      <c r="N1308" t="n">
        <v>4053.83</v>
      </c>
      <c r="O1308" t="n">
        <v>3.98</v>
      </c>
      <c r="P1308" t="n">
        <v>6</v>
      </c>
      <c r="Q1308" t="n">
        <v>0</v>
      </c>
      <c r="R1308" t="n">
        <v>2023.12</v>
      </c>
      <c r="S1308" t="b">
        <v>1</v>
      </c>
      <c r="T1308" t="n">
        <v>4138961</v>
      </c>
      <c r="U1308" t="n">
        <v>10</v>
      </c>
      <c r="V1308" t="n">
        <v>0.0531</v>
      </c>
      <c r="W1308" t="n">
        <v>1.72</v>
      </c>
      <c r="X1308" t="n">
        <v>65.15000000000001</v>
      </c>
      <c r="Y1308">
        <f>VLOOKUP(D1308,$AB$2:$AC$7,2,FALSE)</f>
        <v/>
      </c>
      <c r="Z1308">
        <f>IF(A1308&lt;Y1308,"Yes","No")</f>
        <v/>
      </c>
    </row>
    <row r="1309">
      <c r="A1309" t="n">
        <v>2017</v>
      </c>
      <c r="B1309" t="inlineStr">
        <is>
          <t>Q1</t>
        </is>
      </c>
      <c r="C1309" t="inlineStr">
        <is>
          <t>Europe</t>
        </is>
      </c>
      <c r="D1309" t="inlineStr">
        <is>
          <t>Model S</t>
        </is>
      </c>
      <c r="E1309" t="n">
        <v>2232</v>
      </c>
      <c r="F1309" t="n">
        <v>116135.02</v>
      </c>
      <c r="G1309" t="n">
        <v>15</v>
      </c>
      <c r="H1309" t="inlineStr">
        <is>
          <t>Long Range</t>
        </is>
      </c>
      <c r="I1309" t="inlineStr">
        <is>
          <t>AWD</t>
        </is>
      </c>
      <c r="J1309" t="inlineStr">
        <is>
          <t>Red</t>
        </is>
      </c>
      <c r="K1309" t="n">
        <v>561</v>
      </c>
      <c r="L1309" t="n">
        <v>41</v>
      </c>
      <c r="M1309" t="n">
        <v>23.64</v>
      </c>
      <c r="N1309" t="n">
        <v>5431.02</v>
      </c>
      <c r="O1309" t="n">
        <v>4.09</v>
      </c>
      <c r="P1309" t="n">
        <v>4</v>
      </c>
      <c r="Q1309" t="n">
        <v>1</v>
      </c>
      <c r="R1309" t="n">
        <v>2021.4</v>
      </c>
      <c r="S1309" t="b">
        <v>0</v>
      </c>
      <c r="T1309" t="n">
        <v>4367452</v>
      </c>
      <c r="U1309" t="n">
        <v>6</v>
      </c>
      <c r="V1309" t="n">
        <v>0.0165</v>
      </c>
      <c r="W1309" t="n">
        <v>2.09</v>
      </c>
      <c r="X1309" t="n">
        <v>65.26000000000001</v>
      </c>
      <c r="Y1309">
        <f>VLOOKUP(D1309,$AB$2:$AC$7,2,FALSE)</f>
        <v/>
      </c>
      <c r="Z1309">
        <f>IF(A1309&lt;Y1309,"Yes","No")</f>
        <v/>
      </c>
    </row>
    <row r="1310">
      <c r="A1310" t="n">
        <v>2017</v>
      </c>
      <c r="B1310" t="inlineStr">
        <is>
          <t>Q3</t>
        </is>
      </c>
      <c r="C1310" t="inlineStr">
        <is>
          <t>South America</t>
        </is>
      </c>
      <c r="D1310" t="inlineStr">
        <is>
          <t>Cybertruck</t>
        </is>
      </c>
      <c r="E1310" t="n">
        <v>4701</v>
      </c>
      <c r="F1310" t="n">
        <v>115867.97</v>
      </c>
      <c r="G1310" t="n">
        <v>29</v>
      </c>
      <c r="H1310" t="inlineStr">
        <is>
          <t>Standard</t>
        </is>
      </c>
      <c r="I1310" t="inlineStr">
        <is>
          <t>RWD</t>
        </is>
      </c>
      <c r="J1310" t="inlineStr">
        <is>
          <t>Silver</t>
        </is>
      </c>
      <c r="K1310" t="n">
        <v>450</v>
      </c>
      <c r="L1310" t="n">
        <v>68</v>
      </c>
      <c r="M1310" t="n">
        <v>22.97</v>
      </c>
      <c r="N1310" t="n">
        <v>11533.86</v>
      </c>
      <c r="O1310" t="n">
        <v>4.78</v>
      </c>
      <c r="P1310" t="n">
        <v>6</v>
      </c>
      <c r="Q1310" t="n">
        <v>2</v>
      </c>
      <c r="R1310" t="n">
        <v>2020.1</v>
      </c>
      <c r="S1310" t="b">
        <v>1</v>
      </c>
      <c r="T1310" t="n">
        <v>2237886</v>
      </c>
      <c r="U1310" t="n">
        <v>9</v>
      </c>
      <c r="V1310" t="n">
        <v>0.0342</v>
      </c>
      <c r="W1310" t="n">
        <v>0.67</v>
      </c>
      <c r="X1310" t="n">
        <v>61.93</v>
      </c>
      <c r="Y1310">
        <f>VLOOKUP(D1310,$AB$2:$AC$7,2,FALSE)</f>
        <v/>
      </c>
      <c r="Z1310">
        <f>IF(A1310&lt;Y1310,"Yes","No")</f>
        <v/>
      </c>
    </row>
    <row r="1311">
      <c r="A1311" t="n">
        <v>2022</v>
      </c>
      <c r="B1311" t="inlineStr">
        <is>
          <t>Q2</t>
        </is>
      </c>
      <c r="C1311" t="inlineStr">
        <is>
          <t>Australia</t>
        </is>
      </c>
      <c r="D1311" t="inlineStr">
        <is>
          <t>Model Y</t>
        </is>
      </c>
      <c r="E1311" t="n">
        <v>147</v>
      </c>
      <c r="F1311" t="n">
        <v>53565.53</v>
      </c>
      <c r="G1311" t="n">
        <v>33</v>
      </c>
      <c r="H1311" t="inlineStr">
        <is>
          <t>Long Range</t>
        </is>
      </c>
      <c r="I1311" t="inlineStr">
        <is>
          <t>AWD</t>
        </is>
      </c>
      <c r="J1311" t="inlineStr">
        <is>
          <t>White</t>
        </is>
      </c>
      <c r="K1311" t="n">
        <v>551</v>
      </c>
      <c r="L1311" t="n">
        <v>71</v>
      </c>
      <c r="M1311" t="n">
        <v>18.56</v>
      </c>
      <c r="N1311" t="n">
        <v>200.24</v>
      </c>
      <c r="O1311" t="n">
        <v>3.66</v>
      </c>
      <c r="P1311" t="n">
        <v>6</v>
      </c>
      <c r="Q1311" t="n">
        <v>2</v>
      </c>
      <c r="R1311" t="n">
        <v>2021.4</v>
      </c>
      <c r="S1311" t="b">
        <v>1</v>
      </c>
      <c r="T1311" t="n">
        <v>356936</v>
      </c>
      <c r="U1311" t="n">
        <v>2</v>
      </c>
      <c r="V1311" t="n">
        <v>0.0589</v>
      </c>
      <c r="W1311" t="n">
        <v>1.22</v>
      </c>
      <c r="X1311" t="n">
        <v>88.69</v>
      </c>
      <c r="Y1311">
        <f>VLOOKUP(D1311,$AB$2:$AC$7,2,FALSE)</f>
        <v/>
      </c>
      <c r="Z1311">
        <f>IF(A1311&lt;Y1311,"Yes","No")</f>
        <v/>
      </c>
    </row>
    <row r="1312">
      <c r="A1312" t="n">
        <v>2012</v>
      </c>
      <c r="B1312" t="inlineStr">
        <is>
          <t>Q2</t>
        </is>
      </c>
      <c r="C1312" t="inlineStr">
        <is>
          <t>South America</t>
        </is>
      </c>
      <c r="D1312" t="inlineStr">
        <is>
          <t>Model 3</t>
        </is>
      </c>
      <c r="E1312" t="n">
        <v>2120</v>
      </c>
      <c r="F1312" t="n">
        <v>119509.23</v>
      </c>
      <c r="G1312" t="n">
        <v>35</v>
      </c>
      <c r="H1312" t="inlineStr">
        <is>
          <t>Standard</t>
        </is>
      </c>
      <c r="I1312" t="inlineStr">
        <is>
          <t>RWD</t>
        </is>
      </c>
      <c r="J1312" t="inlineStr">
        <is>
          <t>Black</t>
        </is>
      </c>
      <c r="K1312" t="n">
        <v>437</v>
      </c>
      <c r="L1312" t="n">
        <v>81</v>
      </c>
      <c r="M1312" t="n">
        <v>14.33</v>
      </c>
      <c r="N1312" t="n">
        <v>4825.02</v>
      </c>
      <c r="O1312" t="n">
        <v>4.52</v>
      </c>
      <c r="P1312" t="n">
        <v>5</v>
      </c>
      <c r="Q1312" t="n">
        <v>0</v>
      </c>
      <c r="R1312" t="n">
        <v>2021.11</v>
      </c>
      <c r="S1312" t="b">
        <v>0</v>
      </c>
      <c r="T1312" t="n">
        <v>2025418</v>
      </c>
      <c r="U1312" t="n">
        <v>8</v>
      </c>
      <c r="V1312" t="n">
        <v>0.0983</v>
      </c>
      <c r="W1312" t="n">
        <v>2.02</v>
      </c>
      <c r="X1312" t="n">
        <v>68.72</v>
      </c>
      <c r="Y1312">
        <f>VLOOKUP(D1312,$AB$2:$AC$7,2,FALSE)</f>
        <v/>
      </c>
      <c r="Z1312">
        <f>IF(A1312&lt;Y1312,"Yes","No")</f>
        <v/>
      </c>
    </row>
    <row r="1313">
      <c r="A1313" t="n">
        <v>2017</v>
      </c>
      <c r="B1313" t="inlineStr">
        <is>
          <t>Q2</t>
        </is>
      </c>
      <c r="C1313" t="inlineStr">
        <is>
          <t>Europe</t>
        </is>
      </c>
      <c r="D1313" t="inlineStr">
        <is>
          <t>Model S</t>
        </is>
      </c>
      <c r="E1313" t="n">
        <v>3916</v>
      </c>
      <c r="F1313" t="n">
        <v>46367.42</v>
      </c>
      <c r="G1313" t="n">
        <v>4</v>
      </c>
      <c r="H1313" t="inlineStr">
        <is>
          <t>Performance</t>
        </is>
      </c>
      <c r="I1313" t="inlineStr">
        <is>
          <t>RWD</t>
        </is>
      </c>
      <c r="J1313" t="inlineStr">
        <is>
          <t>Red</t>
        </is>
      </c>
      <c r="K1313" t="n">
        <v>631</v>
      </c>
      <c r="L1313" t="n">
        <v>48</v>
      </c>
      <c r="M1313" t="n">
        <v>14.65</v>
      </c>
      <c r="N1313" t="n">
        <v>5638.73</v>
      </c>
      <c r="O1313" t="n">
        <v>4.74</v>
      </c>
      <c r="P1313" t="n">
        <v>4</v>
      </c>
      <c r="Q1313" t="n">
        <v>3</v>
      </c>
      <c r="R1313" t="n">
        <v>2021.8</v>
      </c>
      <c r="S1313" t="b">
        <v>0</v>
      </c>
      <c r="T1313" t="n">
        <v>1856076</v>
      </c>
      <c r="U1313" t="n">
        <v>12</v>
      </c>
      <c r="V1313" t="n">
        <v>0.0456</v>
      </c>
      <c r="W1313" t="n">
        <v>0.63</v>
      </c>
      <c r="X1313" t="n">
        <v>78.73999999999999</v>
      </c>
      <c r="Y1313">
        <f>VLOOKUP(D1313,$AB$2:$AC$7,2,FALSE)</f>
        <v/>
      </c>
      <c r="Z1313">
        <f>IF(A1313&lt;Y1313,"Yes","No")</f>
        <v/>
      </c>
    </row>
    <row r="1314">
      <c r="A1314" t="n">
        <v>2023</v>
      </c>
      <c r="B1314" t="inlineStr">
        <is>
          <t>Q3</t>
        </is>
      </c>
      <c r="C1314" t="inlineStr">
        <is>
          <t>Asia</t>
        </is>
      </c>
      <c r="D1314" t="inlineStr">
        <is>
          <t>Model X</t>
        </is>
      </c>
      <c r="E1314" t="n">
        <v>798</v>
      </c>
      <c r="F1314" t="n">
        <v>93176.64999999999</v>
      </c>
      <c r="G1314" t="n">
        <v>1</v>
      </c>
      <c r="H1314" t="inlineStr">
        <is>
          <t>Standard</t>
        </is>
      </c>
      <c r="I1314" t="inlineStr">
        <is>
          <t>RWD</t>
        </is>
      </c>
      <c r="J1314" t="inlineStr">
        <is>
          <t>Red</t>
        </is>
      </c>
      <c r="K1314" t="n">
        <v>366</v>
      </c>
      <c r="L1314" t="n">
        <v>62</v>
      </c>
      <c r="M1314" t="n">
        <v>14.38</v>
      </c>
      <c r="N1314" t="n">
        <v>883.51</v>
      </c>
      <c r="O1314" t="n">
        <v>4.31</v>
      </c>
      <c r="P1314" t="n">
        <v>6</v>
      </c>
      <c r="Q1314" t="n">
        <v>1</v>
      </c>
      <c r="R1314" t="n">
        <v>2021.7</v>
      </c>
      <c r="S1314" t="b">
        <v>1</v>
      </c>
      <c r="T1314" t="n">
        <v>1844756</v>
      </c>
      <c r="U1314" t="n">
        <v>2</v>
      </c>
      <c r="V1314" t="n">
        <v>0.0112</v>
      </c>
      <c r="W1314" t="n">
        <v>1.34</v>
      </c>
      <c r="X1314" t="n">
        <v>89.88</v>
      </c>
      <c r="Y1314">
        <f>VLOOKUP(D1314,$AB$2:$AC$7,2,FALSE)</f>
        <v/>
      </c>
      <c r="Z1314">
        <f>IF(A1314&lt;Y1314,"Yes","No")</f>
        <v/>
      </c>
    </row>
    <row r="1315">
      <c r="A1315" t="n">
        <v>2014</v>
      </c>
      <c r="B1315" t="inlineStr">
        <is>
          <t>Q2</t>
        </is>
      </c>
      <c r="C1315" t="inlineStr">
        <is>
          <t>Europe</t>
        </is>
      </c>
      <c r="D1315" t="inlineStr">
        <is>
          <t>Model X</t>
        </is>
      </c>
      <c r="E1315" t="n">
        <v>363</v>
      </c>
      <c r="F1315" t="n">
        <v>48050.96</v>
      </c>
      <c r="G1315" t="n">
        <v>41</v>
      </c>
      <c r="H1315" t="inlineStr">
        <is>
          <t>Performance</t>
        </is>
      </c>
      <c r="I1315" t="inlineStr">
        <is>
          <t>AWD</t>
        </is>
      </c>
      <c r="J1315" t="inlineStr">
        <is>
          <t>Red</t>
        </is>
      </c>
      <c r="K1315" t="n">
        <v>447</v>
      </c>
      <c r="L1315" t="n">
        <v>72</v>
      </c>
      <c r="M1315" t="n">
        <v>16.26</v>
      </c>
      <c r="N1315" t="n">
        <v>284.84</v>
      </c>
      <c r="O1315" t="n">
        <v>4.73</v>
      </c>
      <c r="P1315" t="n">
        <v>6</v>
      </c>
      <c r="Q1315" t="n">
        <v>1</v>
      </c>
      <c r="R1315" t="n">
        <v>2023.6</v>
      </c>
      <c r="S1315" t="b">
        <v>1</v>
      </c>
      <c r="T1315" t="n">
        <v>4917708</v>
      </c>
      <c r="U1315" t="n">
        <v>3</v>
      </c>
      <c r="V1315" t="n">
        <v>0.0983</v>
      </c>
      <c r="W1315" t="n">
        <v>2.04</v>
      </c>
      <c r="X1315" t="n">
        <v>64.25</v>
      </c>
      <c r="Y1315">
        <f>VLOOKUP(D1315,$AB$2:$AC$7,2,FALSE)</f>
        <v/>
      </c>
      <c r="Z1315">
        <f>IF(A1315&lt;Y1315,"Yes","No")</f>
        <v/>
      </c>
    </row>
    <row r="1316">
      <c r="A1316" t="n">
        <v>2020</v>
      </c>
      <c r="B1316" t="inlineStr">
        <is>
          <t>Q1</t>
        </is>
      </c>
      <c r="C1316" t="inlineStr">
        <is>
          <t>South America</t>
        </is>
      </c>
      <c r="D1316" t="inlineStr">
        <is>
          <t>Model S</t>
        </is>
      </c>
      <c r="E1316" t="n">
        <v>3454</v>
      </c>
      <c r="F1316" t="n">
        <v>95304.46000000001</v>
      </c>
      <c r="G1316" t="n">
        <v>14</v>
      </c>
      <c r="H1316" t="inlineStr">
        <is>
          <t>Standard</t>
        </is>
      </c>
      <c r="I1316" t="inlineStr">
        <is>
          <t>RWD</t>
        </is>
      </c>
      <c r="J1316" t="inlineStr">
        <is>
          <t>Blue</t>
        </is>
      </c>
      <c r="K1316" t="n">
        <v>663</v>
      </c>
      <c r="L1316" t="n">
        <v>54</v>
      </c>
      <c r="M1316" t="n">
        <v>23.03</v>
      </c>
      <c r="N1316" t="n">
        <v>4982.36</v>
      </c>
      <c r="O1316" t="n">
        <v>4.51</v>
      </c>
      <c r="P1316" t="n">
        <v>4</v>
      </c>
      <c r="Q1316" t="n">
        <v>1</v>
      </c>
      <c r="R1316" t="n">
        <v>2021.1</v>
      </c>
      <c r="S1316" t="b">
        <v>0</v>
      </c>
      <c r="T1316" t="n">
        <v>3235798</v>
      </c>
      <c r="U1316" t="n">
        <v>6</v>
      </c>
      <c r="V1316" t="n">
        <v>0.0919</v>
      </c>
      <c r="W1316" t="n">
        <v>0.63</v>
      </c>
      <c r="X1316" t="n">
        <v>60.57</v>
      </c>
      <c r="Y1316">
        <f>VLOOKUP(D1316,$AB$2:$AC$7,2,FALSE)</f>
        <v/>
      </c>
      <c r="Z1316">
        <f>IF(A1316&lt;Y1316,"Yes","No")</f>
        <v/>
      </c>
    </row>
    <row r="1317">
      <c r="A1317" t="n">
        <v>2013</v>
      </c>
      <c r="B1317" t="inlineStr">
        <is>
          <t>Q4</t>
        </is>
      </c>
      <c r="C1317" t="inlineStr">
        <is>
          <t>Australia</t>
        </is>
      </c>
      <c r="D1317" t="inlineStr">
        <is>
          <t>Model X</t>
        </is>
      </c>
      <c r="E1317" t="n">
        <v>4803</v>
      </c>
      <c r="F1317" t="n">
        <v>74466.16</v>
      </c>
      <c r="G1317" t="n">
        <v>1</v>
      </c>
      <c r="H1317" t="inlineStr">
        <is>
          <t>Performance</t>
        </is>
      </c>
      <c r="I1317" t="inlineStr">
        <is>
          <t>RWD</t>
        </is>
      </c>
      <c r="J1317" t="inlineStr">
        <is>
          <t>White</t>
        </is>
      </c>
      <c r="K1317" t="n">
        <v>519</v>
      </c>
      <c r="L1317" t="n">
        <v>65</v>
      </c>
      <c r="M1317" t="n">
        <v>13.33</v>
      </c>
      <c r="N1317" t="n">
        <v>5563.77</v>
      </c>
      <c r="O1317" t="n">
        <v>4.48</v>
      </c>
      <c r="P1317" t="n">
        <v>8</v>
      </c>
      <c r="Q1317" t="n">
        <v>3</v>
      </c>
      <c r="R1317" t="n">
        <v>2022.3</v>
      </c>
      <c r="S1317" t="b">
        <v>0</v>
      </c>
      <c r="T1317" t="n">
        <v>1525697</v>
      </c>
      <c r="U1317" t="n">
        <v>10</v>
      </c>
      <c r="V1317" t="n">
        <v>0.0103</v>
      </c>
      <c r="W1317" t="n">
        <v>0.76</v>
      </c>
      <c r="X1317" t="n">
        <v>62.88</v>
      </c>
      <c r="Y1317">
        <f>VLOOKUP(D1317,$AB$2:$AC$7,2,FALSE)</f>
        <v/>
      </c>
      <c r="Z1317">
        <f>IF(A1317&lt;Y1317,"Yes","No")</f>
        <v/>
      </c>
    </row>
    <row r="1318">
      <c r="A1318" t="n">
        <v>2017</v>
      </c>
      <c r="B1318" t="inlineStr">
        <is>
          <t>Q1</t>
        </is>
      </c>
      <c r="C1318" t="inlineStr">
        <is>
          <t>Asia</t>
        </is>
      </c>
      <c r="D1318" t="inlineStr">
        <is>
          <t>Model S</t>
        </is>
      </c>
      <c r="E1318" t="n">
        <v>3391</v>
      </c>
      <c r="F1318" t="n">
        <v>87298.28</v>
      </c>
      <c r="G1318" t="n">
        <v>45</v>
      </c>
      <c r="H1318" t="inlineStr">
        <is>
          <t>Long Range</t>
        </is>
      </c>
      <c r="I1318" t="inlineStr">
        <is>
          <t>AWD</t>
        </is>
      </c>
      <c r="J1318" t="inlineStr">
        <is>
          <t>Green</t>
        </is>
      </c>
      <c r="K1318" t="n">
        <v>449</v>
      </c>
      <c r="L1318" t="n">
        <v>37</v>
      </c>
      <c r="M1318" t="n">
        <v>16.96</v>
      </c>
      <c r="N1318" t="n">
        <v>2797.09</v>
      </c>
      <c r="O1318" t="n">
        <v>4</v>
      </c>
      <c r="P1318" t="n">
        <v>5</v>
      </c>
      <c r="Q1318" t="n">
        <v>1</v>
      </c>
      <c r="R1318" t="n">
        <v>2021.3</v>
      </c>
      <c r="S1318" t="b">
        <v>1</v>
      </c>
      <c r="T1318" t="n">
        <v>2821073</v>
      </c>
      <c r="U1318" t="n">
        <v>10</v>
      </c>
      <c r="V1318" t="n">
        <v>0.0854</v>
      </c>
      <c r="W1318" t="n">
        <v>0.89</v>
      </c>
      <c r="X1318" t="n">
        <v>73.68000000000001</v>
      </c>
      <c r="Y1318">
        <f>VLOOKUP(D1318,$AB$2:$AC$7,2,FALSE)</f>
        <v/>
      </c>
      <c r="Z1318">
        <f>IF(A1318&lt;Y1318,"Yes","No")</f>
        <v/>
      </c>
    </row>
    <row r="1319">
      <c r="A1319" t="n">
        <v>2019</v>
      </c>
      <c r="B1319" t="inlineStr">
        <is>
          <t>Q3</t>
        </is>
      </c>
      <c r="C1319" t="inlineStr">
        <is>
          <t>Europe</t>
        </is>
      </c>
      <c r="D1319" t="inlineStr">
        <is>
          <t>Model X</t>
        </is>
      </c>
      <c r="E1319" t="n">
        <v>2270</v>
      </c>
      <c r="F1319" t="n">
        <v>97914.45</v>
      </c>
      <c r="G1319" t="n">
        <v>44</v>
      </c>
      <c r="H1319" t="inlineStr">
        <is>
          <t>Performance</t>
        </is>
      </c>
      <c r="I1319" t="inlineStr">
        <is>
          <t>RWD</t>
        </is>
      </c>
      <c r="J1319" t="inlineStr">
        <is>
          <t>Blue</t>
        </is>
      </c>
      <c r="K1319" t="n">
        <v>557</v>
      </c>
      <c r="L1319" t="n">
        <v>41</v>
      </c>
      <c r="M1319" t="n">
        <v>24.26</v>
      </c>
      <c r="N1319" t="n">
        <v>4522.53</v>
      </c>
      <c r="O1319" t="n">
        <v>4.51</v>
      </c>
      <c r="P1319" t="n">
        <v>6</v>
      </c>
      <c r="Q1319" t="n">
        <v>0</v>
      </c>
      <c r="R1319" t="n">
        <v>2020.2</v>
      </c>
      <c r="S1319" t="b">
        <v>1</v>
      </c>
      <c r="T1319" t="n">
        <v>2864986</v>
      </c>
      <c r="U1319" t="n">
        <v>4</v>
      </c>
      <c r="V1319" t="n">
        <v>0.0835</v>
      </c>
      <c r="W1319" t="n">
        <v>1.14</v>
      </c>
      <c r="X1319" t="n">
        <v>80.56999999999999</v>
      </c>
      <c r="Y1319">
        <f>VLOOKUP(D1319,$AB$2:$AC$7,2,FALSE)</f>
        <v/>
      </c>
      <c r="Z1319">
        <f>IF(A1319&lt;Y1319,"Yes","No")</f>
        <v/>
      </c>
    </row>
    <row r="1320">
      <c r="A1320" t="n">
        <v>2014</v>
      </c>
      <c r="B1320" t="inlineStr">
        <is>
          <t>Q4</t>
        </is>
      </c>
      <c r="C1320" t="inlineStr">
        <is>
          <t>Australia</t>
        </is>
      </c>
      <c r="D1320" t="inlineStr">
        <is>
          <t>Semi</t>
        </is>
      </c>
      <c r="E1320" t="n">
        <v>4500</v>
      </c>
      <c r="F1320" t="n">
        <v>81933.88</v>
      </c>
      <c r="G1320" t="n">
        <v>11</v>
      </c>
      <c r="H1320" t="inlineStr">
        <is>
          <t>Long Range</t>
        </is>
      </c>
      <c r="I1320" t="inlineStr">
        <is>
          <t>AWD</t>
        </is>
      </c>
      <c r="J1320" t="inlineStr">
        <is>
          <t>Black</t>
        </is>
      </c>
      <c r="K1320" t="n">
        <v>392</v>
      </c>
      <c r="L1320" t="n">
        <v>58</v>
      </c>
      <c r="M1320" t="n">
        <v>16.32</v>
      </c>
      <c r="N1320" t="n">
        <v>7538.05</v>
      </c>
      <c r="O1320" t="n">
        <v>4.95</v>
      </c>
      <c r="P1320" t="n">
        <v>4</v>
      </c>
      <c r="Q1320" t="n">
        <v>2</v>
      </c>
      <c r="R1320" t="n">
        <v>2022.9</v>
      </c>
      <c r="S1320" t="b">
        <v>1</v>
      </c>
      <c r="T1320" t="n">
        <v>4050093</v>
      </c>
      <c r="U1320" t="n">
        <v>3</v>
      </c>
      <c r="V1320" t="n">
        <v>0.0853</v>
      </c>
      <c r="W1320" t="n">
        <v>1.36</v>
      </c>
      <c r="X1320" t="n">
        <v>83.98</v>
      </c>
      <c r="Y1320">
        <f>VLOOKUP(D1320,$AB$2:$AC$7,2,FALSE)</f>
        <v/>
      </c>
      <c r="Z1320">
        <f>IF(A1320&lt;Y1320,"Yes","No")</f>
        <v/>
      </c>
    </row>
    <row r="1321">
      <c r="A1321" t="n">
        <v>2016</v>
      </c>
      <c r="B1321" t="inlineStr">
        <is>
          <t>Q2</t>
        </is>
      </c>
      <c r="C1321" t="inlineStr">
        <is>
          <t>Europe</t>
        </is>
      </c>
      <c r="D1321" t="inlineStr">
        <is>
          <t>Cybertruck</t>
        </is>
      </c>
      <c r="E1321" t="n">
        <v>1853</v>
      </c>
      <c r="F1321" t="n">
        <v>66277.98</v>
      </c>
      <c r="G1321" t="n">
        <v>44</v>
      </c>
      <c r="H1321" t="inlineStr">
        <is>
          <t>Long Range</t>
        </is>
      </c>
      <c r="I1321" t="inlineStr">
        <is>
          <t>RWD</t>
        </is>
      </c>
      <c r="J1321" t="inlineStr">
        <is>
          <t>Green</t>
        </is>
      </c>
      <c r="K1321" t="n">
        <v>536</v>
      </c>
      <c r="L1321" t="n">
        <v>68</v>
      </c>
      <c r="M1321" t="n">
        <v>23.55</v>
      </c>
      <c r="N1321" t="n">
        <v>1093.99</v>
      </c>
      <c r="O1321" t="n">
        <v>4.6</v>
      </c>
      <c r="P1321" t="n">
        <v>6</v>
      </c>
      <c r="Q1321" t="n">
        <v>3</v>
      </c>
      <c r="R1321" t="n">
        <v>2023.6</v>
      </c>
      <c r="S1321" t="b">
        <v>0</v>
      </c>
      <c r="T1321" t="n">
        <v>4260123</v>
      </c>
      <c r="U1321" t="n">
        <v>11</v>
      </c>
      <c r="V1321" t="n">
        <v>0.06469999999999999</v>
      </c>
      <c r="W1321" t="n">
        <v>2.21</v>
      </c>
      <c r="X1321" t="n">
        <v>63.21</v>
      </c>
      <c r="Y1321">
        <f>VLOOKUP(D1321,$AB$2:$AC$7,2,FALSE)</f>
        <v/>
      </c>
      <c r="Z1321">
        <f>IF(A1321&lt;Y1321,"Yes","No")</f>
        <v/>
      </c>
    </row>
    <row r="1322">
      <c r="A1322" t="n">
        <v>2015</v>
      </c>
      <c r="B1322" t="inlineStr">
        <is>
          <t>Q4</t>
        </is>
      </c>
      <c r="C1322" t="inlineStr">
        <is>
          <t>South America</t>
        </is>
      </c>
      <c r="D1322" t="inlineStr">
        <is>
          <t>Cybertruck</t>
        </is>
      </c>
      <c r="E1322" t="n">
        <v>1880</v>
      </c>
      <c r="F1322" t="n">
        <v>36557.32</v>
      </c>
      <c r="G1322" t="n">
        <v>19</v>
      </c>
      <c r="H1322" t="inlineStr">
        <is>
          <t>Long Range</t>
        </is>
      </c>
      <c r="I1322" t="inlineStr">
        <is>
          <t>RWD</t>
        </is>
      </c>
      <c r="J1322" t="inlineStr">
        <is>
          <t>Blue</t>
        </is>
      </c>
      <c r="K1322" t="n">
        <v>423</v>
      </c>
      <c r="L1322" t="n">
        <v>58</v>
      </c>
      <c r="M1322" t="n">
        <v>23.49</v>
      </c>
      <c r="N1322" t="n">
        <v>2162.52</v>
      </c>
      <c r="O1322" t="n">
        <v>4.8</v>
      </c>
      <c r="P1322" t="n">
        <v>4</v>
      </c>
      <c r="Q1322" t="n">
        <v>0</v>
      </c>
      <c r="R1322" t="n">
        <v>2023.1</v>
      </c>
      <c r="S1322" t="b">
        <v>0</v>
      </c>
      <c r="T1322" t="n">
        <v>4551053</v>
      </c>
      <c r="U1322" t="n">
        <v>11</v>
      </c>
      <c r="V1322" t="n">
        <v>0.0518</v>
      </c>
      <c r="W1322" t="n">
        <v>2.4</v>
      </c>
      <c r="X1322" t="n">
        <v>83.94</v>
      </c>
      <c r="Y1322">
        <f>VLOOKUP(D1322,$AB$2:$AC$7,2,FALSE)</f>
        <v/>
      </c>
      <c r="Z1322">
        <f>IF(A1322&lt;Y1322,"Yes","No")</f>
        <v/>
      </c>
    </row>
    <row r="1323">
      <c r="A1323" t="n">
        <v>2013</v>
      </c>
      <c r="B1323" t="inlineStr">
        <is>
          <t>Q3</t>
        </is>
      </c>
      <c r="C1323" t="inlineStr">
        <is>
          <t>Europe</t>
        </is>
      </c>
      <c r="D1323" t="inlineStr">
        <is>
          <t>Model 3</t>
        </is>
      </c>
      <c r="E1323" t="n">
        <v>1002</v>
      </c>
      <c r="F1323" t="n">
        <v>101009.95</v>
      </c>
      <c r="G1323" t="n">
        <v>12</v>
      </c>
      <c r="H1323" t="inlineStr">
        <is>
          <t>Long Range</t>
        </is>
      </c>
      <c r="I1323" t="inlineStr">
        <is>
          <t>RWD</t>
        </is>
      </c>
      <c r="J1323" t="inlineStr">
        <is>
          <t>Red</t>
        </is>
      </c>
      <c r="K1323" t="n">
        <v>353</v>
      </c>
      <c r="L1323" t="n">
        <v>88</v>
      </c>
      <c r="M1323" t="n">
        <v>19.17</v>
      </c>
      <c r="N1323" t="n">
        <v>1046.68</v>
      </c>
      <c r="O1323" t="n">
        <v>4.15</v>
      </c>
      <c r="P1323" t="n">
        <v>4</v>
      </c>
      <c r="Q1323" t="n">
        <v>1</v>
      </c>
      <c r="R1323" t="n">
        <v>2024.11</v>
      </c>
      <c r="S1323" t="b">
        <v>1</v>
      </c>
      <c r="T1323" t="n">
        <v>158992</v>
      </c>
      <c r="U1323" t="n">
        <v>12</v>
      </c>
      <c r="V1323" t="n">
        <v>0.099</v>
      </c>
      <c r="W1323" t="n">
        <v>1.49</v>
      </c>
      <c r="X1323" t="n">
        <v>71.70999999999999</v>
      </c>
      <c r="Y1323">
        <f>VLOOKUP(D1323,$AB$2:$AC$7,2,FALSE)</f>
        <v/>
      </c>
      <c r="Z1323">
        <f>IF(A1323&lt;Y1323,"Yes","No")</f>
        <v/>
      </c>
    </row>
    <row r="1324">
      <c r="A1324" t="n">
        <v>2013</v>
      </c>
      <c r="B1324" t="inlineStr">
        <is>
          <t>Q1</t>
        </is>
      </c>
      <c r="C1324" t="inlineStr">
        <is>
          <t>Europe</t>
        </is>
      </c>
      <c r="D1324" t="inlineStr">
        <is>
          <t>Semi</t>
        </is>
      </c>
      <c r="E1324" t="n">
        <v>4737</v>
      </c>
      <c r="F1324" t="n">
        <v>86365.33</v>
      </c>
      <c r="G1324" t="n">
        <v>40</v>
      </c>
      <c r="H1324" t="inlineStr">
        <is>
          <t>Long Range</t>
        </is>
      </c>
      <c r="I1324" t="inlineStr">
        <is>
          <t>AWD</t>
        </is>
      </c>
      <c r="J1324" t="inlineStr">
        <is>
          <t>Blue</t>
        </is>
      </c>
      <c r="K1324" t="n">
        <v>403</v>
      </c>
      <c r="L1324" t="n">
        <v>70</v>
      </c>
      <c r="M1324" t="n">
        <v>23.88</v>
      </c>
      <c r="N1324" t="n">
        <v>5479.38</v>
      </c>
      <c r="O1324" t="n">
        <v>4.09</v>
      </c>
      <c r="P1324" t="n">
        <v>4</v>
      </c>
      <c r="Q1324" t="n">
        <v>1</v>
      </c>
      <c r="R1324" t="n">
        <v>2021.9</v>
      </c>
      <c r="S1324" t="b">
        <v>0</v>
      </c>
      <c r="T1324" t="n">
        <v>4638263</v>
      </c>
      <c r="U1324" t="n">
        <v>10</v>
      </c>
      <c r="V1324" t="n">
        <v>0.0709</v>
      </c>
      <c r="W1324" t="n">
        <v>2.27</v>
      </c>
      <c r="X1324" t="n">
        <v>64.37</v>
      </c>
      <c r="Y1324">
        <f>VLOOKUP(D1324,$AB$2:$AC$7,2,FALSE)</f>
        <v/>
      </c>
      <c r="Z1324">
        <f>IF(A1324&lt;Y1324,"Yes","No")</f>
        <v/>
      </c>
    </row>
    <row r="1325">
      <c r="A1325" t="n">
        <v>2017</v>
      </c>
      <c r="B1325" t="inlineStr">
        <is>
          <t>Q4</t>
        </is>
      </c>
      <c r="C1325" t="inlineStr">
        <is>
          <t>South America</t>
        </is>
      </c>
      <c r="D1325" t="inlineStr">
        <is>
          <t>Semi</t>
        </is>
      </c>
      <c r="E1325" t="n">
        <v>909</v>
      </c>
      <c r="F1325" t="n">
        <v>81418.35000000001</v>
      </c>
      <c r="G1325" t="n">
        <v>49</v>
      </c>
      <c r="H1325" t="inlineStr">
        <is>
          <t>Long Range</t>
        </is>
      </c>
      <c r="I1325" t="inlineStr">
        <is>
          <t>AWD</t>
        </is>
      </c>
      <c r="J1325" t="inlineStr">
        <is>
          <t>Silver</t>
        </is>
      </c>
      <c r="K1325" t="n">
        <v>589</v>
      </c>
      <c r="L1325" t="n">
        <v>55</v>
      </c>
      <c r="M1325" t="n">
        <v>21.36</v>
      </c>
      <c r="N1325" t="n">
        <v>547.49</v>
      </c>
      <c r="O1325" t="n">
        <v>4.86</v>
      </c>
      <c r="P1325" t="n">
        <v>4</v>
      </c>
      <c r="Q1325" t="n">
        <v>0</v>
      </c>
      <c r="R1325" t="n">
        <v>2023.4</v>
      </c>
      <c r="S1325" t="b">
        <v>0</v>
      </c>
      <c r="T1325" t="n">
        <v>2487122</v>
      </c>
      <c r="U1325" t="n">
        <v>11</v>
      </c>
      <c r="V1325" t="n">
        <v>0.0624</v>
      </c>
      <c r="W1325" t="n">
        <v>1.72</v>
      </c>
      <c r="X1325" t="n">
        <v>83.48999999999999</v>
      </c>
      <c r="Y1325">
        <f>VLOOKUP(D1325,$AB$2:$AC$7,2,FALSE)</f>
        <v/>
      </c>
      <c r="Z1325">
        <f>IF(A1325&lt;Y1325,"Yes","No")</f>
        <v/>
      </c>
    </row>
    <row r="1326">
      <c r="A1326" t="n">
        <v>2023</v>
      </c>
      <c r="B1326" t="inlineStr">
        <is>
          <t>Q3</t>
        </is>
      </c>
      <c r="C1326" t="inlineStr">
        <is>
          <t>Asia</t>
        </is>
      </c>
      <c r="D1326" t="inlineStr">
        <is>
          <t>Model X</t>
        </is>
      </c>
      <c r="E1326" t="n">
        <v>3839</v>
      </c>
      <c r="F1326" t="n">
        <v>93139.24000000001</v>
      </c>
      <c r="G1326" t="n">
        <v>41</v>
      </c>
      <c r="H1326" t="inlineStr">
        <is>
          <t>Performance</t>
        </is>
      </c>
      <c r="I1326" t="inlineStr">
        <is>
          <t>RWD</t>
        </is>
      </c>
      <c r="J1326" t="inlineStr">
        <is>
          <t>White</t>
        </is>
      </c>
      <c r="K1326" t="n">
        <v>491</v>
      </c>
      <c r="L1326" t="n">
        <v>37</v>
      </c>
      <c r="M1326" t="n">
        <v>23.2</v>
      </c>
      <c r="N1326" t="n">
        <v>2251.3</v>
      </c>
      <c r="O1326" t="n">
        <v>4.1</v>
      </c>
      <c r="P1326" t="n">
        <v>5</v>
      </c>
      <c r="Q1326" t="n">
        <v>3</v>
      </c>
      <c r="R1326" t="n">
        <v>2021.7</v>
      </c>
      <c r="S1326" t="b">
        <v>0</v>
      </c>
      <c r="T1326" t="n">
        <v>2489153</v>
      </c>
      <c r="U1326" t="n">
        <v>12</v>
      </c>
      <c r="V1326" t="n">
        <v>0.0309</v>
      </c>
      <c r="W1326" t="n">
        <v>2.04</v>
      </c>
      <c r="X1326" t="n">
        <v>84.91</v>
      </c>
      <c r="Y1326">
        <f>VLOOKUP(D1326,$AB$2:$AC$7,2,FALSE)</f>
        <v/>
      </c>
      <c r="Z1326">
        <f>IF(A1326&lt;Y1326,"Yes","No")</f>
        <v/>
      </c>
    </row>
    <row r="1327">
      <c r="A1327" t="n">
        <v>2021</v>
      </c>
      <c r="B1327" t="inlineStr">
        <is>
          <t>Q1</t>
        </is>
      </c>
      <c r="C1327" t="inlineStr">
        <is>
          <t>Australia</t>
        </is>
      </c>
      <c r="D1327" t="inlineStr">
        <is>
          <t>Model S</t>
        </is>
      </c>
      <c r="E1327" t="n">
        <v>2172</v>
      </c>
      <c r="F1327" t="n">
        <v>56206.28</v>
      </c>
      <c r="G1327" t="n">
        <v>37</v>
      </c>
      <c r="H1327" t="inlineStr">
        <is>
          <t>Performance</t>
        </is>
      </c>
      <c r="I1327" t="inlineStr">
        <is>
          <t>AWD</t>
        </is>
      </c>
      <c r="J1327" t="inlineStr">
        <is>
          <t>Silver</t>
        </is>
      </c>
      <c r="K1327" t="n">
        <v>614</v>
      </c>
      <c r="L1327" t="n">
        <v>51</v>
      </c>
      <c r="M1327" t="n">
        <v>24.46</v>
      </c>
      <c r="N1327" t="n">
        <v>3852.39</v>
      </c>
      <c r="O1327" t="n">
        <v>4.79</v>
      </c>
      <c r="P1327" t="n">
        <v>4</v>
      </c>
      <c r="Q1327" t="n">
        <v>3</v>
      </c>
      <c r="R1327" t="n">
        <v>2024.12</v>
      </c>
      <c r="S1327" t="b">
        <v>0</v>
      </c>
      <c r="T1327" t="n">
        <v>3152398</v>
      </c>
      <c r="U1327" t="n">
        <v>10</v>
      </c>
      <c r="V1327" t="n">
        <v>0.08699999999999999</v>
      </c>
      <c r="W1327" t="n">
        <v>1.4</v>
      </c>
      <c r="X1327" t="n">
        <v>82.69</v>
      </c>
      <c r="Y1327">
        <f>VLOOKUP(D1327,$AB$2:$AC$7,2,FALSE)</f>
        <v/>
      </c>
      <c r="Z1327">
        <f>IF(A1327&lt;Y1327,"Yes","No")</f>
        <v/>
      </c>
    </row>
    <row r="1328">
      <c r="A1328" t="n">
        <v>2022</v>
      </c>
      <c r="B1328" t="inlineStr">
        <is>
          <t>Q4</t>
        </is>
      </c>
      <c r="C1328" t="inlineStr">
        <is>
          <t>Asia</t>
        </is>
      </c>
      <c r="D1328" t="inlineStr">
        <is>
          <t>Model Y</t>
        </is>
      </c>
      <c r="E1328" t="n">
        <v>4573</v>
      </c>
      <c r="F1328" t="n">
        <v>41123.69</v>
      </c>
      <c r="G1328" t="n">
        <v>30</v>
      </c>
      <c r="H1328" t="inlineStr">
        <is>
          <t>Performance</t>
        </is>
      </c>
      <c r="I1328" t="inlineStr">
        <is>
          <t>RWD</t>
        </is>
      </c>
      <c r="J1328" t="inlineStr">
        <is>
          <t>Black</t>
        </is>
      </c>
      <c r="K1328" t="n">
        <v>506</v>
      </c>
      <c r="L1328" t="n">
        <v>73</v>
      </c>
      <c r="M1328" t="n">
        <v>13.47</v>
      </c>
      <c r="N1328" t="n">
        <v>9978.360000000001</v>
      </c>
      <c r="O1328" t="n">
        <v>4.54</v>
      </c>
      <c r="P1328" t="n">
        <v>4</v>
      </c>
      <c r="Q1328" t="n">
        <v>3</v>
      </c>
      <c r="R1328" t="n">
        <v>2020.11</v>
      </c>
      <c r="S1328" t="b">
        <v>0</v>
      </c>
      <c r="T1328" t="n">
        <v>4006505</v>
      </c>
      <c r="U1328" t="n">
        <v>8</v>
      </c>
      <c r="V1328" t="n">
        <v>0.0185</v>
      </c>
      <c r="W1328" t="n">
        <v>2.34</v>
      </c>
      <c r="X1328" t="n">
        <v>79.09999999999999</v>
      </c>
      <c r="Y1328">
        <f>VLOOKUP(D1328,$AB$2:$AC$7,2,FALSE)</f>
        <v/>
      </c>
      <c r="Z1328">
        <f>IF(A1328&lt;Y1328,"Yes","No")</f>
        <v/>
      </c>
    </row>
    <row r="1329">
      <c r="A1329" t="n">
        <v>2015</v>
      </c>
      <c r="B1329" t="inlineStr">
        <is>
          <t>Q3</t>
        </is>
      </c>
      <c r="C1329" t="inlineStr">
        <is>
          <t>North America</t>
        </is>
      </c>
      <c r="D1329" t="inlineStr">
        <is>
          <t>Semi</t>
        </is>
      </c>
      <c r="E1329" t="n">
        <v>71</v>
      </c>
      <c r="F1329" t="n">
        <v>76814.00999999999</v>
      </c>
      <c r="G1329" t="n">
        <v>34</v>
      </c>
      <c r="H1329" t="inlineStr">
        <is>
          <t>Standard</t>
        </is>
      </c>
      <c r="I1329" t="inlineStr">
        <is>
          <t>RWD</t>
        </is>
      </c>
      <c r="J1329" t="inlineStr">
        <is>
          <t>Silver</t>
        </is>
      </c>
      <c r="K1329" t="n">
        <v>430</v>
      </c>
      <c r="L1329" t="n">
        <v>39</v>
      </c>
      <c r="M1329" t="n">
        <v>15.29</v>
      </c>
      <c r="N1329" t="n">
        <v>137.1</v>
      </c>
      <c r="O1329" t="n">
        <v>4.25</v>
      </c>
      <c r="P1329" t="n">
        <v>6</v>
      </c>
      <c r="Q1329" t="n">
        <v>0</v>
      </c>
      <c r="R1329" t="n">
        <v>2021.4</v>
      </c>
      <c r="S1329" t="b">
        <v>0</v>
      </c>
      <c r="T1329" t="n">
        <v>4979173</v>
      </c>
      <c r="U1329" t="n">
        <v>11</v>
      </c>
      <c r="V1329" t="n">
        <v>0.0644</v>
      </c>
      <c r="W1329" t="n">
        <v>0.76</v>
      </c>
      <c r="X1329" t="n">
        <v>76.63</v>
      </c>
      <c r="Y1329">
        <f>VLOOKUP(D1329,$AB$2:$AC$7,2,FALSE)</f>
        <v/>
      </c>
      <c r="Z1329">
        <f>IF(A1329&lt;Y1329,"Yes","No")</f>
        <v/>
      </c>
    </row>
    <row r="1330">
      <c r="A1330" t="n">
        <v>2022</v>
      </c>
      <c r="B1330" t="inlineStr">
        <is>
          <t>Q1</t>
        </is>
      </c>
      <c r="C1330" t="inlineStr">
        <is>
          <t>Europe</t>
        </is>
      </c>
      <c r="D1330" t="inlineStr">
        <is>
          <t>Model 3</t>
        </is>
      </c>
      <c r="E1330" t="n">
        <v>762</v>
      </c>
      <c r="F1330" t="n">
        <v>100023.24</v>
      </c>
      <c r="G1330" t="n">
        <v>8</v>
      </c>
      <c r="H1330" t="inlineStr">
        <is>
          <t>Performance</t>
        </is>
      </c>
      <c r="I1330" t="inlineStr">
        <is>
          <t>RWD</t>
        </is>
      </c>
      <c r="J1330" t="inlineStr">
        <is>
          <t>White</t>
        </is>
      </c>
      <c r="K1330" t="n">
        <v>450</v>
      </c>
      <c r="L1330" t="n">
        <v>40</v>
      </c>
      <c r="M1330" t="n">
        <v>18.5</v>
      </c>
      <c r="N1330" t="n">
        <v>858.87</v>
      </c>
      <c r="O1330" t="n">
        <v>4.51</v>
      </c>
      <c r="P1330" t="n">
        <v>6</v>
      </c>
      <c r="Q1330" t="n">
        <v>0</v>
      </c>
      <c r="R1330" t="n">
        <v>2022.1</v>
      </c>
      <c r="S1330" t="b">
        <v>0</v>
      </c>
      <c r="T1330" t="n">
        <v>1407575</v>
      </c>
      <c r="U1330" t="n">
        <v>6</v>
      </c>
      <c r="V1330" t="n">
        <v>0.0635</v>
      </c>
      <c r="W1330" t="n">
        <v>0.61</v>
      </c>
      <c r="X1330" t="n">
        <v>64.19</v>
      </c>
      <c r="Y1330">
        <f>VLOOKUP(D1330,$AB$2:$AC$7,2,FALSE)</f>
        <v/>
      </c>
      <c r="Z1330">
        <f>IF(A1330&lt;Y1330,"Yes","No")</f>
        <v/>
      </c>
    </row>
    <row r="1331">
      <c r="A1331" t="n">
        <v>2014</v>
      </c>
      <c r="B1331" t="inlineStr">
        <is>
          <t>Q2</t>
        </is>
      </c>
      <c r="C1331" t="inlineStr">
        <is>
          <t>Asia</t>
        </is>
      </c>
      <c r="D1331" t="inlineStr">
        <is>
          <t>Model Y</t>
        </is>
      </c>
      <c r="E1331" t="n">
        <v>4041</v>
      </c>
      <c r="F1331" t="n">
        <v>41361.11</v>
      </c>
      <c r="G1331" t="n">
        <v>27</v>
      </c>
      <c r="H1331" t="inlineStr">
        <is>
          <t>Performance</t>
        </is>
      </c>
      <c r="I1331" t="inlineStr">
        <is>
          <t>RWD</t>
        </is>
      </c>
      <c r="J1331" t="inlineStr">
        <is>
          <t>Red</t>
        </is>
      </c>
      <c r="K1331" t="n">
        <v>649</v>
      </c>
      <c r="L1331" t="n">
        <v>45</v>
      </c>
      <c r="M1331" t="n">
        <v>21.52</v>
      </c>
      <c r="N1331" t="n">
        <v>4557.95</v>
      </c>
      <c r="O1331" t="n">
        <v>4.02</v>
      </c>
      <c r="P1331" t="n">
        <v>8</v>
      </c>
      <c r="Q1331" t="n">
        <v>0</v>
      </c>
      <c r="R1331" t="n">
        <v>2021.1</v>
      </c>
      <c r="S1331" t="b">
        <v>1</v>
      </c>
      <c r="T1331" t="n">
        <v>3548332</v>
      </c>
      <c r="U1331" t="n">
        <v>3</v>
      </c>
      <c r="V1331" t="n">
        <v>0.0523</v>
      </c>
      <c r="W1331" t="n">
        <v>0.65</v>
      </c>
      <c r="X1331" t="n">
        <v>72.54000000000001</v>
      </c>
      <c r="Y1331">
        <f>VLOOKUP(D1331,$AB$2:$AC$7,2,FALSE)</f>
        <v/>
      </c>
      <c r="Z1331">
        <f>IF(A1331&lt;Y1331,"Yes","No")</f>
        <v/>
      </c>
    </row>
    <row r="1332">
      <c r="A1332" t="n">
        <v>2016</v>
      </c>
      <c r="B1332" t="inlineStr">
        <is>
          <t>Q3</t>
        </is>
      </c>
      <c r="C1332" t="inlineStr">
        <is>
          <t>Asia</t>
        </is>
      </c>
      <c r="D1332" t="inlineStr">
        <is>
          <t>Cybertruck</t>
        </is>
      </c>
      <c r="E1332" t="n">
        <v>2295</v>
      </c>
      <c r="F1332" t="n">
        <v>102942.26</v>
      </c>
      <c r="G1332" t="n">
        <v>51</v>
      </c>
      <c r="H1332" t="inlineStr">
        <is>
          <t>Long Range</t>
        </is>
      </c>
      <c r="I1332" t="inlineStr">
        <is>
          <t>AWD</t>
        </is>
      </c>
      <c r="J1332" t="inlineStr">
        <is>
          <t>Black</t>
        </is>
      </c>
      <c r="K1332" t="n">
        <v>405</v>
      </c>
      <c r="L1332" t="n">
        <v>65</v>
      </c>
      <c r="M1332" t="n">
        <v>19.76</v>
      </c>
      <c r="N1332" t="n">
        <v>5403.22</v>
      </c>
      <c r="O1332" t="n">
        <v>4.4</v>
      </c>
      <c r="P1332" t="n">
        <v>5</v>
      </c>
      <c r="Q1332" t="n">
        <v>3</v>
      </c>
      <c r="R1332" t="n">
        <v>2020.7</v>
      </c>
      <c r="S1332" t="b">
        <v>0</v>
      </c>
      <c r="T1332" t="n">
        <v>348837</v>
      </c>
      <c r="U1332" t="n">
        <v>9</v>
      </c>
      <c r="V1332" t="n">
        <v>0.0761</v>
      </c>
      <c r="W1332" t="n">
        <v>0.71</v>
      </c>
      <c r="X1332" t="n">
        <v>64.61</v>
      </c>
      <c r="Y1332">
        <f>VLOOKUP(D1332,$AB$2:$AC$7,2,FALSE)</f>
        <v/>
      </c>
      <c r="Z1332">
        <f>IF(A1332&lt;Y1332,"Yes","No")</f>
        <v/>
      </c>
    </row>
    <row r="1333">
      <c r="A1333" t="n">
        <v>2014</v>
      </c>
      <c r="B1333" t="inlineStr">
        <is>
          <t>Q2</t>
        </is>
      </c>
      <c r="C1333" t="inlineStr">
        <is>
          <t>North America</t>
        </is>
      </c>
      <c r="D1333" t="inlineStr">
        <is>
          <t>Model X</t>
        </is>
      </c>
      <c r="E1333" t="n">
        <v>3213</v>
      </c>
      <c r="F1333" t="n">
        <v>60163.37</v>
      </c>
      <c r="G1333" t="n">
        <v>26</v>
      </c>
      <c r="H1333" t="inlineStr">
        <is>
          <t>Performance</t>
        </is>
      </c>
      <c r="I1333" t="inlineStr">
        <is>
          <t>RWD</t>
        </is>
      </c>
      <c r="J1333" t="inlineStr">
        <is>
          <t>Black</t>
        </is>
      </c>
      <c r="K1333" t="n">
        <v>693</v>
      </c>
      <c r="L1333" t="n">
        <v>30</v>
      </c>
      <c r="M1333" t="n">
        <v>24.24</v>
      </c>
      <c r="N1333" t="n">
        <v>3990.41</v>
      </c>
      <c r="O1333" t="n">
        <v>3.99</v>
      </c>
      <c r="P1333" t="n">
        <v>6</v>
      </c>
      <c r="Q1333" t="n">
        <v>2</v>
      </c>
      <c r="R1333" t="n">
        <v>2020.3</v>
      </c>
      <c r="S1333" t="b">
        <v>0</v>
      </c>
      <c r="T1333" t="n">
        <v>1880448</v>
      </c>
      <c r="U1333" t="n">
        <v>7</v>
      </c>
      <c r="V1333" t="n">
        <v>0.0486</v>
      </c>
      <c r="W1333" t="n">
        <v>1.5</v>
      </c>
      <c r="X1333" t="n">
        <v>74.62</v>
      </c>
      <c r="Y1333">
        <f>VLOOKUP(D1333,$AB$2:$AC$7,2,FALSE)</f>
        <v/>
      </c>
      <c r="Z1333">
        <f>IF(A1333&lt;Y1333,"Yes","No")</f>
        <v/>
      </c>
    </row>
    <row r="1334">
      <c r="A1334" t="n">
        <v>2020</v>
      </c>
      <c r="B1334" t="inlineStr">
        <is>
          <t>Q3</t>
        </is>
      </c>
      <c r="C1334" t="inlineStr">
        <is>
          <t>Europe</t>
        </is>
      </c>
      <c r="D1334" t="inlineStr">
        <is>
          <t>Model 3</t>
        </is>
      </c>
      <c r="E1334" t="n">
        <v>1171</v>
      </c>
      <c r="F1334" t="n">
        <v>76493.48</v>
      </c>
      <c r="G1334" t="n">
        <v>54</v>
      </c>
      <c r="H1334" t="inlineStr">
        <is>
          <t>Standard</t>
        </is>
      </c>
      <c r="I1334" t="inlineStr">
        <is>
          <t>AWD</t>
        </is>
      </c>
      <c r="J1334" t="inlineStr">
        <is>
          <t>White</t>
        </is>
      </c>
      <c r="K1334" t="n">
        <v>697</v>
      </c>
      <c r="L1334" t="n">
        <v>82</v>
      </c>
      <c r="M1334" t="n">
        <v>17.93</v>
      </c>
      <c r="N1334" t="n">
        <v>653.96</v>
      </c>
      <c r="O1334" t="n">
        <v>3.77</v>
      </c>
      <c r="P1334" t="n">
        <v>5</v>
      </c>
      <c r="Q1334" t="n">
        <v>3</v>
      </c>
      <c r="R1334" t="n">
        <v>2024.7</v>
      </c>
      <c r="S1334" t="b">
        <v>1</v>
      </c>
      <c r="T1334" t="n">
        <v>3657515</v>
      </c>
      <c r="U1334" t="n">
        <v>11</v>
      </c>
      <c r="V1334" t="n">
        <v>0.0116</v>
      </c>
      <c r="W1334" t="n">
        <v>2.39</v>
      </c>
      <c r="X1334" t="n">
        <v>65.51000000000001</v>
      </c>
      <c r="Y1334">
        <f>VLOOKUP(D1334,$AB$2:$AC$7,2,FALSE)</f>
        <v/>
      </c>
      <c r="Z1334">
        <f>IF(A1334&lt;Y1334,"Yes","No")</f>
        <v/>
      </c>
    </row>
    <row r="1335">
      <c r="A1335" t="n">
        <v>2012</v>
      </c>
      <c r="B1335" t="inlineStr">
        <is>
          <t>Q4</t>
        </is>
      </c>
      <c r="C1335" t="inlineStr">
        <is>
          <t>Asia</t>
        </is>
      </c>
      <c r="D1335" t="inlineStr">
        <is>
          <t>Model X</t>
        </is>
      </c>
      <c r="E1335" t="n">
        <v>241</v>
      </c>
      <c r="F1335" t="n">
        <v>69034.94</v>
      </c>
      <c r="G1335" t="n">
        <v>29</v>
      </c>
      <c r="H1335" t="inlineStr">
        <is>
          <t>Performance</t>
        </is>
      </c>
      <c r="I1335" t="inlineStr">
        <is>
          <t>AWD</t>
        </is>
      </c>
      <c r="J1335" t="inlineStr">
        <is>
          <t>Blue</t>
        </is>
      </c>
      <c r="K1335" t="n">
        <v>679</v>
      </c>
      <c r="L1335" t="n">
        <v>90</v>
      </c>
      <c r="M1335" t="n">
        <v>23.99</v>
      </c>
      <c r="N1335" t="n">
        <v>131.95</v>
      </c>
      <c r="O1335" t="n">
        <v>4.58</v>
      </c>
      <c r="P1335" t="n">
        <v>6</v>
      </c>
      <c r="Q1335" t="n">
        <v>0</v>
      </c>
      <c r="R1335" t="n">
        <v>2021.1</v>
      </c>
      <c r="S1335" t="b">
        <v>1</v>
      </c>
      <c r="T1335" t="n">
        <v>1838173</v>
      </c>
      <c r="U1335" t="n">
        <v>11</v>
      </c>
      <c r="V1335" t="n">
        <v>0.0864</v>
      </c>
      <c r="W1335" t="n">
        <v>1.01</v>
      </c>
      <c r="X1335" t="n">
        <v>78.34999999999999</v>
      </c>
      <c r="Y1335">
        <f>VLOOKUP(D1335,$AB$2:$AC$7,2,FALSE)</f>
        <v/>
      </c>
      <c r="Z1335">
        <f>IF(A1335&lt;Y1335,"Yes","No")</f>
        <v/>
      </c>
    </row>
    <row r="1336">
      <c r="A1336" t="n">
        <v>2019</v>
      </c>
      <c r="B1336" t="inlineStr">
        <is>
          <t>Q4</t>
        </is>
      </c>
      <c r="C1336" t="inlineStr">
        <is>
          <t>South America</t>
        </is>
      </c>
      <c r="D1336" t="inlineStr">
        <is>
          <t>Model Y</t>
        </is>
      </c>
      <c r="E1336" t="n">
        <v>1390</v>
      </c>
      <c r="F1336" t="n">
        <v>112550.98</v>
      </c>
      <c r="G1336" t="n">
        <v>24</v>
      </c>
      <c r="H1336" t="inlineStr">
        <is>
          <t>Standard</t>
        </is>
      </c>
      <c r="I1336" t="inlineStr">
        <is>
          <t>AWD</t>
        </is>
      </c>
      <c r="J1336" t="inlineStr">
        <is>
          <t>Silver</t>
        </is>
      </c>
      <c r="K1336" t="n">
        <v>682</v>
      </c>
      <c r="L1336" t="n">
        <v>42</v>
      </c>
      <c r="M1336" t="n">
        <v>21.23</v>
      </c>
      <c r="N1336" t="n">
        <v>2793.65</v>
      </c>
      <c r="O1336" t="n">
        <v>4.73</v>
      </c>
      <c r="P1336" t="n">
        <v>4</v>
      </c>
      <c r="Q1336" t="n">
        <v>1</v>
      </c>
      <c r="R1336" t="n">
        <v>2024.7</v>
      </c>
      <c r="S1336" t="b">
        <v>1</v>
      </c>
      <c r="T1336" t="n">
        <v>1043507</v>
      </c>
      <c r="U1336" t="n">
        <v>2</v>
      </c>
      <c r="V1336" t="n">
        <v>0.08649999999999999</v>
      </c>
      <c r="W1336" t="n">
        <v>0.95</v>
      </c>
      <c r="X1336" t="n">
        <v>74.41</v>
      </c>
      <c r="Y1336">
        <f>VLOOKUP(D1336,$AB$2:$AC$7,2,FALSE)</f>
        <v/>
      </c>
      <c r="Z1336">
        <f>IF(A1336&lt;Y1336,"Yes","No")</f>
        <v/>
      </c>
    </row>
    <row r="1337">
      <c r="A1337" t="n">
        <v>2014</v>
      </c>
      <c r="B1337" t="inlineStr">
        <is>
          <t>Q2</t>
        </is>
      </c>
      <c r="C1337" t="inlineStr">
        <is>
          <t>Australia</t>
        </is>
      </c>
      <c r="D1337" t="inlineStr">
        <is>
          <t>Model S</t>
        </is>
      </c>
      <c r="E1337" t="n">
        <v>505</v>
      </c>
      <c r="F1337" t="n">
        <v>111305.82</v>
      </c>
      <c r="G1337" t="n">
        <v>8</v>
      </c>
      <c r="H1337" t="inlineStr">
        <is>
          <t>Standard</t>
        </is>
      </c>
      <c r="I1337" t="inlineStr">
        <is>
          <t>AWD</t>
        </is>
      </c>
      <c r="J1337" t="inlineStr">
        <is>
          <t>Green</t>
        </is>
      </c>
      <c r="K1337" t="n">
        <v>587</v>
      </c>
      <c r="L1337" t="n">
        <v>58</v>
      </c>
      <c r="M1337" t="n">
        <v>21.98</v>
      </c>
      <c r="N1337" t="n">
        <v>436.15</v>
      </c>
      <c r="O1337" t="n">
        <v>4.67</v>
      </c>
      <c r="P1337" t="n">
        <v>6</v>
      </c>
      <c r="Q1337" t="n">
        <v>2</v>
      </c>
      <c r="R1337" t="n">
        <v>2024.9</v>
      </c>
      <c r="S1337" t="b">
        <v>0</v>
      </c>
      <c r="T1337" t="n">
        <v>4218769</v>
      </c>
      <c r="U1337" t="n">
        <v>10</v>
      </c>
      <c r="V1337" t="n">
        <v>0.0582</v>
      </c>
      <c r="W1337" t="n">
        <v>1.39</v>
      </c>
      <c r="X1337" t="n">
        <v>65</v>
      </c>
      <c r="Y1337">
        <f>VLOOKUP(D1337,$AB$2:$AC$7,2,FALSE)</f>
        <v/>
      </c>
      <c r="Z1337">
        <f>IF(A1337&lt;Y1337,"Yes","No")</f>
        <v/>
      </c>
    </row>
    <row r="1338">
      <c r="A1338" t="n">
        <v>2020</v>
      </c>
      <c r="B1338" t="inlineStr">
        <is>
          <t>Q2</t>
        </is>
      </c>
      <c r="C1338" t="inlineStr">
        <is>
          <t>North America</t>
        </is>
      </c>
      <c r="D1338" t="inlineStr">
        <is>
          <t>Model Y</t>
        </is>
      </c>
      <c r="E1338" t="n">
        <v>1635</v>
      </c>
      <c r="F1338" t="n">
        <v>47811.7</v>
      </c>
      <c r="G1338" t="n">
        <v>44</v>
      </c>
      <c r="H1338" t="inlineStr">
        <is>
          <t>Performance</t>
        </is>
      </c>
      <c r="I1338" t="inlineStr">
        <is>
          <t>AWD</t>
        </is>
      </c>
      <c r="J1338" t="inlineStr">
        <is>
          <t>Red</t>
        </is>
      </c>
      <c r="K1338" t="n">
        <v>435</v>
      </c>
      <c r="L1338" t="n">
        <v>56</v>
      </c>
      <c r="M1338" t="n">
        <v>24.71</v>
      </c>
      <c r="N1338" t="n">
        <v>2627.14</v>
      </c>
      <c r="O1338" t="n">
        <v>4.85</v>
      </c>
      <c r="P1338" t="n">
        <v>6</v>
      </c>
      <c r="Q1338" t="n">
        <v>3</v>
      </c>
      <c r="R1338" t="n">
        <v>2023.6</v>
      </c>
      <c r="S1338" t="b">
        <v>0</v>
      </c>
      <c r="T1338" t="n">
        <v>1252210</v>
      </c>
      <c r="U1338" t="n">
        <v>6</v>
      </c>
      <c r="V1338" t="n">
        <v>0.0542</v>
      </c>
      <c r="W1338" t="n">
        <v>0.53</v>
      </c>
      <c r="X1338" t="n">
        <v>77.04000000000001</v>
      </c>
      <c r="Y1338">
        <f>VLOOKUP(D1338,$AB$2:$AC$7,2,FALSE)</f>
        <v/>
      </c>
      <c r="Z1338">
        <f>IF(A1338&lt;Y1338,"Yes","No")</f>
        <v/>
      </c>
    </row>
    <row r="1339">
      <c r="A1339" t="n">
        <v>2023</v>
      </c>
      <c r="B1339" t="inlineStr">
        <is>
          <t>Q1</t>
        </is>
      </c>
      <c r="C1339" t="inlineStr">
        <is>
          <t>Australia</t>
        </is>
      </c>
      <c r="D1339" t="inlineStr">
        <is>
          <t>Model X</t>
        </is>
      </c>
      <c r="E1339" t="n">
        <v>3654</v>
      </c>
      <c r="F1339" t="n">
        <v>48228.68</v>
      </c>
      <c r="G1339" t="n">
        <v>40</v>
      </c>
      <c r="H1339" t="inlineStr">
        <is>
          <t>Long Range</t>
        </is>
      </c>
      <c r="I1339" t="inlineStr">
        <is>
          <t>RWD</t>
        </is>
      </c>
      <c r="J1339" t="inlineStr">
        <is>
          <t>Black</t>
        </is>
      </c>
      <c r="K1339" t="n">
        <v>535</v>
      </c>
      <c r="L1339" t="n">
        <v>59</v>
      </c>
      <c r="M1339" t="n">
        <v>15.61</v>
      </c>
      <c r="N1339" t="n">
        <v>5847.22</v>
      </c>
      <c r="O1339" t="n">
        <v>4.54</v>
      </c>
      <c r="P1339" t="n">
        <v>8</v>
      </c>
      <c r="Q1339" t="n">
        <v>3</v>
      </c>
      <c r="R1339" t="n">
        <v>2024.9</v>
      </c>
      <c r="S1339" t="b">
        <v>0</v>
      </c>
      <c r="T1339" t="n">
        <v>218229</v>
      </c>
      <c r="U1339" t="n">
        <v>9</v>
      </c>
      <c r="V1339" t="n">
        <v>0.0103</v>
      </c>
      <c r="W1339" t="n">
        <v>1.89</v>
      </c>
      <c r="X1339" t="n">
        <v>78.18000000000001</v>
      </c>
      <c r="Y1339">
        <f>VLOOKUP(D1339,$AB$2:$AC$7,2,FALSE)</f>
        <v/>
      </c>
      <c r="Z1339">
        <f>IF(A1339&lt;Y1339,"Yes","No")</f>
        <v/>
      </c>
    </row>
    <row r="1340">
      <c r="A1340" t="n">
        <v>2018</v>
      </c>
      <c r="B1340" t="inlineStr">
        <is>
          <t>Q3</t>
        </is>
      </c>
      <c r="C1340" t="inlineStr">
        <is>
          <t>Australia</t>
        </is>
      </c>
      <c r="D1340" t="inlineStr">
        <is>
          <t>Model Y</t>
        </is>
      </c>
      <c r="E1340" t="n">
        <v>3803</v>
      </c>
      <c r="F1340" t="n">
        <v>100912.07</v>
      </c>
      <c r="G1340" t="n">
        <v>3</v>
      </c>
      <c r="H1340" t="inlineStr">
        <is>
          <t>Long Range</t>
        </is>
      </c>
      <c r="I1340" t="inlineStr">
        <is>
          <t>AWD</t>
        </is>
      </c>
      <c r="J1340" t="inlineStr">
        <is>
          <t>Black</t>
        </is>
      </c>
      <c r="K1340" t="n">
        <v>664</v>
      </c>
      <c r="L1340" t="n">
        <v>62</v>
      </c>
      <c r="M1340" t="n">
        <v>19</v>
      </c>
      <c r="N1340" t="n">
        <v>5352.8</v>
      </c>
      <c r="O1340" t="n">
        <v>4.88</v>
      </c>
      <c r="P1340" t="n">
        <v>6</v>
      </c>
      <c r="Q1340" t="n">
        <v>1</v>
      </c>
      <c r="R1340" t="n">
        <v>2023.9</v>
      </c>
      <c r="S1340" t="b">
        <v>1</v>
      </c>
      <c r="T1340" t="n">
        <v>1243626</v>
      </c>
      <c r="U1340" t="n">
        <v>10</v>
      </c>
      <c r="V1340" t="n">
        <v>0.08169999999999999</v>
      </c>
      <c r="W1340" t="n">
        <v>0.79</v>
      </c>
      <c r="X1340" t="n">
        <v>72.03</v>
      </c>
      <c r="Y1340">
        <f>VLOOKUP(D1340,$AB$2:$AC$7,2,FALSE)</f>
        <v/>
      </c>
      <c r="Z1340">
        <f>IF(A1340&lt;Y1340,"Yes","No")</f>
        <v/>
      </c>
    </row>
    <row r="1341">
      <c r="A1341" t="n">
        <v>2023</v>
      </c>
      <c r="B1341" t="inlineStr">
        <is>
          <t>Q1</t>
        </is>
      </c>
      <c r="C1341" t="inlineStr">
        <is>
          <t>Australia</t>
        </is>
      </c>
      <c r="D1341" t="inlineStr">
        <is>
          <t>Model X</t>
        </is>
      </c>
      <c r="E1341" t="n">
        <v>1029</v>
      </c>
      <c r="F1341" t="n">
        <v>72191.48</v>
      </c>
      <c r="G1341" t="n">
        <v>0</v>
      </c>
      <c r="H1341" t="inlineStr">
        <is>
          <t>Long Range</t>
        </is>
      </c>
      <c r="I1341" t="inlineStr">
        <is>
          <t>AWD</t>
        </is>
      </c>
      <c r="J1341" t="inlineStr">
        <is>
          <t>Blue</t>
        </is>
      </c>
      <c r="K1341" t="n">
        <v>388</v>
      </c>
      <c r="L1341" t="n">
        <v>71</v>
      </c>
      <c r="M1341" t="n">
        <v>19.19</v>
      </c>
      <c r="N1341" t="n">
        <v>1387.6</v>
      </c>
      <c r="O1341" t="n">
        <v>4</v>
      </c>
      <c r="P1341" t="n">
        <v>8</v>
      </c>
      <c r="Q1341" t="n">
        <v>0</v>
      </c>
      <c r="R1341" t="n">
        <v>2021.2</v>
      </c>
      <c r="S1341" t="b">
        <v>0</v>
      </c>
      <c r="T1341" t="n">
        <v>3270884</v>
      </c>
      <c r="U1341" t="n">
        <v>6</v>
      </c>
      <c r="V1341" t="n">
        <v>0.1</v>
      </c>
      <c r="W1341" t="n">
        <v>2.44</v>
      </c>
      <c r="X1341" t="n">
        <v>77.31999999999999</v>
      </c>
      <c r="Y1341">
        <f>VLOOKUP(D1341,$AB$2:$AC$7,2,FALSE)</f>
        <v/>
      </c>
      <c r="Z1341">
        <f>IF(A1341&lt;Y1341,"Yes","No")</f>
        <v/>
      </c>
    </row>
    <row r="1342">
      <c r="A1342" t="n">
        <v>2017</v>
      </c>
      <c r="B1342" t="inlineStr">
        <is>
          <t>Q1</t>
        </is>
      </c>
      <c r="C1342" t="inlineStr">
        <is>
          <t>Europe</t>
        </is>
      </c>
      <c r="D1342" t="inlineStr">
        <is>
          <t>Model Y</t>
        </is>
      </c>
      <c r="E1342" t="n">
        <v>4822</v>
      </c>
      <c r="F1342" t="n">
        <v>79514.22</v>
      </c>
      <c r="G1342" t="n">
        <v>57</v>
      </c>
      <c r="H1342" t="inlineStr">
        <is>
          <t>Standard</t>
        </is>
      </c>
      <c r="I1342" t="inlineStr">
        <is>
          <t>AWD</t>
        </is>
      </c>
      <c r="J1342" t="inlineStr">
        <is>
          <t>White</t>
        </is>
      </c>
      <c r="K1342" t="n">
        <v>418</v>
      </c>
      <c r="L1342" t="n">
        <v>65</v>
      </c>
      <c r="M1342" t="n">
        <v>21.22</v>
      </c>
      <c r="N1342" t="n">
        <v>4708.42</v>
      </c>
      <c r="O1342" t="n">
        <v>4.06</v>
      </c>
      <c r="P1342" t="n">
        <v>6</v>
      </c>
      <c r="Q1342" t="n">
        <v>0</v>
      </c>
      <c r="R1342" t="n">
        <v>2023.1</v>
      </c>
      <c r="S1342" t="b">
        <v>1</v>
      </c>
      <c r="T1342" t="n">
        <v>4938556</v>
      </c>
      <c r="U1342" t="n">
        <v>11</v>
      </c>
      <c r="V1342" t="n">
        <v>0.0177</v>
      </c>
      <c r="W1342" t="n">
        <v>1.73</v>
      </c>
      <c r="X1342" t="n">
        <v>80.43000000000001</v>
      </c>
      <c r="Y1342">
        <f>VLOOKUP(D1342,$AB$2:$AC$7,2,FALSE)</f>
        <v/>
      </c>
      <c r="Z1342">
        <f>IF(A1342&lt;Y1342,"Yes","No")</f>
        <v/>
      </c>
    </row>
    <row r="1343">
      <c r="A1343" t="n">
        <v>2020</v>
      </c>
      <c r="B1343" t="inlineStr">
        <is>
          <t>Q1</t>
        </is>
      </c>
      <c r="C1343" t="inlineStr">
        <is>
          <t>South America</t>
        </is>
      </c>
      <c r="D1343" t="inlineStr">
        <is>
          <t>Model Y</t>
        </is>
      </c>
      <c r="E1343" t="n">
        <v>72</v>
      </c>
      <c r="F1343" t="n">
        <v>114131.77</v>
      </c>
      <c r="G1343" t="n">
        <v>7</v>
      </c>
      <c r="H1343" t="inlineStr">
        <is>
          <t>Long Range</t>
        </is>
      </c>
      <c r="I1343" t="inlineStr">
        <is>
          <t>AWD</t>
        </is>
      </c>
      <c r="J1343" t="inlineStr">
        <is>
          <t>Green</t>
        </is>
      </c>
      <c r="K1343" t="n">
        <v>613</v>
      </c>
      <c r="L1343" t="n">
        <v>79</v>
      </c>
      <c r="M1343" t="n">
        <v>21.69</v>
      </c>
      <c r="N1343" t="n">
        <v>93.66</v>
      </c>
      <c r="O1343" t="n">
        <v>4.81</v>
      </c>
      <c r="P1343" t="n">
        <v>4</v>
      </c>
      <c r="Q1343" t="n">
        <v>2</v>
      </c>
      <c r="R1343" t="n">
        <v>2021.1</v>
      </c>
      <c r="S1343" t="b">
        <v>0</v>
      </c>
      <c r="T1343" t="n">
        <v>4020326</v>
      </c>
      <c r="U1343" t="n">
        <v>12</v>
      </c>
      <c r="V1343" t="n">
        <v>0.0193</v>
      </c>
      <c r="W1343" t="n">
        <v>2.4</v>
      </c>
      <c r="X1343" t="n">
        <v>74.14</v>
      </c>
      <c r="Y1343">
        <f>VLOOKUP(D1343,$AB$2:$AC$7,2,FALSE)</f>
        <v/>
      </c>
      <c r="Z1343">
        <f>IF(A1343&lt;Y1343,"Yes","No")</f>
        <v/>
      </c>
    </row>
    <row r="1344">
      <c r="A1344" t="n">
        <v>2016</v>
      </c>
      <c r="B1344" t="inlineStr">
        <is>
          <t>Q1</t>
        </is>
      </c>
      <c r="C1344" t="inlineStr">
        <is>
          <t>Asia</t>
        </is>
      </c>
      <c r="D1344" t="inlineStr">
        <is>
          <t>Model 3</t>
        </is>
      </c>
      <c r="E1344" t="n">
        <v>1892</v>
      </c>
      <c r="F1344" t="n">
        <v>71095.14999999999</v>
      </c>
      <c r="G1344" t="n">
        <v>35</v>
      </c>
      <c r="H1344" t="inlineStr">
        <is>
          <t>Performance</t>
        </is>
      </c>
      <c r="I1344" t="inlineStr">
        <is>
          <t>RWD</t>
        </is>
      </c>
      <c r="J1344" t="inlineStr">
        <is>
          <t>Green</t>
        </is>
      </c>
      <c r="K1344" t="n">
        <v>576</v>
      </c>
      <c r="L1344" t="n">
        <v>68</v>
      </c>
      <c r="M1344" t="n">
        <v>17.55</v>
      </c>
      <c r="N1344" t="n">
        <v>3592.48</v>
      </c>
      <c r="O1344" t="n">
        <v>4.47</v>
      </c>
      <c r="P1344" t="n">
        <v>6</v>
      </c>
      <c r="Q1344" t="n">
        <v>3</v>
      </c>
      <c r="R1344" t="n">
        <v>2020.11</v>
      </c>
      <c r="S1344" t="b">
        <v>1</v>
      </c>
      <c r="T1344" t="n">
        <v>2847462</v>
      </c>
      <c r="U1344" t="n">
        <v>3</v>
      </c>
      <c r="V1344" t="n">
        <v>0.0182</v>
      </c>
      <c r="W1344" t="n">
        <v>2.35</v>
      </c>
      <c r="X1344" t="n">
        <v>77.12</v>
      </c>
      <c r="Y1344">
        <f>VLOOKUP(D1344,$AB$2:$AC$7,2,FALSE)</f>
        <v/>
      </c>
      <c r="Z1344">
        <f>IF(A1344&lt;Y1344,"Yes","No")</f>
        <v/>
      </c>
    </row>
    <row r="1345">
      <c r="A1345" t="n">
        <v>2012</v>
      </c>
      <c r="B1345" t="inlineStr">
        <is>
          <t>Q1</t>
        </is>
      </c>
      <c r="C1345" t="inlineStr">
        <is>
          <t>Australia</t>
        </is>
      </c>
      <c r="D1345" t="inlineStr">
        <is>
          <t>Model S</t>
        </is>
      </c>
      <c r="E1345" t="n">
        <v>919</v>
      </c>
      <c r="F1345" t="n">
        <v>77190.78</v>
      </c>
      <c r="G1345" t="n">
        <v>47</v>
      </c>
      <c r="H1345" t="inlineStr">
        <is>
          <t>Long Range</t>
        </is>
      </c>
      <c r="I1345" t="inlineStr">
        <is>
          <t>AWD</t>
        </is>
      </c>
      <c r="J1345" t="inlineStr">
        <is>
          <t>Green</t>
        </is>
      </c>
      <c r="K1345" t="n">
        <v>440</v>
      </c>
      <c r="L1345" t="n">
        <v>30</v>
      </c>
      <c r="M1345" t="n">
        <v>17.47</v>
      </c>
      <c r="N1345" t="n">
        <v>732.62</v>
      </c>
      <c r="O1345" t="n">
        <v>4.5</v>
      </c>
      <c r="P1345" t="n">
        <v>8</v>
      </c>
      <c r="Q1345" t="n">
        <v>1</v>
      </c>
      <c r="R1345" t="n">
        <v>2021.12</v>
      </c>
      <c r="S1345" t="b">
        <v>1</v>
      </c>
      <c r="T1345" t="n">
        <v>374912</v>
      </c>
      <c r="U1345" t="n">
        <v>3</v>
      </c>
      <c r="V1345" t="n">
        <v>0.0111</v>
      </c>
      <c r="W1345" t="n">
        <v>1.85</v>
      </c>
      <c r="X1345" t="n">
        <v>78.59999999999999</v>
      </c>
      <c r="Y1345">
        <f>VLOOKUP(D1345,$AB$2:$AC$7,2,FALSE)</f>
        <v/>
      </c>
      <c r="Z1345">
        <f>IF(A1345&lt;Y1345,"Yes","No")</f>
        <v/>
      </c>
    </row>
    <row r="1346">
      <c r="A1346" t="n">
        <v>2019</v>
      </c>
      <c r="B1346" t="inlineStr">
        <is>
          <t>Q3</t>
        </is>
      </c>
      <c r="C1346" t="inlineStr">
        <is>
          <t>South America</t>
        </is>
      </c>
      <c r="D1346" t="inlineStr">
        <is>
          <t>Cybertruck</t>
        </is>
      </c>
      <c r="E1346" t="n">
        <v>3927</v>
      </c>
      <c r="F1346" t="n">
        <v>57867.58</v>
      </c>
      <c r="G1346" t="n">
        <v>29</v>
      </c>
      <c r="H1346" t="inlineStr">
        <is>
          <t>Performance</t>
        </is>
      </c>
      <c r="I1346" t="inlineStr">
        <is>
          <t>RWD</t>
        </is>
      </c>
      <c r="J1346" t="inlineStr">
        <is>
          <t>Green</t>
        </is>
      </c>
      <c r="K1346" t="n">
        <v>467</v>
      </c>
      <c r="L1346" t="n">
        <v>85</v>
      </c>
      <c r="M1346" t="n">
        <v>20.19</v>
      </c>
      <c r="N1346" t="n">
        <v>4486.92</v>
      </c>
      <c r="O1346" t="n">
        <v>4.8</v>
      </c>
      <c r="P1346" t="n">
        <v>8</v>
      </c>
      <c r="Q1346" t="n">
        <v>2</v>
      </c>
      <c r="R1346" t="n">
        <v>2022.3</v>
      </c>
      <c r="S1346" t="b">
        <v>0</v>
      </c>
      <c r="T1346" t="n">
        <v>1369598</v>
      </c>
      <c r="U1346" t="n">
        <v>8</v>
      </c>
      <c r="V1346" t="n">
        <v>0.0697</v>
      </c>
      <c r="W1346" t="n">
        <v>1.86</v>
      </c>
      <c r="X1346" t="n">
        <v>82.91</v>
      </c>
      <c r="Y1346">
        <f>VLOOKUP(D1346,$AB$2:$AC$7,2,FALSE)</f>
        <v/>
      </c>
      <c r="Z1346">
        <f>IF(A1346&lt;Y1346,"Yes","No")</f>
        <v/>
      </c>
    </row>
    <row r="1347">
      <c r="A1347" t="n">
        <v>2016</v>
      </c>
      <c r="B1347" t="inlineStr">
        <is>
          <t>Q2</t>
        </is>
      </c>
      <c r="C1347" t="inlineStr">
        <is>
          <t>North America</t>
        </is>
      </c>
      <c r="D1347" t="inlineStr">
        <is>
          <t>Model X</t>
        </is>
      </c>
      <c r="E1347" t="n">
        <v>733</v>
      </c>
      <c r="F1347" t="n">
        <v>69379.39999999999</v>
      </c>
      <c r="G1347" t="n">
        <v>7</v>
      </c>
      <c r="H1347" t="inlineStr">
        <is>
          <t>Long Range</t>
        </is>
      </c>
      <c r="I1347" t="inlineStr">
        <is>
          <t>AWD</t>
        </is>
      </c>
      <c r="J1347" t="inlineStr">
        <is>
          <t>Blue</t>
        </is>
      </c>
      <c r="K1347" t="n">
        <v>499</v>
      </c>
      <c r="L1347" t="n">
        <v>32</v>
      </c>
      <c r="M1347" t="n">
        <v>24.29</v>
      </c>
      <c r="N1347" t="n">
        <v>1520.1</v>
      </c>
      <c r="O1347" t="n">
        <v>4.78</v>
      </c>
      <c r="P1347" t="n">
        <v>4</v>
      </c>
      <c r="Q1347" t="n">
        <v>1</v>
      </c>
      <c r="R1347" t="n">
        <v>2021.8</v>
      </c>
      <c r="S1347" t="b">
        <v>1</v>
      </c>
      <c r="T1347" t="n">
        <v>3825704</v>
      </c>
      <c r="U1347" t="n">
        <v>8</v>
      </c>
      <c r="V1347" t="n">
        <v>0.08169999999999999</v>
      </c>
      <c r="W1347" t="n">
        <v>1.29</v>
      </c>
      <c r="X1347" t="n">
        <v>77.2</v>
      </c>
      <c r="Y1347">
        <f>VLOOKUP(D1347,$AB$2:$AC$7,2,FALSE)</f>
        <v/>
      </c>
      <c r="Z1347">
        <f>IF(A1347&lt;Y1347,"Yes","No")</f>
        <v/>
      </c>
    </row>
    <row r="1348">
      <c r="A1348" t="n">
        <v>2024</v>
      </c>
      <c r="B1348" t="inlineStr">
        <is>
          <t>Q4</t>
        </is>
      </c>
      <c r="C1348" t="inlineStr">
        <is>
          <t>Australia</t>
        </is>
      </c>
      <c r="D1348" t="inlineStr">
        <is>
          <t>Cybertruck</t>
        </is>
      </c>
      <c r="E1348" t="n">
        <v>993</v>
      </c>
      <c r="F1348" t="n">
        <v>98201.10000000001</v>
      </c>
      <c r="G1348" t="n">
        <v>57</v>
      </c>
      <c r="H1348" t="inlineStr">
        <is>
          <t>Long Range</t>
        </is>
      </c>
      <c r="I1348" t="inlineStr">
        <is>
          <t>AWD</t>
        </is>
      </c>
      <c r="J1348" t="inlineStr">
        <is>
          <t>Silver</t>
        </is>
      </c>
      <c r="K1348" t="n">
        <v>513</v>
      </c>
      <c r="L1348" t="n">
        <v>51</v>
      </c>
      <c r="M1348" t="n">
        <v>18.96</v>
      </c>
      <c r="N1348" t="n">
        <v>672.0700000000001</v>
      </c>
      <c r="O1348" t="n">
        <v>4.69</v>
      </c>
      <c r="P1348" t="n">
        <v>6</v>
      </c>
      <c r="Q1348" t="n">
        <v>0</v>
      </c>
      <c r="R1348" t="n">
        <v>2022.9</v>
      </c>
      <c r="S1348" t="b">
        <v>0</v>
      </c>
      <c r="T1348" t="n">
        <v>3379823</v>
      </c>
      <c r="U1348" t="n">
        <v>10</v>
      </c>
      <c r="V1348" t="n">
        <v>0.0558</v>
      </c>
      <c r="W1348" t="n">
        <v>1.05</v>
      </c>
      <c r="X1348" t="n">
        <v>77.65000000000001</v>
      </c>
      <c r="Y1348">
        <f>VLOOKUP(D1348,$AB$2:$AC$7,2,FALSE)</f>
        <v/>
      </c>
      <c r="Z1348">
        <f>IF(A1348&lt;Y1348,"Yes","No")</f>
        <v/>
      </c>
    </row>
    <row r="1349">
      <c r="A1349" t="n">
        <v>2012</v>
      </c>
      <c r="B1349" t="inlineStr">
        <is>
          <t>Q1</t>
        </is>
      </c>
      <c r="C1349" t="inlineStr">
        <is>
          <t>Europe</t>
        </is>
      </c>
      <c r="D1349" t="inlineStr">
        <is>
          <t>Model X</t>
        </is>
      </c>
      <c r="E1349" t="n">
        <v>4173</v>
      </c>
      <c r="F1349" t="n">
        <v>69065.25999999999</v>
      </c>
      <c r="G1349" t="n">
        <v>18</v>
      </c>
      <c r="H1349" t="inlineStr">
        <is>
          <t>Performance</t>
        </is>
      </c>
      <c r="I1349" t="inlineStr">
        <is>
          <t>AWD</t>
        </is>
      </c>
      <c r="J1349" t="inlineStr">
        <is>
          <t>Green</t>
        </is>
      </c>
      <c r="K1349" t="n">
        <v>532</v>
      </c>
      <c r="L1349" t="n">
        <v>58</v>
      </c>
      <c r="M1349" t="n">
        <v>16.07</v>
      </c>
      <c r="N1349" t="n">
        <v>4846.53</v>
      </c>
      <c r="O1349" t="n">
        <v>4.35</v>
      </c>
      <c r="P1349" t="n">
        <v>8</v>
      </c>
      <c r="Q1349" t="n">
        <v>1</v>
      </c>
      <c r="R1349" t="n">
        <v>2021.5</v>
      </c>
      <c r="S1349" t="b">
        <v>0</v>
      </c>
      <c r="T1349" t="n">
        <v>2142512</v>
      </c>
      <c r="U1349" t="n">
        <v>7</v>
      </c>
      <c r="V1349" t="n">
        <v>0.0231</v>
      </c>
      <c r="W1349" t="n">
        <v>1.38</v>
      </c>
      <c r="X1349" t="n">
        <v>77.73</v>
      </c>
      <c r="Y1349">
        <f>VLOOKUP(D1349,$AB$2:$AC$7,2,FALSE)</f>
        <v/>
      </c>
      <c r="Z1349">
        <f>IF(A1349&lt;Y1349,"Yes","No")</f>
        <v/>
      </c>
    </row>
    <row r="1350">
      <c r="A1350" t="n">
        <v>2013</v>
      </c>
      <c r="B1350" t="inlineStr">
        <is>
          <t>Q1</t>
        </is>
      </c>
      <c r="C1350" t="inlineStr">
        <is>
          <t>North America</t>
        </is>
      </c>
      <c r="D1350" t="inlineStr">
        <is>
          <t>Semi</t>
        </is>
      </c>
      <c r="E1350" t="n">
        <v>514</v>
      </c>
      <c r="F1350" t="n">
        <v>112438.74</v>
      </c>
      <c r="G1350" t="n">
        <v>33</v>
      </c>
      <c r="H1350" t="inlineStr">
        <is>
          <t>Long Range</t>
        </is>
      </c>
      <c r="I1350" t="inlineStr">
        <is>
          <t>AWD</t>
        </is>
      </c>
      <c r="J1350" t="inlineStr">
        <is>
          <t>Silver</t>
        </is>
      </c>
      <c r="K1350" t="n">
        <v>478</v>
      </c>
      <c r="L1350" t="n">
        <v>56</v>
      </c>
      <c r="M1350" t="n">
        <v>21.13</v>
      </c>
      <c r="N1350" t="n">
        <v>1179.19</v>
      </c>
      <c r="O1350" t="n">
        <v>4.41</v>
      </c>
      <c r="P1350" t="n">
        <v>6</v>
      </c>
      <c r="Q1350" t="n">
        <v>1</v>
      </c>
      <c r="R1350" t="n">
        <v>2021.2</v>
      </c>
      <c r="S1350" t="b">
        <v>1</v>
      </c>
      <c r="T1350" t="n">
        <v>3094446</v>
      </c>
      <c r="U1350" t="n">
        <v>11</v>
      </c>
      <c r="V1350" t="n">
        <v>0.0471</v>
      </c>
      <c r="W1350" t="n">
        <v>1.5</v>
      </c>
      <c r="X1350" t="n">
        <v>66.29000000000001</v>
      </c>
      <c r="Y1350">
        <f>VLOOKUP(D1350,$AB$2:$AC$7,2,FALSE)</f>
        <v/>
      </c>
      <c r="Z1350">
        <f>IF(A1350&lt;Y1350,"Yes","No")</f>
        <v/>
      </c>
    </row>
    <row r="1351">
      <c r="A1351" t="n">
        <v>2022</v>
      </c>
      <c r="B1351" t="inlineStr">
        <is>
          <t>Q4</t>
        </is>
      </c>
      <c r="C1351" t="inlineStr">
        <is>
          <t>Europe</t>
        </is>
      </c>
      <c r="D1351" t="inlineStr">
        <is>
          <t>Semi</t>
        </is>
      </c>
      <c r="E1351" t="n">
        <v>2302</v>
      </c>
      <c r="F1351" t="n">
        <v>93920.3</v>
      </c>
      <c r="G1351" t="n">
        <v>54</v>
      </c>
      <c r="H1351" t="inlineStr">
        <is>
          <t>Performance</t>
        </is>
      </c>
      <c r="I1351" t="inlineStr">
        <is>
          <t>AWD</t>
        </is>
      </c>
      <c r="J1351" t="inlineStr">
        <is>
          <t>Red</t>
        </is>
      </c>
      <c r="K1351" t="n">
        <v>429</v>
      </c>
      <c r="L1351" t="n">
        <v>39</v>
      </c>
      <c r="M1351" t="n">
        <v>20.88</v>
      </c>
      <c r="N1351" t="n">
        <v>3078.19</v>
      </c>
      <c r="O1351" t="n">
        <v>3.73</v>
      </c>
      <c r="P1351" t="n">
        <v>8</v>
      </c>
      <c r="Q1351" t="n">
        <v>1</v>
      </c>
      <c r="R1351" t="n">
        <v>2020.6</v>
      </c>
      <c r="S1351" t="b">
        <v>0</v>
      </c>
      <c r="T1351" t="n">
        <v>2587278</v>
      </c>
      <c r="U1351" t="n">
        <v>10</v>
      </c>
      <c r="V1351" t="n">
        <v>0.0844</v>
      </c>
      <c r="W1351" t="n">
        <v>2.15</v>
      </c>
      <c r="X1351" t="n">
        <v>75.51000000000001</v>
      </c>
      <c r="Y1351">
        <f>VLOOKUP(D1351,$AB$2:$AC$7,2,FALSE)</f>
        <v/>
      </c>
      <c r="Z1351">
        <f>IF(A1351&lt;Y1351,"Yes","No")</f>
        <v/>
      </c>
    </row>
    <row r="1352">
      <c r="A1352" t="n">
        <v>2019</v>
      </c>
      <c r="B1352" t="inlineStr">
        <is>
          <t>Q1</t>
        </is>
      </c>
      <c r="C1352" t="inlineStr">
        <is>
          <t>South America</t>
        </is>
      </c>
      <c r="D1352" t="inlineStr">
        <is>
          <t>Model 3</t>
        </is>
      </c>
      <c r="E1352" t="n">
        <v>576</v>
      </c>
      <c r="F1352" t="n">
        <v>107578.54</v>
      </c>
      <c r="G1352" t="n">
        <v>51</v>
      </c>
      <c r="H1352" t="inlineStr">
        <is>
          <t>Long Range</t>
        </is>
      </c>
      <c r="I1352" t="inlineStr">
        <is>
          <t>RWD</t>
        </is>
      </c>
      <c r="J1352" t="inlineStr">
        <is>
          <t>Green</t>
        </is>
      </c>
      <c r="K1352" t="n">
        <v>480</v>
      </c>
      <c r="L1352" t="n">
        <v>68</v>
      </c>
      <c r="M1352" t="n">
        <v>21.75</v>
      </c>
      <c r="N1352" t="n">
        <v>610.61</v>
      </c>
      <c r="O1352" t="n">
        <v>3.96</v>
      </c>
      <c r="P1352" t="n">
        <v>4</v>
      </c>
      <c r="Q1352" t="n">
        <v>2</v>
      </c>
      <c r="R1352" t="n">
        <v>2021.1</v>
      </c>
      <c r="S1352" t="b">
        <v>1</v>
      </c>
      <c r="T1352" t="n">
        <v>3922413</v>
      </c>
      <c r="U1352" t="n">
        <v>3</v>
      </c>
      <c r="V1352" t="n">
        <v>0.0534</v>
      </c>
      <c r="W1352" t="n">
        <v>1.6</v>
      </c>
      <c r="X1352" t="n">
        <v>67.56</v>
      </c>
      <c r="Y1352">
        <f>VLOOKUP(D1352,$AB$2:$AC$7,2,FALSE)</f>
        <v/>
      </c>
      <c r="Z1352">
        <f>IF(A1352&lt;Y1352,"Yes","No")</f>
        <v/>
      </c>
    </row>
    <row r="1353">
      <c r="A1353" t="n">
        <v>2019</v>
      </c>
      <c r="B1353" t="inlineStr">
        <is>
          <t>Q2</t>
        </is>
      </c>
      <c r="C1353" t="inlineStr">
        <is>
          <t>North America</t>
        </is>
      </c>
      <c r="D1353" t="inlineStr">
        <is>
          <t>Model X</t>
        </is>
      </c>
      <c r="E1353" t="n">
        <v>3570</v>
      </c>
      <c r="F1353" t="n">
        <v>41674.43</v>
      </c>
      <c r="G1353" t="n">
        <v>11</v>
      </c>
      <c r="H1353" t="inlineStr">
        <is>
          <t>Long Range</t>
        </is>
      </c>
      <c r="I1353" t="inlineStr">
        <is>
          <t>RWD</t>
        </is>
      </c>
      <c r="J1353" t="inlineStr">
        <is>
          <t>Silver</t>
        </is>
      </c>
      <c r="K1353" t="n">
        <v>374</v>
      </c>
      <c r="L1353" t="n">
        <v>81</v>
      </c>
      <c r="M1353" t="n">
        <v>16.26</v>
      </c>
      <c r="N1353" t="n">
        <v>7501.35</v>
      </c>
      <c r="O1353" t="n">
        <v>4.43</v>
      </c>
      <c r="P1353" t="n">
        <v>5</v>
      </c>
      <c r="Q1353" t="n">
        <v>3</v>
      </c>
      <c r="R1353" t="n">
        <v>2023.7</v>
      </c>
      <c r="S1353" t="b">
        <v>0</v>
      </c>
      <c r="T1353" t="n">
        <v>4644596</v>
      </c>
      <c r="U1353" t="n">
        <v>10</v>
      </c>
      <c r="V1353" t="n">
        <v>0.0515</v>
      </c>
      <c r="W1353" t="n">
        <v>1.44</v>
      </c>
      <c r="X1353" t="n">
        <v>68.8</v>
      </c>
      <c r="Y1353">
        <f>VLOOKUP(D1353,$AB$2:$AC$7,2,FALSE)</f>
        <v/>
      </c>
      <c r="Z1353">
        <f>IF(A1353&lt;Y1353,"Yes","No")</f>
        <v/>
      </c>
    </row>
    <row r="1354">
      <c r="A1354" t="n">
        <v>2017</v>
      </c>
      <c r="B1354" t="inlineStr">
        <is>
          <t>Q3</t>
        </is>
      </c>
      <c r="C1354" t="inlineStr">
        <is>
          <t>Australia</t>
        </is>
      </c>
      <c r="D1354" t="inlineStr">
        <is>
          <t>Model X</t>
        </is>
      </c>
      <c r="E1354" t="n">
        <v>617</v>
      </c>
      <c r="F1354" t="n">
        <v>55026.01</v>
      </c>
      <c r="G1354" t="n">
        <v>0</v>
      </c>
      <c r="H1354" t="inlineStr">
        <is>
          <t>Standard</t>
        </is>
      </c>
      <c r="I1354" t="inlineStr">
        <is>
          <t>AWD</t>
        </is>
      </c>
      <c r="J1354" t="inlineStr">
        <is>
          <t>Green</t>
        </is>
      </c>
      <c r="K1354" t="n">
        <v>647</v>
      </c>
      <c r="L1354" t="n">
        <v>74</v>
      </c>
      <c r="M1354" t="n">
        <v>24.8</v>
      </c>
      <c r="N1354" t="n">
        <v>821.78</v>
      </c>
      <c r="O1354" t="n">
        <v>4.84</v>
      </c>
      <c r="P1354" t="n">
        <v>4</v>
      </c>
      <c r="Q1354" t="n">
        <v>2</v>
      </c>
      <c r="R1354" t="n">
        <v>2024.7</v>
      </c>
      <c r="S1354" t="b">
        <v>1</v>
      </c>
      <c r="T1354" t="n">
        <v>3905730</v>
      </c>
      <c r="U1354" t="n">
        <v>7</v>
      </c>
      <c r="V1354" t="n">
        <v>0.0697</v>
      </c>
      <c r="W1354" t="n">
        <v>0.63</v>
      </c>
      <c r="X1354" t="n">
        <v>80.95</v>
      </c>
      <c r="Y1354">
        <f>VLOOKUP(D1354,$AB$2:$AC$7,2,FALSE)</f>
        <v/>
      </c>
      <c r="Z1354">
        <f>IF(A1354&lt;Y1354,"Yes","No")</f>
        <v/>
      </c>
    </row>
    <row r="1355">
      <c r="A1355" t="n">
        <v>2015</v>
      </c>
      <c r="B1355" t="inlineStr">
        <is>
          <t>Q3</t>
        </is>
      </c>
      <c r="C1355" t="inlineStr">
        <is>
          <t>Australia</t>
        </is>
      </c>
      <c r="D1355" t="inlineStr">
        <is>
          <t>Model 3</t>
        </is>
      </c>
      <c r="E1355" t="n">
        <v>4276</v>
      </c>
      <c r="F1355" t="n">
        <v>86238.89999999999</v>
      </c>
      <c r="G1355" t="n">
        <v>7</v>
      </c>
      <c r="H1355" t="inlineStr">
        <is>
          <t>Standard</t>
        </is>
      </c>
      <c r="I1355" t="inlineStr">
        <is>
          <t>RWD</t>
        </is>
      </c>
      <c r="J1355" t="inlineStr">
        <is>
          <t>Silver</t>
        </is>
      </c>
      <c r="K1355" t="n">
        <v>496</v>
      </c>
      <c r="L1355" t="n">
        <v>80</v>
      </c>
      <c r="M1355" t="n">
        <v>16.54</v>
      </c>
      <c r="N1355" t="n">
        <v>7303.77</v>
      </c>
      <c r="O1355" t="n">
        <v>4.13</v>
      </c>
      <c r="P1355" t="n">
        <v>6</v>
      </c>
      <c r="Q1355" t="n">
        <v>3</v>
      </c>
      <c r="R1355" t="n">
        <v>2020.2</v>
      </c>
      <c r="S1355" t="b">
        <v>0</v>
      </c>
      <c r="T1355" t="n">
        <v>3535885</v>
      </c>
      <c r="U1355" t="n">
        <v>10</v>
      </c>
      <c r="V1355" t="n">
        <v>0.0823</v>
      </c>
      <c r="W1355" t="n">
        <v>0.77</v>
      </c>
      <c r="X1355" t="n">
        <v>63.97</v>
      </c>
      <c r="Y1355">
        <f>VLOOKUP(D1355,$AB$2:$AC$7,2,FALSE)</f>
        <v/>
      </c>
      <c r="Z1355">
        <f>IF(A1355&lt;Y1355,"Yes","No")</f>
        <v/>
      </c>
    </row>
    <row r="1356">
      <c r="A1356" t="n">
        <v>2015</v>
      </c>
      <c r="B1356" t="inlineStr">
        <is>
          <t>Q1</t>
        </is>
      </c>
      <c r="C1356" t="inlineStr">
        <is>
          <t>Australia</t>
        </is>
      </c>
      <c r="D1356" t="inlineStr">
        <is>
          <t>Model S</t>
        </is>
      </c>
      <c r="E1356" t="n">
        <v>3481</v>
      </c>
      <c r="F1356" t="n">
        <v>63499.47</v>
      </c>
      <c r="G1356" t="n">
        <v>16</v>
      </c>
      <c r="H1356" t="inlineStr">
        <is>
          <t>Performance</t>
        </is>
      </c>
      <c r="I1356" t="inlineStr">
        <is>
          <t>AWD</t>
        </is>
      </c>
      <c r="J1356" t="inlineStr">
        <is>
          <t>White</t>
        </is>
      </c>
      <c r="K1356" t="n">
        <v>468</v>
      </c>
      <c r="L1356" t="n">
        <v>36</v>
      </c>
      <c r="M1356" t="n">
        <v>17.55</v>
      </c>
      <c r="N1356" t="n">
        <v>2654.75</v>
      </c>
      <c r="O1356" t="n">
        <v>3.7</v>
      </c>
      <c r="P1356" t="n">
        <v>6</v>
      </c>
      <c r="Q1356" t="n">
        <v>1</v>
      </c>
      <c r="R1356" t="n">
        <v>2021.1</v>
      </c>
      <c r="S1356" t="b">
        <v>1</v>
      </c>
      <c r="T1356" t="n">
        <v>3790925</v>
      </c>
      <c r="U1356" t="n">
        <v>12</v>
      </c>
      <c r="V1356" t="n">
        <v>0.0259</v>
      </c>
      <c r="W1356" t="n">
        <v>2.27</v>
      </c>
      <c r="X1356" t="n">
        <v>79.52</v>
      </c>
      <c r="Y1356">
        <f>VLOOKUP(D1356,$AB$2:$AC$7,2,FALSE)</f>
        <v/>
      </c>
      <c r="Z1356">
        <f>IF(A1356&lt;Y1356,"Yes","No")</f>
        <v/>
      </c>
    </row>
    <row r="1357">
      <c r="A1357" t="n">
        <v>2024</v>
      </c>
      <c r="B1357" t="inlineStr">
        <is>
          <t>Q4</t>
        </is>
      </c>
      <c r="C1357" t="inlineStr">
        <is>
          <t>North America</t>
        </is>
      </c>
      <c r="D1357" t="inlineStr">
        <is>
          <t>Cybertruck</t>
        </is>
      </c>
      <c r="E1357" t="n">
        <v>3440</v>
      </c>
      <c r="F1357" t="n">
        <v>89037.88</v>
      </c>
      <c r="G1357" t="n">
        <v>10</v>
      </c>
      <c r="H1357" t="inlineStr">
        <is>
          <t>Long Range</t>
        </is>
      </c>
      <c r="I1357" t="inlineStr">
        <is>
          <t>RWD</t>
        </is>
      </c>
      <c r="J1357" t="inlineStr">
        <is>
          <t>Blue</t>
        </is>
      </c>
      <c r="K1357" t="n">
        <v>530</v>
      </c>
      <c r="L1357" t="n">
        <v>56</v>
      </c>
      <c r="M1357" t="n">
        <v>15.26</v>
      </c>
      <c r="N1357" t="n">
        <v>2150.87</v>
      </c>
      <c r="O1357" t="n">
        <v>4.71</v>
      </c>
      <c r="P1357" t="n">
        <v>5</v>
      </c>
      <c r="Q1357" t="n">
        <v>0</v>
      </c>
      <c r="R1357" t="n">
        <v>2021.9</v>
      </c>
      <c r="S1357" t="b">
        <v>1</v>
      </c>
      <c r="T1357" t="n">
        <v>4223359</v>
      </c>
      <c r="U1357" t="n">
        <v>10</v>
      </c>
      <c r="V1357" t="n">
        <v>0.0863</v>
      </c>
      <c r="W1357" t="n">
        <v>1.62</v>
      </c>
      <c r="X1357" t="n">
        <v>74.65000000000001</v>
      </c>
      <c r="Y1357">
        <f>VLOOKUP(D1357,$AB$2:$AC$7,2,FALSE)</f>
        <v/>
      </c>
      <c r="Z1357">
        <f>IF(A1357&lt;Y1357,"Yes","No")</f>
        <v/>
      </c>
    </row>
    <row r="1358">
      <c r="A1358" t="n">
        <v>2024</v>
      </c>
      <c r="B1358" t="inlineStr">
        <is>
          <t>Q1</t>
        </is>
      </c>
      <c r="C1358" t="inlineStr">
        <is>
          <t>Australia</t>
        </is>
      </c>
      <c r="D1358" t="inlineStr">
        <is>
          <t>Model Y</t>
        </is>
      </c>
      <c r="E1358" t="n">
        <v>685</v>
      </c>
      <c r="F1358" t="n">
        <v>62110.75</v>
      </c>
      <c r="G1358" t="n">
        <v>56</v>
      </c>
      <c r="H1358" t="inlineStr">
        <is>
          <t>Long Range</t>
        </is>
      </c>
      <c r="I1358" t="inlineStr">
        <is>
          <t>RWD</t>
        </is>
      </c>
      <c r="J1358" t="inlineStr">
        <is>
          <t>Silver</t>
        </is>
      </c>
      <c r="K1358" t="n">
        <v>611</v>
      </c>
      <c r="L1358" t="n">
        <v>51</v>
      </c>
      <c r="M1358" t="n">
        <v>19.16</v>
      </c>
      <c r="N1358" t="n">
        <v>858.59</v>
      </c>
      <c r="O1358" t="n">
        <v>4.03</v>
      </c>
      <c r="P1358" t="n">
        <v>6</v>
      </c>
      <c r="Q1358" t="n">
        <v>2</v>
      </c>
      <c r="R1358" t="n">
        <v>2020.9</v>
      </c>
      <c r="S1358" t="b">
        <v>1</v>
      </c>
      <c r="T1358" t="n">
        <v>1486195</v>
      </c>
      <c r="U1358" t="n">
        <v>12</v>
      </c>
      <c r="V1358" t="n">
        <v>0.08690000000000001</v>
      </c>
      <c r="W1358" t="n">
        <v>1.86</v>
      </c>
      <c r="X1358" t="n">
        <v>65.28</v>
      </c>
      <c r="Y1358">
        <f>VLOOKUP(D1358,$AB$2:$AC$7,2,FALSE)</f>
        <v/>
      </c>
      <c r="Z1358">
        <f>IF(A1358&lt;Y1358,"Yes","No")</f>
        <v/>
      </c>
    </row>
    <row r="1359">
      <c r="A1359" t="n">
        <v>2014</v>
      </c>
      <c r="B1359" t="inlineStr">
        <is>
          <t>Q1</t>
        </is>
      </c>
      <c r="C1359" t="inlineStr">
        <is>
          <t>Europe</t>
        </is>
      </c>
      <c r="D1359" t="inlineStr">
        <is>
          <t>Semi</t>
        </is>
      </c>
      <c r="E1359" t="n">
        <v>4336</v>
      </c>
      <c r="F1359" t="n">
        <v>94915.89999999999</v>
      </c>
      <c r="G1359" t="n">
        <v>24</v>
      </c>
      <c r="H1359" t="inlineStr">
        <is>
          <t>Long Range</t>
        </is>
      </c>
      <c r="I1359" t="inlineStr">
        <is>
          <t>AWD</t>
        </is>
      </c>
      <c r="J1359" t="inlineStr">
        <is>
          <t>White</t>
        </is>
      </c>
      <c r="K1359" t="n">
        <v>664</v>
      </c>
      <c r="L1359" t="n">
        <v>47</v>
      </c>
      <c r="M1359" t="n">
        <v>17.68</v>
      </c>
      <c r="N1359" t="n">
        <v>10166.55</v>
      </c>
      <c r="O1359" t="n">
        <v>4.41</v>
      </c>
      <c r="P1359" t="n">
        <v>6</v>
      </c>
      <c r="Q1359" t="n">
        <v>1</v>
      </c>
      <c r="R1359" t="n">
        <v>2024.9</v>
      </c>
      <c r="S1359" t="b">
        <v>1</v>
      </c>
      <c r="T1359" t="n">
        <v>4567903</v>
      </c>
      <c r="U1359" t="n">
        <v>6</v>
      </c>
      <c r="V1359" t="n">
        <v>0.0504</v>
      </c>
      <c r="W1359" t="n">
        <v>0.57</v>
      </c>
      <c r="X1359" t="n">
        <v>64.62</v>
      </c>
      <c r="Y1359">
        <f>VLOOKUP(D1359,$AB$2:$AC$7,2,FALSE)</f>
        <v/>
      </c>
      <c r="Z1359">
        <f>IF(A1359&lt;Y1359,"Yes","No")</f>
        <v/>
      </c>
    </row>
    <row r="1360">
      <c r="A1360" t="n">
        <v>2015</v>
      </c>
      <c r="B1360" t="inlineStr">
        <is>
          <t>Q1</t>
        </is>
      </c>
      <c r="C1360" t="inlineStr">
        <is>
          <t>Europe</t>
        </is>
      </c>
      <c r="D1360" t="inlineStr">
        <is>
          <t>Semi</t>
        </is>
      </c>
      <c r="E1360" t="n">
        <v>1422</v>
      </c>
      <c r="F1360" t="n">
        <v>104231.76</v>
      </c>
      <c r="G1360" t="n">
        <v>34</v>
      </c>
      <c r="H1360" t="inlineStr">
        <is>
          <t>Performance</t>
        </is>
      </c>
      <c r="I1360" t="inlineStr">
        <is>
          <t>RWD</t>
        </is>
      </c>
      <c r="J1360" t="inlineStr">
        <is>
          <t>Red</t>
        </is>
      </c>
      <c r="K1360" t="n">
        <v>435</v>
      </c>
      <c r="L1360" t="n">
        <v>43</v>
      </c>
      <c r="M1360" t="n">
        <v>21.95</v>
      </c>
      <c r="N1360" t="n">
        <v>3321.69</v>
      </c>
      <c r="O1360" t="n">
        <v>3.81</v>
      </c>
      <c r="P1360" t="n">
        <v>8</v>
      </c>
      <c r="Q1360" t="n">
        <v>3</v>
      </c>
      <c r="R1360" t="n">
        <v>2024.7</v>
      </c>
      <c r="S1360" t="b">
        <v>0</v>
      </c>
      <c r="T1360" t="n">
        <v>1163474</v>
      </c>
      <c r="U1360" t="n">
        <v>9</v>
      </c>
      <c r="V1360" t="n">
        <v>0.09370000000000001</v>
      </c>
      <c r="W1360" t="n">
        <v>2</v>
      </c>
      <c r="X1360" t="n">
        <v>76.34999999999999</v>
      </c>
      <c r="Y1360">
        <f>VLOOKUP(D1360,$AB$2:$AC$7,2,FALSE)</f>
        <v/>
      </c>
      <c r="Z1360">
        <f>IF(A1360&lt;Y1360,"Yes","No")</f>
        <v/>
      </c>
    </row>
    <row r="1361">
      <c r="A1361" t="n">
        <v>2014</v>
      </c>
      <c r="B1361" t="inlineStr">
        <is>
          <t>Q4</t>
        </is>
      </c>
      <c r="C1361" t="inlineStr">
        <is>
          <t>South America</t>
        </is>
      </c>
      <c r="D1361" t="inlineStr">
        <is>
          <t>Semi</t>
        </is>
      </c>
      <c r="E1361" t="n">
        <v>2818</v>
      </c>
      <c r="F1361" t="n">
        <v>50822.97</v>
      </c>
      <c r="G1361" t="n">
        <v>9</v>
      </c>
      <c r="H1361" t="inlineStr">
        <is>
          <t>Performance</t>
        </is>
      </c>
      <c r="I1361" t="inlineStr">
        <is>
          <t>RWD</t>
        </is>
      </c>
      <c r="J1361" t="inlineStr">
        <is>
          <t>Green</t>
        </is>
      </c>
      <c r="K1361" t="n">
        <v>543</v>
      </c>
      <c r="L1361" t="n">
        <v>31</v>
      </c>
      <c r="M1361" t="n">
        <v>21.67</v>
      </c>
      <c r="N1361" t="n">
        <v>2251.83</v>
      </c>
      <c r="O1361" t="n">
        <v>4.26</v>
      </c>
      <c r="P1361" t="n">
        <v>8</v>
      </c>
      <c r="Q1361" t="n">
        <v>3</v>
      </c>
      <c r="R1361" t="n">
        <v>2024.4</v>
      </c>
      <c r="S1361" t="b">
        <v>0</v>
      </c>
      <c r="T1361" t="n">
        <v>3771119</v>
      </c>
      <c r="U1361" t="n">
        <v>3</v>
      </c>
      <c r="V1361" t="n">
        <v>0.0961</v>
      </c>
      <c r="W1361" t="n">
        <v>0.51</v>
      </c>
      <c r="X1361" t="n">
        <v>65.45999999999999</v>
      </c>
      <c r="Y1361">
        <f>VLOOKUP(D1361,$AB$2:$AC$7,2,FALSE)</f>
        <v/>
      </c>
      <c r="Z1361">
        <f>IF(A1361&lt;Y1361,"Yes","No")</f>
        <v/>
      </c>
    </row>
    <row r="1362">
      <c r="A1362" t="n">
        <v>2020</v>
      </c>
      <c r="B1362" t="inlineStr">
        <is>
          <t>Q2</t>
        </is>
      </c>
      <c r="C1362" t="inlineStr">
        <is>
          <t>Europe</t>
        </is>
      </c>
      <c r="D1362" t="inlineStr">
        <is>
          <t>Model X</t>
        </is>
      </c>
      <c r="E1362" t="n">
        <v>2892</v>
      </c>
      <c r="F1362" t="n">
        <v>104127.6</v>
      </c>
      <c r="G1362" t="n">
        <v>48</v>
      </c>
      <c r="H1362" t="inlineStr">
        <is>
          <t>Performance</t>
        </is>
      </c>
      <c r="I1362" t="inlineStr">
        <is>
          <t>RWD</t>
        </is>
      </c>
      <c r="J1362" t="inlineStr">
        <is>
          <t>Blue</t>
        </is>
      </c>
      <c r="K1362" t="n">
        <v>474</v>
      </c>
      <c r="L1362" t="n">
        <v>51</v>
      </c>
      <c r="M1362" t="n">
        <v>23.69</v>
      </c>
      <c r="N1362" t="n">
        <v>2449.43</v>
      </c>
      <c r="O1362" t="n">
        <v>4.93</v>
      </c>
      <c r="P1362" t="n">
        <v>5</v>
      </c>
      <c r="Q1362" t="n">
        <v>3</v>
      </c>
      <c r="R1362" t="n">
        <v>2023.11</v>
      </c>
      <c r="S1362" t="b">
        <v>1</v>
      </c>
      <c r="T1362" t="n">
        <v>569214</v>
      </c>
      <c r="U1362" t="n">
        <v>6</v>
      </c>
      <c r="V1362" t="n">
        <v>0.0398</v>
      </c>
      <c r="W1362" t="n">
        <v>1.18</v>
      </c>
      <c r="X1362" t="n">
        <v>70.69</v>
      </c>
      <c r="Y1362">
        <f>VLOOKUP(D1362,$AB$2:$AC$7,2,FALSE)</f>
        <v/>
      </c>
      <c r="Z1362">
        <f>IF(A1362&lt;Y1362,"Yes","No")</f>
        <v/>
      </c>
    </row>
    <row r="1363">
      <c r="A1363" t="n">
        <v>2021</v>
      </c>
      <c r="B1363" t="inlineStr">
        <is>
          <t>Q4</t>
        </is>
      </c>
      <c r="C1363" t="inlineStr">
        <is>
          <t>Europe</t>
        </is>
      </c>
      <c r="D1363" t="inlineStr">
        <is>
          <t>Model S</t>
        </is>
      </c>
      <c r="E1363" t="n">
        <v>1080</v>
      </c>
      <c r="F1363" t="n">
        <v>100955.68</v>
      </c>
      <c r="G1363" t="n">
        <v>14</v>
      </c>
      <c r="H1363" t="inlineStr">
        <is>
          <t>Performance</t>
        </is>
      </c>
      <c r="I1363" t="inlineStr">
        <is>
          <t>AWD</t>
        </is>
      </c>
      <c r="J1363" t="inlineStr">
        <is>
          <t>Black</t>
        </is>
      </c>
      <c r="K1363" t="n">
        <v>631</v>
      </c>
      <c r="L1363" t="n">
        <v>52</v>
      </c>
      <c r="M1363" t="n">
        <v>22.79</v>
      </c>
      <c r="N1363" t="n">
        <v>2289.83</v>
      </c>
      <c r="O1363" t="n">
        <v>4.88</v>
      </c>
      <c r="P1363" t="n">
        <v>4</v>
      </c>
      <c r="Q1363" t="n">
        <v>2</v>
      </c>
      <c r="R1363" t="n">
        <v>2021.5</v>
      </c>
      <c r="S1363" t="b">
        <v>1</v>
      </c>
      <c r="T1363" t="n">
        <v>1378365</v>
      </c>
      <c r="U1363" t="n">
        <v>7</v>
      </c>
      <c r="V1363" t="n">
        <v>0.0408</v>
      </c>
      <c r="W1363" t="n">
        <v>1.08</v>
      </c>
      <c r="X1363" t="n">
        <v>72.31999999999999</v>
      </c>
      <c r="Y1363">
        <f>VLOOKUP(D1363,$AB$2:$AC$7,2,FALSE)</f>
        <v/>
      </c>
      <c r="Z1363">
        <f>IF(A1363&lt;Y1363,"Yes","No")</f>
        <v/>
      </c>
    </row>
    <row r="1364">
      <c r="A1364" t="n">
        <v>2021</v>
      </c>
      <c r="B1364" t="inlineStr">
        <is>
          <t>Q2</t>
        </is>
      </c>
      <c r="C1364" t="inlineStr">
        <is>
          <t>South America</t>
        </is>
      </c>
      <c r="D1364" t="inlineStr">
        <is>
          <t>Model Y</t>
        </is>
      </c>
      <c r="E1364" t="n">
        <v>3803</v>
      </c>
      <c r="F1364" t="n">
        <v>90185.32000000001</v>
      </c>
      <c r="G1364" t="n">
        <v>18</v>
      </c>
      <c r="H1364" t="inlineStr">
        <is>
          <t>Standard</t>
        </is>
      </c>
      <c r="I1364" t="inlineStr">
        <is>
          <t>AWD</t>
        </is>
      </c>
      <c r="J1364" t="inlineStr">
        <is>
          <t>Blue</t>
        </is>
      </c>
      <c r="K1364" t="n">
        <v>594</v>
      </c>
      <c r="L1364" t="n">
        <v>65</v>
      </c>
      <c r="M1364" t="n">
        <v>19.45</v>
      </c>
      <c r="N1364" t="n">
        <v>9160.209999999999</v>
      </c>
      <c r="O1364" t="n">
        <v>4.04</v>
      </c>
      <c r="P1364" t="n">
        <v>8</v>
      </c>
      <c r="Q1364" t="n">
        <v>2</v>
      </c>
      <c r="R1364" t="n">
        <v>2023.11</v>
      </c>
      <c r="S1364" t="b">
        <v>0</v>
      </c>
      <c r="T1364" t="n">
        <v>2053259</v>
      </c>
      <c r="U1364" t="n">
        <v>10</v>
      </c>
      <c r="V1364" t="n">
        <v>0.0452</v>
      </c>
      <c r="W1364" t="n">
        <v>2.07</v>
      </c>
      <c r="X1364" t="n">
        <v>86.20999999999999</v>
      </c>
      <c r="Y1364">
        <f>VLOOKUP(D1364,$AB$2:$AC$7,2,FALSE)</f>
        <v/>
      </c>
      <c r="Z1364">
        <f>IF(A1364&lt;Y1364,"Yes","No")</f>
        <v/>
      </c>
    </row>
    <row r="1365">
      <c r="A1365" t="n">
        <v>2018</v>
      </c>
      <c r="B1365" t="inlineStr">
        <is>
          <t>Q1</t>
        </is>
      </c>
      <c r="C1365" t="inlineStr">
        <is>
          <t>Asia</t>
        </is>
      </c>
      <c r="D1365" t="inlineStr">
        <is>
          <t>Model X</t>
        </is>
      </c>
      <c r="E1365" t="n">
        <v>4268</v>
      </c>
      <c r="F1365" t="n">
        <v>92052.27</v>
      </c>
      <c r="G1365" t="n">
        <v>57</v>
      </c>
      <c r="H1365" t="inlineStr">
        <is>
          <t>Long Range</t>
        </is>
      </c>
      <c r="I1365" t="inlineStr">
        <is>
          <t>RWD</t>
        </is>
      </c>
      <c r="J1365" t="inlineStr">
        <is>
          <t>Blue</t>
        </is>
      </c>
      <c r="K1365" t="n">
        <v>466</v>
      </c>
      <c r="L1365" t="n">
        <v>43</v>
      </c>
      <c r="M1365" t="n">
        <v>15.25</v>
      </c>
      <c r="N1365" t="n">
        <v>3656.1</v>
      </c>
      <c r="O1365" t="n">
        <v>4.77</v>
      </c>
      <c r="P1365" t="n">
        <v>5</v>
      </c>
      <c r="Q1365" t="n">
        <v>2</v>
      </c>
      <c r="R1365" t="n">
        <v>2024.1</v>
      </c>
      <c r="S1365" t="b">
        <v>0</v>
      </c>
      <c r="T1365" t="n">
        <v>3054881</v>
      </c>
      <c r="U1365" t="n">
        <v>10</v>
      </c>
      <c r="V1365" t="n">
        <v>0.0519</v>
      </c>
      <c r="W1365" t="n">
        <v>1.88</v>
      </c>
      <c r="X1365" t="n">
        <v>60.87</v>
      </c>
      <c r="Y1365">
        <f>VLOOKUP(D1365,$AB$2:$AC$7,2,FALSE)</f>
        <v/>
      </c>
      <c r="Z1365">
        <f>IF(A1365&lt;Y1365,"Yes","No")</f>
        <v/>
      </c>
    </row>
    <row r="1366">
      <c r="A1366" t="n">
        <v>2022</v>
      </c>
      <c r="B1366" t="inlineStr">
        <is>
          <t>Q4</t>
        </is>
      </c>
      <c r="C1366" t="inlineStr">
        <is>
          <t>Europe</t>
        </is>
      </c>
      <c r="D1366" t="inlineStr">
        <is>
          <t>Model 3</t>
        </is>
      </c>
      <c r="E1366" t="n">
        <v>2194</v>
      </c>
      <c r="F1366" t="n">
        <v>114901.43</v>
      </c>
      <c r="G1366" t="n">
        <v>37</v>
      </c>
      <c r="H1366" t="inlineStr">
        <is>
          <t>Performance</t>
        </is>
      </c>
      <c r="I1366" t="inlineStr">
        <is>
          <t>RWD</t>
        </is>
      </c>
      <c r="J1366" t="inlineStr">
        <is>
          <t>Black</t>
        </is>
      </c>
      <c r="K1366" t="n">
        <v>565</v>
      </c>
      <c r="L1366" t="n">
        <v>47</v>
      </c>
      <c r="M1366" t="n">
        <v>13.38</v>
      </c>
      <c r="N1366" t="n">
        <v>2907.4</v>
      </c>
      <c r="O1366" t="n">
        <v>4.45</v>
      </c>
      <c r="P1366" t="n">
        <v>6</v>
      </c>
      <c r="Q1366" t="n">
        <v>1</v>
      </c>
      <c r="R1366" t="n">
        <v>2020.2</v>
      </c>
      <c r="S1366" t="b">
        <v>1</v>
      </c>
      <c r="T1366" t="n">
        <v>495929</v>
      </c>
      <c r="U1366" t="n">
        <v>5</v>
      </c>
      <c r="V1366" t="n">
        <v>0.08740000000000001</v>
      </c>
      <c r="W1366" t="n">
        <v>0.99</v>
      </c>
      <c r="X1366" t="n">
        <v>75.34999999999999</v>
      </c>
      <c r="Y1366">
        <f>VLOOKUP(D1366,$AB$2:$AC$7,2,FALSE)</f>
        <v/>
      </c>
      <c r="Z1366">
        <f>IF(A1366&lt;Y1366,"Yes","No")</f>
        <v/>
      </c>
    </row>
    <row r="1367">
      <c r="A1367" t="n">
        <v>2023</v>
      </c>
      <c r="B1367" t="inlineStr">
        <is>
          <t>Q1</t>
        </is>
      </c>
      <c r="C1367" t="inlineStr">
        <is>
          <t>Europe</t>
        </is>
      </c>
      <c r="D1367" t="inlineStr">
        <is>
          <t>Semi</t>
        </is>
      </c>
      <c r="E1367" t="n">
        <v>4183</v>
      </c>
      <c r="F1367" t="n">
        <v>77397.92</v>
      </c>
      <c r="G1367" t="n">
        <v>55</v>
      </c>
      <c r="H1367" t="inlineStr">
        <is>
          <t>Long Range</t>
        </is>
      </c>
      <c r="I1367" t="inlineStr">
        <is>
          <t>AWD</t>
        </is>
      </c>
      <c r="J1367" t="inlineStr">
        <is>
          <t>Silver</t>
        </is>
      </c>
      <c r="K1367" t="n">
        <v>464</v>
      </c>
      <c r="L1367" t="n">
        <v>45</v>
      </c>
      <c r="M1367" t="n">
        <v>17.27</v>
      </c>
      <c r="N1367" t="n">
        <v>6690.49</v>
      </c>
      <c r="O1367" t="n">
        <v>3.58</v>
      </c>
      <c r="P1367" t="n">
        <v>4</v>
      </c>
      <c r="Q1367" t="n">
        <v>0</v>
      </c>
      <c r="R1367" t="n">
        <v>2024.11</v>
      </c>
      <c r="S1367" t="b">
        <v>1</v>
      </c>
      <c r="T1367" t="n">
        <v>1081198</v>
      </c>
      <c r="U1367" t="n">
        <v>7</v>
      </c>
      <c r="V1367" t="n">
        <v>0.0837</v>
      </c>
      <c r="W1367" t="n">
        <v>0.91</v>
      </c>
      <c r="X1367" t="n">
        <v>68.41</v>
      </c>
      <c r="Y1367">
        <f>VLOOKUP(D1367,$AB$2:$AC$7,2,FALSE)</f>
        <v/>
      </c>
      <c r="Z1367">
        <f>IF(A1367&lt;Y1367,"Yes","No")</f>
        <v/>
      </c>
    </row>
    <row r="1368">
      <c r="A1368" t="n">
        <v>2024</v>
      </c>
      <c r="B1368" t="inlineStr">
        <is>
          <t>Q2</t>
        </is>
      </c>
      <c r="C1368" t="inlineStr">
        <is>
          <t>Asia</t>
        </is>
      </c>
      <c r="D1368" t="inlineStr">
        <is>
          <t>Model Y</t>
        </is>
      </c>
      <c r="E1368" t="n">
        <v>3805</v>
      </c>
      <c r="F1368" t="n">
        <v>36799.95</v>
      </c>
      <c r="G1368" t="n">
        <v>40</v>
      </c>
      <c r="H1368" t="inlineStr">
        <is>
          <t>Performance</t>
        </is>
      </c>
      <c r="I1368" t="inlineStr">
        <is>
          <t>RWD</t>
        </is>
      </c>
      <c r="J1368" t="inlineStr">
        <is>
          <t>Blue</t>
        </is>
      </c>
      <c r="K1368" t="n">
        <v>434</v>
      </c>
      <c r="L1368" t="n">
        <v>62</v>
      </c>
      <c r="M1368" t="n">
        <v>22.2</v>
      </c>
      <c r="N1368" t="n">
        <v>2441.88</v>
      </c>
      <c r="O1368" t="n">
        <v>3.98</v>
      </c>
      <c r="P1368" t="n">
        <v>8</v>
      </c>
      <c r="Q1368" t="n">
        <v>2</v>
      </c>
      <c r="R1368" t="n">
        <v>2024.7</v>
      </c>
      <c r="S1368" t="b">
        <v>0</v>
      </c>
      <c r="T1368" t="n">
        <v>3981240</v>
      </c>
      <c r="U1368" t="n">
        <v>11</v>
      </c>
      <c r="V1368" t="n">
        <v>0.0701</v>
      </c>
      <c r="W1368" t="n">
        <v>1.09</v>
      </c>
      <c r="X1368" t="n">
        <v>88.81999999999999</v>
      </c>
      <c r="Y1368">
        <f>VLOOKUP(D1368,$AB$2:$AC$7,2,FALSE)</f>
        <v/>
      </c>
      <c r="Z1368">
        <f>IF(A1368&lt;Y1368,"Yes","No")</f>
        <v/>
      </c>
    </row>
    <row r="1369">
      <c r="A1369" t="n">
        <v>2017</v>
      </c>
      <c r="B1369" t="inlineStr">
        <is>
          <t>Q3</t>
        </is>
      </c>
      <c r="C1369" t="inlineStr">
        <is>
          <t>South America</t>
        </is>
      </c>
      <c r="D1369" t="inlineStr">
        <is>
          <t>Cybertruck</t>
        </is>
      </c>
      <c r="E1369" t="n">
        <v>3088</v>
      </c>
      <c r="F1369" t="n">
        <v>117982.32</v>
      </c>
      <c r="G1369" t="n">
        <v>1</v>
      </c>
      <c r="H1369" t="inlineStr">
        <is>
          <t>Long Range</t>
        </is>
      </c>
      <c r="I1369" t="inlineStr">
        <is>
          <t>RWD</t>
        </is>
      </c>
      <c r="J1369" t="inlineStr">
        <is>
          <t>Green</t>
        </is>
      </c>
      <c r="K1369" t="n">
        <v>472</v>
      </c>
      <c r="L1369" t="n">
        <v>74</v>
      </c>
      <c r="M1369" t="n">
        <v>20.55</v>
      </c>
      <c r="N1369" t="n">
        <v>2371.61</v>
      </c>
      <c r="O1369" t="n">
        <v>4.57</v>
      </c>
      <c r="P1369" t="n">
        <v>4</v>
      </c>
      <c r="Q1369" t="n">
        <v>3</v>
      </c>
      <c r="R1369" t="n">
        <v>2020.5</v>
      </c>
      <c r="S1369" t="b">
        <v>0</v>
      </c>
      <c r="T1369" t="n">
        <v>2501029</v>
      </c>
      <c r="U1369" t="n">
        <v>3</v>
      </c>
      <c r="V1369" t="n">
        <v>0.0603</v>
      </c>
      <c r="W1369" t="n">
        <v>1.75</v>
      </c>
      <c r="X1369" t="n">
        <v>88.26000000000001</v>
      </c>
      <c r="Y1369">
        <f>VLOOKUP(D1369,$AB$2:$AC$7,2,FALSE)</f>
        <v/>
      </c>
      <c r="Z1369">
        <f>IF(A1369&lt;Y1369,"Yes","No")</f>
        <v/>
      </c>
    </row>
    <row r="1370">
      <c r="A1370" t="n">
        <v>2023</v>
      </c>
      <c r="B1370" t="inlineStr">
        <is>
          <t>Q3</t>
        </is>
      </c>
      <c r="C1370" t="inlineStr">
        <is>
          <t>Europe</t>
        </is>
      </c>
      <c r="D1370" t="inlineStr">
        <is>
          <t>Semi</t>
        </is>
      </c>
      <c r="E1370" t="n">
        <v>3056</v>
      </c>
      <c r="F1370" t="n">
        <v>47190.04</v>
      </c>
      <c r="G1370" t="n">
        <v>59</v>
      </c>
      <c r="H1370" t="inlineStr">
        <is>
          <t>Standard</t>
        </is>
      </c>
      <c r="I1370" t="inlineStr">
        <is>
          <t>RWD</t>
        </is>
      </c>
      <c r="J1370" t="inlineStr">
        <is>
          <t>Green</t>
        </is>
      </c>
      <c r="K1370" t="n">
        <v>621</v>
      </c>
      <c r="L1370" t="n">
        <v>71</v>
      </c>
      <c r="M1370" t="n">
        <v>24.72</v>
      </c>
      <c r="N1370" t="n">
        <v>2530.52</v>
      </c>
      <c r="O1370" t="n">
        <v>4.64</v>
      </c>
      <c r="P1370" t="n">
        <v>8</v>
      </c>
      <c r="Q1370" t="n">
        <v>2</v>
      </c>
      <c r="R1370" t="n">
        <v>2020.2</v>
      </c>
      <c r="S1370" t="b">
        <v>1</v>
      </c>
      <c r="T1370" t="n">
        <v>876209</v>
      </c>
      <c r="U1370" t="n">
        <v>6</v>
      </c>
      <c r="V1370" t="n">
        <v>0.0849</v>
      </c>
      <c r="W1370" t="n">
        <v>1.25</v>
      </c>
      <c r="X1370" t="n">
        <v>68.86</v>
      </c>
      <c r="Y1370">
        <f>VLOOKUP(D1370,$AB$2:$AC$7,2,FALSE)</f>
        <v/>
      </c>
      <c r="Z1370">
        <f>IF(A1370&lt;Y1370,"Yes","No")</f>
        <v/>
      </c>
    </row>
    <row r="1371">
      <c r="A1371" t="n">
        <v>2016</v>
      </c>
      <c r="B1371" t="inlineStr">
        <is>
          <t>Q3</t>
        </is>
      </c>
      <c r="C1371" t="inlineStr">
        <is>
          <t>Europe</t>
        </is>
      </c>
      <c r="D1371" t="inlineStr">
        <is>
          <t>Model S</t>
        </is>
      </c>
      <c r="E1371" t="n">
        <v>1725</v>
      </c>
      <c r="F1371" t="n">
        <v>38430.62</v>
      </c>
      <c r="G1371" t="n">
        <v>51</v>
      </c>
      <c r="H1371" t="inlineStr">
        <is>
          <t>Performance</t>
        </is>
      </c>
      <c r="I1371" t="inlineStr">
        <is>
          <t>AWD</t>
        </is>
      </c>
      <c r="J1371" t="inlineStr">
        <is>
          <t>Blue</t>
        </is>
      </c>
      <c r="K1371" t="n">
        <v>672</v>
      </c>
      <c r="L1371" t="n">
        <v>54</v>
      </c>
      <c r="M1371" t="n">
        <v>22.18</v>
      </c>
      <c r="N1371" t="n">
        <v>3904.39</v>
      </c>
      <c r="O1371" t="n">
        <v>4.19</v>
      </c>
      <c r="P1371" t="n">
        <v>4</v>
      </c>
      <c r="Q1371" t="n">
        <v>1</v>
      </c>
      <c r="R1371" t="n">
        <v>2022.1</v>
      </c>
      <c r="S1371" t="b">
        <v>1</v>
      </c>
      <c r="T1371" t="n">
        <v>3139830</v>
      </c>
      <c r="U1371" t="n">
        <v>12</v>
      </c>
      <c r="V1371" t="n">
        <v>0.0872</v>
      </c>
      <c r="W1371" t="n">
        <v>0.84</v>
      </c>
      <c r="X1371" t="n">
        <v>88.12</v>
      </c>
      <c r="Y1371">
        <f>VLOOKUP(D1371,$AB$2:$AC$7,2,FALSE)</f>
        <v/>
      </c>
      <c r="Z1371">
        <f>IF(A1371&lt;Y1371,"Yes","No")</f>
        <v/>
      </c>
    </row>
    <row r="1372">
      <c r="A1372" t="n">
        <v>2024</v>
      </c>
      <c r="B1372" t="inlineStr">
        <is>
          <t>Q2</t>
        </is>
      </c>
      <c r="C1372" t="inlineStr">
        <is>
          <t>Asia</t>
        </is>
      </c>
      <c r="D1372" t="inlineStr">
        <is>
          <t>Model X</t>
        </is>
      </c>
      <c r="E1372" t="n">
        <v>128</v>
      </c>
      <c r="F1372" t="n">
        <v>97626.69</v>
      </c>
      <c r="G1372" t="n">
        <v>11</v>
      </c>
      <c r="H1372" t="inlineStr">
        <is>
          <t>Performance</t>
        </is>
      </c>
      <c r="I1372" t="inlineStr">
        <is>
          <t>AWD</t>
        </is>
      </c>
      <c r="J1372" t="inlineStr">
        <is>
          <t>Blue</t>
        </is>
      </c>
      <c r="K1372" t="n">
        <v>469</v>
      </c>
      <c r="L1372" t="n">
        <v>48</v>
      </c>
      <c r="M1372" t="n">
        <v>20.73</v>
      </c>
      <c r="N1372" t="n">
        <v>267.34</v>
      </c>
      <c r="O1372" t="n">
        <v>3.53</v>
      </c>
      <c r="P1372" t="n">
        <v>6</v>
      </c>
      <c r="Q1372" t="n">
        <v>0</v>
      </c>
      <c r="R1372" t="n">
        <v>2021.12</v>
      </c>
      <c r="S1372" t="b">
        <v>1</v>
      </c>
      <c r="T1372" t="n">
        <v>4727804</v>
      </c>
      <c r="U1372" t="n">
        <v>2</v>
      </c>
      <c r="V1372" t="n">
        <v>0.0426</v>
      </c>
      <c r="W1372" t="n">
        <v>2.16</v>
      </c>
      <c r="X1372" t="n">
        <v>64.94</v>
      </c>
      <c r="Y1372">
        <f>VLOOKUP(D1372,$AB$2:$AC$7,2,FALSE)</f>
        <v/>
      </c>
      <c r="Z1372">
        <f>IF(A1372&lt;Y1372,"Yes","No")</f>
        <v/>
      </c>
    </row>
    <row r="1373">
      <c r="A1373" t="n">
        <v>2019</v>
      </c>
      <c r="B1373" t="inlineStr">
        <is>
          <t>Q3</t>
        </is>
      </c>
      <c r="C1373" t="inlineStr">
        <is>
          <t>South America</t>
        </is>
      </c>
      <c r="D1373" t="inlineStr">
        <is>
          <t>Cybertruck</t>
        </is>
      </c>
      <c r="E1373" t="n">
        <v>550</v>
      </c>
      <c r="F1373" t="n">
        <v>95129.17</v>
      </c>
      <c r="G1373" t="n">
        <v>18</v>
      </c>
      <c r="H1373" t="inlineStr">
        <is>
          <t>Long Range</t>
        </is>
      </c>
      <c r="I1373" t="inlineStr">
        <is>
          <t>RWD</t>
        </is>
      </c>
      <c r="J1373" t="inlineStr">
        <is>
          <t>Red</t>
        </is>
      </c>
      <c r="K1373" t="n">
        <v>419</v>
      </c>
      <c r="L1373" t="n">
        <v>81</v>
      </c>
      <c r="M1373" t="n">
        <v>23.93</v>
      </c>
      <c r="N1373" t="n">
        <v>535.33</v>
      </c>
      <c r="O1373" t="n">
        <v>3.73</v>
      </c>
      <c r="P1373" t="n">
        <v>6</v>
      </c>
      <c r="Q1373" t="n">
        <v>3</v>
      </c>
      <c r="R1373" t="n">
        <v>2020.2</v>
      </c>
      <c r="S1373" t="b">
        <v>1</v>
      </c>
      <c r="T1373" t="n">
        <v>1055070</v>
      </c>
      <c r="U1373" t="n">
        <v>5</v>
      </c>
      <c r="V1373" t="n">
        <v>0.082</v>
      </c>
      <c r="W1373" t="n">
        <v>1.98</v>
      </c>
      <c r="X1373" t="n">
        <v>81.90000000000001</v>
      </c>
      <c r="Y1373">
        <f>VLOOKUP(D1373,$AB$2:$AC$7,2,FALSE)</f>
        <v/>
      </c>
      <c r="Z1373">
        <f>IF(A1373&lt;Y1373,"Yes","No")</f>
        <v/>
      </c>
    </row>
    <row r="1374">
      <c r="A1374" t="n">
        <v>2015</v>
      </c>
      <c r="B1374" t="inlineStr">
        <is>
          <t>Q3</t>
        </is>
      </c>
      <c r="C1374" t="inlineStr">
        <is>
          <t>South America</t>
        </is>
      </c>
      <c r="D1374" t="inlineStr">
        <is>
          <t>Semi</t>
        </is>
      </c>
      <c r="E1374" t="n">
        <v>3055</v>
      </c>
      <c r="F1374" t="n">
        <v>75204.28</v>
      </c>
      <c r="G1374" t="n">
        <v>12</v>
      </c>
      <c r="H1374" t="inlineStr">
        <is>
          <t>Standard</t>
        </is>
      </c>
      <c r="I1374" t="inlineStr">
        <is>
          <t>RWD</t>
        </is>
      </c>
      <c r="J1374" t="inlineStr">
        <is>
          <t>Green</t>
        </is>
      </c>
      <c r="K1374" t="n">
        <v>440</v>
      </c>
      <c r="L1374" t="n">
        <v>87</v>
      </c>
      <c r="M1374" t="n">
        <v>18.54</v>
      </c>
      <c r="N1374" t="n">
        <v>4868.84</v>
      </c>
      <c r="O1374" t="n">
        <v>3.63</v>
      </c>
      <c r="P1374" t="n">
        <v>8</v>
      </c>
      <c r="Q1374" t="n">
        <v>1</v>
      </c>
      <c r="R1374" t="n">
        <v>2022.3</v>
      </c>
      <c r="S1374" t="b">
        <v>1</v>
      </c>
      <c r="T1374" t="n">
        <v>1077249</v>
      </c>
      <c r="U1374" t="n">
        <v>4</v>
      </c>
      <c r="V1374" t="n">
        <v>0.0123</v>
      </c>
      <c r="W1374" t="n">
        <v>0.83</v>
      </c>
      <c r="X1374" t="n">
        <v>62.59</v>
      </c>
      <c r="Y1374">
        <f>VLOOKUP(D1374,$AB$2:$AC$7,2,FALSE)</f>
        <v/>
      </c>
      <c r="Z1374">
        <f>IF(A1374&lt;Y1374,"Yes","No")</f>
        <v/>
      </c>
    </row>
    <row r="1375">
      <c r="A1375" t="n">
        <v>2023</v>
      </c>
      <c r="B1375" t="inlineStr">
        <is>
          <t>Q2</t>
        </is>
      </c>
      <c r="C1375" t="inlineStr">
        <is>
          <t>South America</t>
        </is>
      </c>
      <c r="D1375" t="inlineStr">
        <is>
          <t>Model S</t>
        </is>
      </c>
      <c r="E1375" t="n">
        <v>1883</v>
      </c>
      <c r="F1375" t="n">
        <v>38351.85</v>
      </c>
      <c r="G1375" t="n">
        <v>18</v>
      </c>
      <c r="H1375" t="inlineStr">
        <is>
          <t>Performance</t>
        </is>
      </c>
      <c r="I1375" t="inlineStr">
        <is>
          <t>RWD</t>
        </is>
      </c>
      <c r="J1375" t="inlineStr">
        <is>
          <t>Silver</t>
        </is>
      </c>
      <c r="K1375" t="n">
        <v>367</v>
      </c>
      <c r="L1375" t="n">
        <v>40</v>
      </c>
      <c r="M1375" t="n">
        <v>20.42</v>
      </c>
      <c r="N1375" t="n">
        <v>4522.17</v>
      </c>
      <c r="O1375" t="n">
        <v>3.58</v>
      </c>
      <c r="P1375" t="n">
        <v>4</v>
      </c>
      <c r="Q1375" t="n">
        <v>3</v>
      </c>
      <c r="R1375" t="n">
        <v>2023.5</v>
      </c>
      <c r="S1375" t="b">
        <v>0</v>
      </c>
      <c r="T1375" t="n">
        <v>1423582</v>
      </c>
      <c r="U1375" t="n">
        <v>5</v>
      </c>
      <c r="V1375" t="n">
        <v>0.0205</v>
      </c>
      <c r="W1375" t="n">
        <v>1.64</v>
      </c>
      <c r="X1375" t="n">
        <v>80.28</v>
      </c>
      <c r="Y1375">
        <f>VLOOKUP(D1375,$AB$2:$AC$7,2,FALSE)</f>
        <v/>
      </c>
      <c r="Z1375">
        <f>IF(A1375&lt;Y1375,"Yes","No")</f>
        <v/>
      </c>
    </row>
    <row r="1376">
      <c r="A1376" t="n">
        <v>2021</v>
      </c>
      <c r="B1376" t="inlineStr">
        <is>
          <t>Q1</t>
        </is>
      </c>
      <c r="C1376" t="inlineStr">
        <is>
          <t>South America</t>
        </is>
      </c>
      <c r="D1376" t="inlineStr">
        <is>
          <t>Model 3</t>
        </is>
      </c>
      <c r="E1376" t="n">
        <v>624</v>
      </c>
      <c r="F1376" t="n">
        <v>92009.60000000001</v>
      </c>
      <c r="G1376" t="n">
        <v>12</v>
      </c>
      <c r="H1376" t="inlineStr">
        <is>
          <t>Long Range</t>
        </is>
      </c>
      <c r="I1376" t="inlineStr">
        <is>
          <t>RWD</t>
        </is>
      </c>
      <c r="J1376" t="inlineStr">
        <is>
          <t>Silver</t>
        </is>
      </c>
      <c r="K1376" t="n">
        <v>455</v>
      </c>
      <c r="L1376" t="n">
        <v>36</v>
      </c>
      <c r="M1376" t="n">
        <v>18.31</v>
      </c>
      <c r="N1376" t="n">
        <v>501.2</v>
      </c>
      <c r="O1376" t="n">
        <v>4.64</v>
      </c>
      <c r="P1376" t="n">
        <v>8</v>
      </c>
      <c r="Q1376" t="n">
        <v>3</v>
      </c>
      <c r="R1376" t="n">
        <v>2020.5</v>
      </c>
      <c r="S1376" t="b">
        <v>1</v>
      </c>
      <c r="T1376" t="n">
        <v>4162209</v>
      </c>
      <c r="U1376" t="n">
        <v>3</v>
      </c>
      <c r="V1376" t="n">
        <v>0.011</v>
      </c>
      <c r="W1376" t="n">
        <v>1.81</v>
      </c>
      <c r="X1376" t="n">
        <v>80.72</v>
      </c>
      <c r="Y1376">
        <f>VLOOKUP(D1376,$AB$2:$AC$7,2,FALSE)</f>
        <v/>
      </c>
      <c r="Z1376">
        <f>IF(A1376&lt;Y1376,"Yes","No")</f>
        <v/>
      </c>
    </row>
    <row r="1377">
      <c r="A1377" t="n">
        <v>2021</v>
      </c>
      <c r="B1377" t="inlineStr">
        <is>
          <t>Q1</t>
        </is>
      </c>
      <c r="C1377" t="inlineStr">
        <is>
          <t>South America</t>
        </is>
      </c>
      <c r="D1377" t="inlineStr">
        <is>
          <t>Model S</t>
        </is>
      </c>
      <c r="E1377" t="n">
        <v>4196</v>
      </c>
      <c r="F1377" t="n">
        <v>102420.6</v>
      </c>
      <c r="G1377" t="n">
        <v>30</v>
      </c>
      <c r="H1377" t="inlineStr">
        <is>
          <t>Long Range</t>
        </is>
      </c>
      <c r="I1377" t="inlineStr">
        <is>
          <t>AWD</t>
        </is>
      </c>
      <c r="J1377" t="inlineStr">
        <is>
          <t>White</t>
        </is>
      </c>
      <c r="K1377" t="n">
        <v>365</v>
      </c>
      <c r="L1377" t="n">
        <v>37</v>
      </c>
      <c r="M1377" t="n">
        <v>15.87</v>
      </c>
      <c r="N1377" t="n">
        <v>3826.28</v>
      </c>
      <c r="O1377" t="n">
        <v>3.74</v>
      </c>
      <c r="P1377" t="n">
        <v>5</v>
      </c>
      <c r="Q1377" t="n">
        <v>2</v>
      </c>
      <c r="R1377" t="n">
        <v>2022.1</v>
      </c>
      <c r="S1377" t="b">
        <v>0</v>
      </c>
      <c r="T1377" t="n">
        <v>3705904</v>
      </c>
      <c r="U1377" t="n">
        <v>2</v>
      </c>
      <c r="V1377" t="n">
        <v>0.09619999999999999</v>
      </c>
      <c r="W1377" t="n">
        <v>0.65</v>
      </c>
      <c r="X1377" t="n">
        <v>86.83</v>
      </c>
      <c r="Y1377">
        <f>VLOOKUP(D1377,$AB$2:$AC$7,2,FALSE)</f>
        <v/>
      </c>
      <c r="Z1377">
        <f>IF(A1377&lt;Y1377,"Yes","No")</f>
        <v/>
      </c>
    </row>
    <row r="1378">
      <c r="A1378" t="n">
        <v>2019</v>
      </c>
      <c r="B1378" t="inlineStr">
        <is>
          <t>Q4</t>
        </is>
      </c>
      <c r="C1378" t="inlineStr">
        <is>
          <t>Asia</t>
        </is>
      </c>
      <c r="D1378" t="inlineStr">
        <is>
          <t>Model S</t>
        </is>
      </c>
      <c r="E1378" t="n">
        <v>4112</v>
      </c>
      <c r="F1378" t="n">
        <v>73571.47</v>
      </c>
      <c r="G1378" t="n">
        <v>48</v>
      </c>
      <c r="H1378" t="inlineStr">
        <is>
          <t>Performance</t>
        </is>
      </c>
      <c r="I1378" t="inlineStr">
        <is>
          <t>AWD</t>
        </is>
      </c>
      <c r="J1378" t="inlineStr">
        <is>
          <t>White</t>
        </is>
      </c>
      <c r="K1378" t="n">
        <v>684</v>
      </c>
      <c r="L1378" t="n">
        <v>59</v>
      </c>
      <c r="M1378" t="n">
        <v>14.82</v>
      </c>
      <c r="N1378" t="n">
        <v>2674.79</v>
      </c>
      <c r="O1378" t="n">
        <v>4.07</v>
      </c>
      <c r="P1378" t="n">
        <v>5</v>
      </c>
      <c r="Q1378" t="n">
        <v>0</v>
      </c>
      <c r="R1378" t="n">
        <v>2023.1</v>
      </c>
      <c r="S1378" t="b">
        <v>1</v>
      </c>
      <c r="T1378" t="n">
        <v>4273023</v>
      </c>
      <c r="U1378" t="n">
        <v>12</v>
      </c>
      <c r="V1378" t="n">
        <v>0.0553</v>
      </c>
      <c r="W1378" t="n">
        <v>0.65</v>
      </c>
      <c r="X1378" t="n">
        <v>79.56999999999999</v>
      </c>
      <c r="Y1378">
        <f>VLOOKUP(D1378,$AB$2:$AC$7,2,FALSE)</f>
        <v/>
      </c>
      <c r="Z1378">
        <f>IF(A1378&lt;Y1378,"Yes","No")</f>
        <v/>
      </c>
    </row>
    <row r="1379">
      <c r="A1379" t="n">
        <v>2022</v>
      </c>
      <c r="B1379" t="inlineStr">
        <is>
          <t>Q1</t>
        </is>
      </c>
      <c r="C1379" t="inlineStr">
        <is>
          <t>Asia</t>
        </is>
      </c>
      <c r="D1379" t="inlineStr">
        <is>
          <t>Semi</t>
        </is>
      </c>
      <c r="E1379" t="n">
        <v>3650</v>
      </c>
      <c r="F1379" t="n">
        <v>118007.07</v>
      </c>
      <c r="G1379" t="n">
        <v>1</v>
      </c>
      <c r="H1379" t="inlineStr">
        <is>
          <t>Standard</t>
        </is>
      </c>
      <c r="I1379" t="inlineStr">
        <is>
          <t>RWD</t>
        </is>
      </c>
      <c r="J1379" t="inlineStr">
        <is>
          <t>Black</t>
        </is>
      </c>
      <c r="K1379" t="n">
        <v>380</v>
      </c>
      <c r="L1379" t="n">
        <v>57</v>
      </c>
      <c r="M1379" t="n">
        <v>17.79</v>
      </c>
      <c r="N1379" t="n">
        <v>5195.09</v>
      </c>
      <c r="O1379" t="n">
        <v>3.52</v>
      </c>
      <c r="P1379" t="n">
        <v>6</v>
      </c>
      <c r="Q1379" t="n">
        <v>3</v>
      </c>
      <c r="R1379" t="n">
        <v>2024.7</v>
      </c>
      <c r="S1379" t="b">
        <v>0</v>
      </c>
      <c r="T1379" t="n">
        <v>2159943</v>
      </c>
      <c r="U1379" t="n">
        <v>4</v>
      </c>
      <c r="V1379" t="n">
        <v>0.0988</v>
      </c>
      <c r="W1379" t="n">
        <v>1</v>
      </c>
      <c r="X1379" t="n">
        <v>80.7</v>
      </c>
      <c r="Y1379">
        <f>VLOOKUP(D1379,$AB$2:$AC$7,2,FALSE)</f>
        <v/>
      </c>
      <c r="Z1379">
        <f>IF(A1379&lt;Y1379,"Yes","No")</f>
        <v/>
      </c>
    </row>
    <row r="1380">
      <c r="A1380" t="n">
        <v>2012</v>
      </c>
      <c r="B1380" t="inlineStr">
        <is>
          <t>Q1</t>
        </is>
      </c>
      <c r="C1380" t="inlineStr">
        <is>
          <t>Australia</t>
        </is>
      </c>
      <c r="D1380" t="inlineStr">
        <is>
          <t>Model S</t>
        </is>
      </c>
      <c r="E1380" t="n">
        <v>2657</v>
      </c>
      <c r="F1380" t="n">
        <v>79447.77</v>
      </c>
      <c r="G1380" t="n">
        <v>0</v>
      </c>
      <c r="H1380" t="inlineStr">
        <is>
          <t>Standard</t>
        </is>
      </c>
      <c r="I1380" t="inlineStr">
        <is>
          <t>RWD</t>
        </is>
      </c>
      <c r="J1380" t="inlineStr">
        <is>
          <t>Red</t>
        </is>
      </c>
      <c r="K1380" t="n">
        <v>490</v>
      </c>
      <c r="L1380" t="n">
        <v>71</v>
      </c>
      <c r="M1380" t="n">
        <v>13.58</v>
      </c>
      <c r="N1380" t="n">
        <v>3564.93</v>
      </c>
      <c r="O1380" t="n">
        <v>3.87</v>
      </c>
      <c r="P1380" t="n">
        <v>5</v>
      </c>
      <c r="Q1380" t="n">
        <v>2</v>
      </c>
      <c r="R1380" t="n">
        <v>2021.1</v>
      </c>
      <c r="S1380" t="b">
        <v>0</v>
      </c>
      <c r="T1380" t="n">
        <v>2932373</v>
      </c>
      <c r="U1380" t="n">
        <v>10</v>
      </c>
      <c r="V1380" t="n">
        <v>0.08</v>
      </c>
      <c r="W1380" t="n">
        <v>1.09</v>
      </c>
      <c r="X1380" t="n">
        <v>86.45</v>
      </c>
      <c r="Y1380">
        <f>VLOOKUP(D1380,$AB$2:$AC$7,2,FALSE)</f>
        <v/>
      </c>
      <c r="Z1380">
        <f>IF(A1380&lt;Y1380,"Yes","No")</f>
        <v/>
      </c>
    </row>
    <row r="1381">
      <c r="A1381" t="n">
        <v>2020</v>
      </c>
      <c r="B1381" t="inlineStr">
        <is>
          <t>Q2</t>
        </is>
      </c>
      <c r="C1381" t="inlineStr">
        <is>
          <t>South America</t>
        </is>
      </c>
      <c r="D1381" t="inlineStr">
        <is>
          <t>Semi</t>
        </is>
      </c>
      <c r="E1381" t="n">
        <v>1451</v>
      </c>
      <c r="F1381" t="n">
        <v>55689.5</v>
      </c>
      <c r="G1381" t="n">
        <v>21</v>
      </c>
      <c r="H1381" t="inlineStr">
        <is>
          <t>Performance</t>
        </is>
      </c>
      <c r="I1381" t="inlineStr">
        <is>
          <t>AWD</t>
        </is>
      </c>
      <c r="J1381" t="inlineStr">
        <is>
          <t>Silver</t>
        </is>
      </c>
      <c r="K1381" t="n">
        <v>602</v>
      </c>
      <c r="L1381" t="n">
        <v>41</v>
      </c>
      <c r="M1381" t="n">
        <v>14.71</v>
      </c>
      <c r="N1381" t="n">
        <v>3194.86</v>
      </c>
      <c r="O1381" t="n">
        <v>3.99</v>
      </c>
      <c r="P1381" t="n">
        <v>5</v>
      </c>
      <c r="Q1381" t="n">
        <v>2</v>
      </c>
      <c r="R1381" t="n">
        <v>2024.6</v>
      </c>
      <c r="S1381" t="b">
        <v>0</v>
      </c>
      <c r="T1381" t="n">
        <v>3086937</v>
      </c>
      <c r="U1381" t="n">
        <v>7</v>
      </c>
      <c r="V1381" t="n">
        <v>0.0999</v>
      </c>
      <c r="W1381" t="n">
        <v>0.73</v>
      </c>
      <c r="X1381" t="n">
        <v>78.61</v>
      </c>
      <c r="Y1381">
        <f>VLOOKUP(D1381,$AB$2:$AC$7,2,FALSE)</f>
        <v/>
      </c>
      <c r="Z1381">
        <f>IF(A1381&lt;Y1381,"Yes","No")</f>
        <v/>
      </c>
    </row>
    <row r="1382">
      <c r="A1382" t="n">
        <v>2013</v>
      </c>
      <c r="B1382" t="inlineStr">
        <is>
          <t>Q4</t>
        </is>
      </c>
      <c r="C1382" t="inlineStr">
        <is>
          <t>North America</t>
        </is>
      </c>
      <c r="D1382" t="inlineStr">
        <is>
          <t>Model 3</t>
        </is>
      </c>
      <c r="E1382" t="n">
        <v>2596</v>
      </c>
      <c r="F1382" t="n">
        <v>79147.32000000001</v>
      </c>
      <c r="G1382" t="n">
        <v>10</v>
      </c>
      <c r="H1382" t="inlineStr">
        <is>
          <t>Standard</t>
        </is>
      </c>
      <c r="I1382" t="inlineStr">
        <is>
          <t>RWD</t>
        </is>
      </c>
      <c r="J1382" t="inlineStr">
        <is>
          <t>Blue</t>
        </is>
      </c>
      <c r="K1382" t="n">
        <v>627</v>
      </c>
      <c r="L1382" t="n">
        <v>65</v>
      </c>
      <c r="M1382" t="n">
        <v>23.91</v>
      </c>
      <c r="N1382" t="n">
        <v>4142.2</v>
      </c>
      <c r="O1382" t="n">
        <v>4.23</v>
      </c>
      <c r="P1382" t="n">
        <v>8</v>
      </c>
      <c r="Q1382" t="n">
        <v>1</v>
      </c>
      <c r="R1382" t="n">
        <v>2021.4</v>
      </c>
      <c r="S1382" t="b">
        <v>1</v>
      </c>
      <c r="T1382" t="n">
        <v>372978</v>
      </c>
      <c r="U1382" t="n">
        <v>6</v>
      </c>
      <c r="V1382" t="n">
        <v>0.0725</v>
      </c>
      <c r="W1382" t="n">
        <v>1.32</v>
      </c>
      <c r="X1382" t="n">
        <v>73.17</v>
      </c>
      <c r="Y1382">
        <f>VLOOKUP(D1382,$AB$2:$AC$7,2,FALSE)</f>
        <v/>
      </c>
      <c r="Z1382">
        <f>IF(A1382&lt;Y1382,"Yes","No")</f>
        <v/>
      </c>
    </row>
    <row r="1383">
      <c r="A1383" t="n">
        <v>2020</v>
      </c>
      <c r="B1383" t="inlineStr">
        <is>
          <t>Q3</t>
        </is>
      </c>
      <c r="C1383" t="inlineStr">
        <is>
          <t>Australia</t>
        </is>
      </c>
      <c r="D1383" t="inlineStr">
        <is>
          <t>Model Y</t>
        </is>
      </c>
      <c r="E1383" t="n">
        <v>2290</v>
      </c>
      <c r="F1383" t="n">
        <v>78967.16</v>
      </c>
      <c r="G1383" t="n">
        <v>47</v>
      </c>
      <c r="H1383" t="inlineStr">
        <is>
          <t>Long Range</t>
        </is>
      </c>
      <c r="I1383" t="inlineStr">
        <is>
          <t>RWD</t>
        </is>
      </c>
      <c r="J1383" t="inlineStr">
        <is>
          <t>Red</t>
        </is>
      </c>
      <c r="K1383" t="n">
        <v>551</v>
      </c>
      <c r="L1383" t="n">
        <v>44</v>
      </c>
      <c r="M1383" t="n">
        <v>18.89</v>
      </c>
      <c r="N1383" t="n">
        <v>1549.58</v>
      </c>
      <c r="O1383" t="n">
        <v>3.56</v>
      </c>
      <c r="P1383" t="n">
        <v>5</v>
      </c>
      <c r="Q1383" t="n">
        <v>0</v>
      </c>
      <c r="R1383" t="n">
        <v>2023.6</v>
      </c>
      <c r="S1383" t="b">
        <v>0</v>
      </c>
      <c r="T1383" t="n">
        <v>1514797</v>
      </c>
      <c r="U1383" t="n">
        <v>11</v>
      </c>
      <c r="V1383" t="n">
        <v>0.0498</v>
      </c>
      <c r="W1383" t="n">
        <v>1.3</v>
      </c>
      <c r="X1383" t="n">
        <v>63.65</v>
      </c>
      <c r="Y1383">
        <f>VLOOKUP(D1383,$AB$2:$AC$7,2,FALSE)</f>
        <v/>
      </c>
      <c r="Z1383">
        <f>IF(A1383&lt;Y1383,"Yes","No")</f>
        <v/>
      </c>
    </row>
    <row r="1384">
      <c r="A1384" t="n">
        <v>2017</v>
      </c>
      <c r="B1384" t="inlineStr">
        <is>
          <t>Q3</t>
        </is>
      </c>
      <c r="C1384" t="inlineStr">
        <is>
          <t>North America</t>
        </is>
      </c>
      <c r="D1384" t="inlineStr">
        <is>
          <t>Cybertruck</t>
        </is>
      </c>
      <c r="E1384" t="n">
        <v>897</v>
      </c>
      <c r="F1384" t="n">
        <v>44427.19</v>
      </c>
      <c r="G1384" t="n">
        <v>49</v>
      </c>
      <c r="H1384" t="inlineStr">
        <is>
          <t>Long Range</t>
        </is>
      </c>
      <c r="I1384" t="inlineStr">
        <is>
          <t>RWD</t>
        </is>
      </c>
      <c r="J1384" t="inlineStr">
        <is>
          <t>Red</t>
        </is>
      </c>
      <c r="K1384" t="n">
        <v>539</v>
      </c>
      <c r="L1384" t="n">
        <v>58</v>
      </c>
      <c r="M1384" t="n">
        <v>15.14</v>
      </c>
      <c r="N1384" t="n">
        <v>650.76</v>
      </c>
      <c r="O1384" t="n">
        <v>3.97</v>
      </c>
      <c r="P1384" t="n">
        <v>5</v>
      </c>
      <c r="Q1384" t="n">
        <v>3</v>
      </c>
      <c r="R1384" t="n">
        <v>2020.2</v>
      </c>
      <c r="S1384" t="b">
        <v>0</v>
      </c>
      <c r="T1384" t="n">
        <v>4621585</v>
      </c>
      <c r="U1384" t="n">
        <v>8</v>
      </c>
      <c r="V1384" t="n">
        <v>0.0206</v>
      </c>
      <c r="W1384" t="n">
        <v>1.11</v>
      </c>
      <c r="X1384" t="n">
        <v>87.52</v>
      </c>
      <c r="Y1384">
        <f>VLOOKUP(D1384,$AB$2:$AC$7,2,FALSE)</f>
        <v/>
      </c>
      <c r="Z1384">
        <f>IF(A1384&lt;Y1384,"Yes","No")</f>
        <v/>
      </c>
    </row>
    <row r="1385">
      <c r="A1385" t="n">
        <v>2015</v>
      </c>
      <c r="B1385" t="inlineStr">
        <is>
          <t>Q4</t>
        </is>
      </c>
      <c r="C1385" t="inlineStr">
        <is>
          <t>North America</t>
        </is>
      </c>
      <c r="D1385" t="inlineStr">
        <is>
          <t>Model S</t>
        </is>
      </c>
      <c r="E1385" t="n">
        <v>4280</v>
      </c>
      <c r="F1385" t="n">
        <v>86643.60000000001</v>
      </c>
      <c r="G1385" t="n">
        <v>25</v>
      </c>
      <c r="H1385" t="inlineStr">
        <is>
          <t>Performance</t>
        </is>
      </c>
      <c r="I1385" t="inlineStr">
        <is>
          <t>AWD</t>
        </is>
      </c>
      <c r="J1385" t="inlineStr">
        <is>
          <t>White</t>
        </is>
      </c>
      <c r="K1385" t="n">
        <v>524</v>
      </c>
      <c r="L1385" t="n">
        <v>51</v>
      </c>
      <c r="M1385" t="n">
        <v>21.51</v>
      </c>
      <c r="N1385" t="n">
        <v>4447.89</v>
      </c>
      <c r="O1385" t="n">
        <v>4.96</v>
      </c>
      <c r="P1385" t="n">
        <v>6</v>
      </c>
      <c r="Q1385" t="n">
        <v>1</v>
      </c>
      <c r="R1385" t="n">
        <v>2023.9</v>
      </c>
      <c r="S1385" t="b">
        <v>1</v>
      </c>
      <c r="T1385" t="n">
        <v>3285782</v>
      </c>
      <c r="U1385" t="n">
        <v>10</v>
      </c>
      <c r="V1385" t="n">
        <v>0.07779999999999999</v>
      </c>
      <c r="W1385" t="n">
        <v>2.35</v>
      </c>
      <c r="X1385" t="n">
        <v>88.29000000000001</v>
      </c>
      <c r="Y1385">
        <f>VLOOKUP(D1385,$AB$2:$AC$7,2,FALSE)</f>
        <v/>
      </c>
      <c r="Z1385">
        <f>IF(A1385&lt;Y1385,"Yes","No")</f>
        <v/>
      </c>
    </row>
    <row r="1386">
      <c r="A1386" t="n">
        <v>2015</v>
      </c>
      <c r="B1386" t="inlineStr">
        <is>
          <t>Q4</t>
        </is>
      </c>
      <c r="C1386" t="inlineStr">
        <is>
          <t>Australia</t>
        </is>
      </c>
      <c r="D1386" t="inlineStr">
        <is>
          <t>Model S</t>
        </is>
      </c>
      <c r="E1386" t="n">
        <v>2236</v>
      </c>
      <c r="F1386" t="n">
        <v>103591.16</v>
      </c>
      <c r="G1386" t="n">
        <v>12</v>
      </c>
      <c r="H1386" t="inlineStr">
        <is>
          <t>Long Range</t>
        </is>
      </c>
      <c r="I1386" t="inlineStr">
        <is>
          <t>RWD</t>
        </is>
      </c>
      <c r="J1386" t="inlineStr">
        <is>
          <t>Green</t>
        </is>
      </c>
      <c r="K1386" t="n">
        <v>511</v>
      </c>
      <c r="L1386" t="n">
        <v>47</v>
      </c>
      <c r="M1386" t="n">
        <v>24.9</v>
      </c>
      <c r="N1386" t="n">
        <v>4908.47</v>
      </c>
      <c r="O1386" t="n">
        <v>4.03</v>
      </c>
      <c r="P1386" t="n">
        <v>8</v>
      </c>
      <c r="Q1386" t="n">
        <v>3</v>
      </c>
      <c r="R1386" t="n">
        <v>2020.1</v>
      </c>
      <c r="S1386" t="b">
        <v>1</v>
      </c>
      <c r="T1386" t="n">
        <v>158261</v>
      </c>
      <c r="U1386" t="n">
        <v>3</v>
      </c>
      <c r="V1386" t="n">
        <v>0.0183</v>
      </c>
      <c r="W1386" t="n">
        <v>2.41</v>
      </c>
      <c r="X1386" t="n">
        <v>79.31</v>
      </c>
      <c r="Y1386">
        <f>VLOOKUP(D1386,$AB$2:$AC$7,2,FALSE)</f>
        <v/>
      </c>
      <c r="Z1386">
        <f>IF(A1386&lt;Y1386,"Yes","No")</f>
        <v/>
      </c>
    </row>
    <row r="1387">
      <c r="A1387" t="n">
        <v>2014</v>
      </c>
      <c r="B1387" t="inlineStr">
        <is>
          <t>Q2</t>
        </is>
      </c>
      <c r="C1387" t="inlineStr">
        <is>
          <t>Australia</t>
        </is>
      </c>
      <c r="D1387" t="inlineStr">
        <is>
          <t>Model 3</t>
        </is>
      </c>
      <c r="E1387" t="n">
        <v>1856</v>
      </c>
      <c r="F1387" t="n">
        <v>117337.3</v>
      </c>
      <c r="G1387" t="n">
        <v>24</v>
      </c>
      <c r="H1387" t="inlineStr">
        <is>
          <t>Performance</t>
        </is>
      </c>
      <c r="I1387" t="inlineStr">
        <is>
          <t>RWD</t>
        </is>
      </c>
      <c r="J1387" t="inlineStr">
        <is>
          <t>White</t>
        </is>
      </c>
      <c r="K1387" t="n">
        <v>414</v>
      </c>
      <c r="L1387" t="n">
        <v>74</v>
      </c>
      <c r="M1387" t="n">
        <v>14.19</v>
      </c>
      <c r="N1387" t="n">
        <v>4110.08</v>
      </c>
      <c r="O1387" t="n">
        <v>4.95</v>
      </c>
      <c r="P1387" t="n">
        <v>8</v>
      </c>
      <c r="Q1387" t="n">
        <v>1</v>
      </c>
      <c r="R1387" t="n">
        <v>2023.9</v>
      </c>
      <c r="S1387" t="b">
        <v>1</v>
      </c>
      <c r="T1387" t="n">
        <v>4588570</v>
      </c>
      <c r="U1387" t="n">
        <v>7</v>
      </c>
      <c r="V1387" t="n">
        <v>0.0692</v>
      </c>
      <c r="W1387" t="n">
        <v>2.25</v>
      </c>
      <c r="X1387" t="n">
        <v>88.27</v>
      </c>
      <c r="Y1387">
        <f>VLOOKUP(D1387,$AB$2:$AC$7,2,FALSE)</f>
        <v/>
      </c>
      <c r="Z1387">
        <f>IF(A1387&lt;Y1387,"Yes","No")</f>
        <v/>
      </c>
    </row>
    <row r="1388">
      <c r="A1388" t="n">
        <v>2017</v>
      </c>
      <c r="B1388" t="inlineStr">
        <is>
          <t>Q4</t>
        </is>
      </c>
      <c r="C1388" t="inlineStr">
        <is>
          <t>North America</t>
        </is>
      </c>
      <c r="D1388" t="inlineStr">
        <is>
          <t>Cybertruck</t>
        </is>
      </c>
      <c r="E1388" t="n">
        <v>1636</v>
      </c>
      <c r="F1388" t="n">
        <v>56984.21</v>
      </c>
      <c r="G1388" t="n">
        <v>49</v>
      </c>
      <c r="H1388" t="inlineStr">
        <is>
          <t>Performance</t>
        </is>
      </c>
      <c r="I1388" t="inlineStr">
        <is>
          <t>AWD</t>
        </is>
      </c>
      <c r="J1388" t="inlineStr">
        <is>
          <t>Blue</t>
        </is>
      </c>
      <c r="K1388" t="n">
        <v>699</v>
      </c>
      <c r="L1388" t="n">
        <v>88</v>
      </c>
      <c r="M1388" t="n">
        <v>23.88</v>
      </c>
      <c r="N1388" t="n">
        <v>926.45</v>
      </c>
      <c r="O1388" t="n">
        <v>3.67</v>
      </c>
      <c r="P1388" t="n">
        <v>5</v>
      </c>
      <c r="Q1388" t="n">
        <v>3</v>
      </c>
      <c r="R1388" t="n">
        <v>2022.1</v>
      </c>
      <c r="S1388" t="b">
        <v>1</v>
      </c>
      <c r="T1388" t="n">
        <v>2407660</v>
      </c>
      <c r="U1388" t="n">
        <v>10</v>
      </c>
      <c r="V1388" t="n">
        <v>0.06660000000000001</v>
      </c>
      <c r="W1388" t="n">
        <v>1.62</v>
      </c>
      <c r="X1388" t="n">
        <v>65.66</v>
      </c>
      <c r="Y1388">
        <f>VLOOKUP(D1388,$AB$2:$AC$7,2,FALSE)</f>
        <v/>
      </c>
      <c r="Z1388">
        <f>IF(A1388&lt;Y1388,"Yes","No")</f>
        <v/>
      </c>
    </row>
    <row r="1389">
      <c r="A1389" t="n">
        <v>2023</v>
      </c>
      <c r="B1389" t="inlineStr">
        <is>
          <t>Q4</t>
        </is>
      </c>
      <c r="C1389" t="inlineStr">
        <is>
          <t>Australia</t>
        </is>
      </c>
      <c r="D1389" t="inlineStr">
        <is>
          <t>Model S</t>
        </is>
      </c>
      <c r="E1389" t="n">
        <v>177</v>
      </c>
      <c r="F1389" t="n">
        <v>93737.33</v>
      </c>
      <c r="G1389" t="n">
        <v>11</v>
      </c>
      <c r="H1389" t="inlineStr">
        <is>
          <t>Long Range</t>
        </is>
      </c>
      <c r="I1389" t="inlineStr">
        <is>
          <t>RWD</t>
        </is>
      </c>
      <c r="J1389" t="inlineStr">
        <is>
          <t>Green</t>
        </is>
      </c>
      <c r="K1389" t="n">
        <v>688</v>
      </c>
      <c r="L1389" t="n">
        <v>66</v>
      </c>
      <c r="M1389" t="n">
        <v>17.02</v>
      </c>
      <c r="N1389" t="n">
        <v>339.78</v>
      </c>
      <c r="O1389" t="n">
        <v>3.96</v>
      </c>
      <c r="P1389" t="n">
        <v>5</v>
      </c>
      <c r="Q1389" t="n">
        <v>2</v>
      </c>
      <c r="R1389" t="n">
        <v>2022.5</v>
      </c>
      <c r="S1389" t="b">
        <v>0</v>
      </c>
      <c r="T1389" t="n">
        <v>3688199</v>
      </c>
      <c r="U1389" t="n">
        <v>11</v>
      </c>
      <c r="V1389" t="n">
        <v>0.0396</v>
      </c>
      <c r="W1389" t="n">
        <v>0.78</v>
      </c>
      <c r="X1389" t="n">
        <v>62.54</v>
      </c>
      <c r="Y1389">
        <f>VLOOKUP(D1389,$AB$2:$AC$7,2,FALSE)</f>
        <v/>
      </c>
      <c r="Z1389">
        <f>IF(A1389&lt;Y1389,"Yes","No")</f>
        <v/>
      </c>
    </row>
    <row r="1390">
      <c r="A1390" t="n">
        <v>2023</v>
      </c>
      <c r="B1390" t="inlineStr">
        <is>
          <t>Q4</t>
        </is>
      </c>
      <c r="C1390" t="inlineStr">
        <is>
          <t>Asia</t>
        </is>
      </c>
      <c r="D1390" t="inlineStr">
        <is>
          <t>Model Y</t>
        </is>
      </c>
      <c r="E1390" t="n">
        <v>1118</v>
      </c>
      <c r="F1390" t="n">
        <v>75345.31</v>
      </c>
      <c r="G1390" t="n">
        <v>10</v>
      </c>
      <c r="H1390" t="inlineStr">
        <is>
          <t>Performance</t>
        </is>
      </c>
      <c r="I1390" t="inlineStr">
        <is>
          <t>AWD</t>
        </is>
      </c>
      <c r="J1390" t="inlineStr">
        <is>
          <t>Red</t>
        </is>
      </c>
      <c r="K1390" t="n">
        <v>407</v>
      </c>
      <c r="L1390" t="n">
        <v>56</v>
      </c>
      <c r="M1390" t="n">
        <v>24.6</v>
      </c>
      <c r="N1390" t="n">
        <v>2219.2</v>
      </c>
      <c r="O1390" t="n">
        <v>4.99</v>
      </c>
      <c r="P1390" t="n">
        <v>4</v>
      </c>
      <c r="Q1390" t="n">
        <v>3</v>
      </c>
      <c r="R1390" t="n">
        <v>2021.5</v>
      </c>
      <c r="S1390" t="b">
        <v>0</v>
      </c>
      <c r="T1390" t="n">
        <v>3966789</v>
      </c>
      <c r="U1390" t="n">
        <v>11</v>
      </c>
      <c r="V1390" t="n">
        <v>0.0696</v>
      </c>
      <c r="W1390" t="n">
        <v>1.07</v>
      </c>
      <c r="X1390" t="n">
        <v>82.54000000000001</v>
      </c>
      <c r="Y1390">
        <f>VLOOKUP(D1390,$AB$2:$AC$7,2,FALSE)</f>
        <v/>
      </c>
      <c r="Z1390">
        <f>IF(A1390&lt;Y1390,"Yes","No")</f>
        <v/>
      </c>
    </row>
    <row r="1391">
      <c r="A1391" t="n">
        <v>2021</v>
      </c>
      <c r="B1391" t="inlineStr">
        <is>
          <t>Q2</t>
        </is>
      </c>
      <c r="C1391" t="inlineStr">
        <is>
          <t>Europe</t>
        </is>
      </c>
      <c r="D1391" t="inlineStr">
        <is>
          <t>Model X</t>
        </is>
      </c>
      <c r="E1391" t="n">
        <v>1012</v>
      </c>
      <c r="F1391" t="n">
        <v>104369.75</v>
      </c>
      <c r="G1391" t="n">
        <v>45</v>
      </c>
      <c r="H1391" t="inlineStr">
        <is>
          <t>Standard</t>
        </is>
      </c>
      <c r="I1391" t="inlineStr">
        <is>
          <t>AWD</t>
        </is>
      </c>
      <c r="J1391" t="inlineStr">
        <is>
          <t>Black</t>
        </is>
      </c>
      <c r="K1391" t="n">
        <v>566</v>
      </c>
      <c r="L1391" t="n">
        <v>47</v>
      </c>
      <c r="M1391" t="n">
        <v>23.91</v>
      </c>
      <c r="N1391" t="n">
        <v>1547.12</v>
      </c>
      <c r="O1391" t="n">
        <v>4.23</v>
      </c>
      <c r="P1391" t="n">
        <v>4</v>
      </c>
      <c r="Q1391" t="n">
        <v>0</v>
      </c>
      <c r="R1391" t="n">
        <v>2020.2</v>
      </c>
      <c r="S1391" t="b">
        <v>0</v>
      </c>
      <c r="T1391" t="n">
        <v>207032</v>
      </c>
      <c r="U1391" t="n">
        <v>9</v>
      </c>
      <c r="V1391" t="n">
        <v>0.0601</v>
      </c>
      <c r="W1391" t="n">
        <v>2.39</v>
      </c>
      <c r="X1391" t="n">
        <v>63.76</v>
      </c>
      <c r="Y1391">
        <f>VLOOKUP(D1391,$AB$2:$AC$7,2,FALSE)</f>
        <v/>
      </c>
      <c r="Z1391">
        <f>IF(A1391&lt;Y1391,"Yes","No")</f>
        <v/>
      </c>
    </row>
    <row r="1392">
      <c r="A1392" t="n">
        <v>2023</v>
      </c>
      <c r="B1392" t="inlineStr">
        <is>
          <t>Q3</t>
        </is>
      </c>
      <c r="C1392" t="inlineStr">
        <is>
          <t>Asia</t>
        </is>
      </c>
      <c r="D1392" t="inlineStr">
        <is>
          <t>Model Y</t>
        </is>
      </c>
      <c r="E1392" t="n">
        <v>3368</v>
      </c>
      <c r="F1392" t="n">
        <v>115923.3</v>
      </c>
      <c r="G1392" t="n">
        <v>47</v>
      </c>
      <c r="H1392" t="inlineStr">
        <is>
          <t>Performance</t>
        </is>
      </c>
      <c r="I1392" t="inlineStr">
        <is>
          <t>AWD</t>
        </is>
      </c>
      <c r="J1392" t="inlineStr">
        <is>
          <t>Red</t>
        </is>
      </c>
      <c r="K1392" t="n">
        <v>488</v>
      </c>
      <c r="L1392" t="n">
        <v>85</v>
      </c>
      <c r="M1392" t="n">
        <v>24.99</v>
      </c>
      <c r="N1392" t="n">
        <v>8059.53</v>
      </c>
      <c r="O1392" t="n">
        <v>4.35</v>
      </c>
      <c r="P1392" t="n">
        <v>6</v>
      </c>
      <c r="Q1392" t="n">
        <v>0</v>
      </c>
      <c r="R1392" t="n">
        <v>2022.3</v>
      </c>
      <c r="S1392" t="b">
        <v>1</v>
      </c>
      <c r="T1392" t="n">
        <v>2728815</v>
      </c>
      <c r="U1392" t="n">
        <v>7</v>
      </c>
      <c r="V1392" t="n">
        <v>0.0796</v>
      </c>
      <c r="W1392" t="n">
        <v>2.07</v>
      </c>
      <c r="X1392" t="n">
        <v>86.61</v>
      </c>
      <c r="Y1392">
        <f>VLOOKUP(D1392,$AB$2:$AC$7,2,FALSE)</f>
        <v/>
      </c>
      <c r="Z1392">
        <f>IF(A1392&lt;Y1392,"Yes","No")</f>
        <v/>
      </c>
    </row>
    <row r="1393">
      <c r="A1393" t="n">
        <v>2020</v>
      </c>
      <c r="B1393" t="inlineStr">
        <is>
          <t>Q2</t>
        </is>
      </c>
      <c r="C1393" t="inlineStr">
        <is>
          <t>Europe</t>
        </is>
      </c>
      <c r="D1393" t="inlineStr">
        <is>
          <t>Model Y</t>
        </is>
      </c>
      <c r="E1393" t="n">
        <v>1434</v>
      </c>
      <c r="F1393" t="n">
        <v>92332.75</v>
      </c>
      <c r="G1393" t="n">
        <v>51</v>
      </c>
      <c r="H1393" t="inlineStr">
        <is>
          <t>Long Range</t>
        </is>
      </c>
      <c r="I1393" t="inlineStr">
        <is>
          <t>RWD</t>
        </is>
      </c>
      <c r="J1393" t="inlineStr">
        <is>
          <t>Blue</t>
        </is>
      </c>
      <c r="K1393" t="n">
        <v>687</v>
      </c>
      <c r="L1393" t="n">
        <v>61</v>
      </c>
      <c r="M1393" t="n">
        <v>19.89</v>
      </c>
      <c r="N1393" t="n">
        <v>2308.15</v>
      </c>
      <c r="O1393" t="n">
        <v>4.49</v>
      </c>
      <c r="P1393" t="n">
        <v>4</v>
      </c>
      <c r="Q1393" t="n">
        <v>1</v>
      </c>
      <c r="R1393" t="n">
        <v>2023.6</v>
      </c>
      <c r="S1393" t="b">
        <v>0</v>
      </c>
      <c r="T1393" t="n">
        <v>2397797</v>
      </c>
      <c r="U1393" t="n">
        <v>12</v>
      </c>
      <c r="V1393" t="n">
        <v>0.0511</v>
      </c>
      <c r="W1393" t="n">
        <v>1.92</v>
      </c>
      <c r="X1393" t="n">
        <v>62.88</v>
      </c>
      <c r="Y1393">
        <f>VLOOKUP(D1393,$AB$2:$AC$7,2,FALSE)</f>
        <v/>
      </c>
      <c r="Z1393">
        <f>IF(A1393&lt;Y1393,"Yes","No")</f>
        <v/>
      </c>
    </row>
    <row r="1394">
      <c r="A1394" t="n">
        <v>2013</v>
      </c>
      <c r="B1394" t="inlineStr">
        <is>
          <t>Q3</t>
        </is>
      </c>
      <c r="C1394" t="inlineStr">
        <is>
          <t>South America</t>
        </is>
      </c>
      <c r="D1394" t="inlineStr">
        <is>
          <t>Cybertruck</t>
        </is>
      </c>
      <c r="E1394" t="n">
        <v>1114</v>
      </c>
      <c r="F1394" t="n">
        <v>110100.17</v>
      </c>
      <c r="G1394" t="n">
        <v>46</v>
      </c>
      <c r="H1394" t="inlineStr">
        <is>
          <t>Standard</t>
        </is>
      </c>
      <c r="I1394" t="inlineStr">
        <is>
          <t>RWD</t>
        </is>
      </c>
      <c r="J1394" t="inlineStr">
        <is>
          <t>Red</t>
        </is>
      </c>
      <c r="K1394" t="n">
        <v>695</v>
      </c>
      <c r="L1394" t="n">
        <v>86</v>
      </c>
      <c r="M1394" t="n">
        <v>19.26</v>
      </c>
      <c r="N1394" t="n">
        <v>1881.59</v>
      </c>
      <c r="O1394" t="n">
        <v>3.61</v>
      </c>
      <c r="P1394" t="n">
        <v>4</v>
      </c>
      <c r="Q1394" t="n">
        <v>3</v>
      </c>
      <c r="R1394" t="n">
        <v>2024.2</v>
      </c>
      <c r="S1394" t="b">
        <v>1</v>
      </c>
      <c r="T1394" t="n">
        <v>3594038</v>
      </c>
      <c r="U1394" t="n">
        <v>3</v>
      </c>
      <c r="V1394" t="n">
        <v>0.0168</v>
      </c>
      <c r="W1394" t="n">
        <v>2.37</v>
      </c>
      <c r="X1394" t="n">
        <v>67.73</v>
      </c>
      <c r="Y1394">
        <f>VLOOKUP(D1394,$AB$2:$AC$7,2,FALSE)</f>
        <v/>
      </c>
      <c r="Z1394">
        <f>IF(A1394&lt;Y1394,"Yes","No")</f>
        <v/>
      </c>
    </row>
    <row r="1395">
      <c r="A1395" t="n">
        <v>2018</v>
      </c>
      <c r="B1395" t="inlineStr">
        <is>
          <t>Q1</t>
        </is>
      </c>
      <c r="C1395" t="inlineStr">
        <is>
          <t>North America</t>
        </is>
      </c>
      <c r="D1395" t="inlineStr">
        <is>
          <t>Cybertruck</t>
        </is>
      </c>
      <c r="E1395" t="n">
        <v>4185</v>
      </c>
      <c r="F1395" t="n">
        <v>55494.98</v>
      </c>
      <c r="G1395" t="n">
        <v>48</v>
      </c>
      <c r="H1395" t="inlineStr">
        <is>
          <t>Performance</t>
        </is>
      </c>
      <c r="I1395" t="inlineStr">
        <is>
          <t>RWD</t>
        </is>
      </c>
      <c r="J1395" t="inlineStr">
        <is>
          <t>White</t>
        </is>
      </c>
      <c r="K1395" t="n">
        <v>505</v>
      </c>
      <c r="L1395" t="n">
        <v>41</v>
      </c>
      <c r="M1395" t="n">
        <v>21.78</v>
      </c>
      <c r="N1395" t="n">
        <v>4620.02</v>
      </c>
      <c r="O1395" t="n">
        <v>4.88</v>
      </c>
      <c r="P1395" t="n">
        <v>5</v>
      </c>
      <c r="Q1395" t="n">
        <v>2</v>
      </c>
      <c r="R1395" t="n">
        <v>2021.4</v>
      </c>
      <c r="S1395" t="b">
        <v>0</v>
      </c>
      <c r="T1395" t="n">
        <v>4150462</v>
      </c>
      <c r="U1395" t="n">
        <v>6</v>
      </c>
      <c r="V1395" t="n">
        <v>0.0604</v>
      </c>
      <c r="W1395" t="n">
        <v>2.18</v>
      </c>
      <c r="X1395" t="n">
        <v>81.84</v>
      </c>
      <c r="Y1395">
        <f>VLOOKUP(D1395,$AB$2:$AC$7,2,FALSE)</f>
        <v/>
      </c>
      <c r="Z1395">
        <f>IF(A1395&lt;Y1395,"Yes","No")</f>
        <v/>
      </c>
    </row>
    <row r="1396">
      <c r="A1396" t="n">
        <v>2019</v>
      </c>
      <c r="B1396" t="inlineStr">
        <is>
          <t>Q1</t>
        </is>
      </c>
      <c r="C1396" t="inlineStr">
        <is>
          <t>North America</t>
        </is>
      </c>
      <c r="D1396" t="inlineStr">
        <is>
          <t>Model Y</t>
        </is>
      </c>
      <c r="E1396" t="n">
        <v>4640</v>
      </c>
      <c r="F1396" t="n">
        <v>82643.32000000001</v>
      </c>
      <c r="G1396" t="n">
        <v>7</v>
      </c>
      <c r="H1396" t="inlineStr">
        <is>
          <t>Performance</t>
        </is>
      </c>
      <c r="I1396" t="inlineStr">
        <is>
          <t>AWD</t>
        </is>
      </c>
      <c r="J1396" t="inlineStr">
        <is>
          <t>White</t>
        </is>
      </c>
      <c r="K1396" t="n">
        <v>474</v>
      </c>
      <c r="L1396" t="n">
        <v>41</v>
      </c>
      <c r="M1396" t="n">
        <v>17.01</v>
      </c>
      <c r="N1396" t="n">
        <v>3199.81</v>
      </c>
      <c r="O1396" t="n">
        <v>3.63</v>
      </c>
      <c r="P1396" t="n">
        <v>4</v>
      </c>
      <c r="Q1396" t="n">
        <v>1</v>
      </c>
      <c r="R1396" t="n">
        <v>2021.7</v>
      </c>
      <c r="S1396" t="b">
        <v>0</v>
      </c>
      <c r="T1396" t="n">
        <v>4896197</v>
      </c>
      <c r="U1396" t="n">
        <v>11</v>
      </c>
      <c r="V1396" t="n">
        <v>0.0154</v>
      </c>
      <c r="W1396" t="n">
        <v>1.32</v>
      </c>
      <c r="X1396" t="n">
        <v>72.18000000000001</v>
      </c>
      <c r="Y1396">
        <f>VLOOKUP(D1396,$AB$2:$AC$7,2,FALSE)</f>
        <v/>
      </c>
      <c r="Z1396">
        <f>IF(A1396&lt;Y1396,"Yes","No")</f>
        <v/>
      </c>
    </row>
    <row r="1397">
      <c r="A1397" t="n">
        <v>2023</v>
      </c>
      <c r="B1397" t="inlineStr">
        <is>
          <t>Q1</t>
        </is>
      </c>
      <c r="C1397" t="inlineStr">
        <is>
          <t>Europe</t>
        </is>
      </c>
      <c r="D1397" t="inlineStr">
        <is>
          <t>Cybertruck</t>
        </is>
      </c>
      <c r="E1397" t="n">
        <v>3575</v>
      </c>
      <c r="F1397" t="n">
        <v>65649.78999999999</v>
      </c>
      <c r="G1397" t="n">
        <v>46</v>
      </c>
      <c r="H1397" t="inlineStr">
        <is>
          <t>Standard</t>
        </is>
      </c>
      <c r="I1397" t="inlineStr">
        <is>
          <t>AWD</t>
        </is>
      </c>
      <c r="J1397" t="inlineStr">
        <is>
          <t>Silver</t>
        </is>
      </c>
      <c r="K1397" t="n">
        <v>681</v>
      </c>
      <c r="L1397" t="n">
        <v>53</v>
      </c>
      <c r="M1397" t="n">
        <v>18.51</v>
      </c>
      <c r="N1397" t="n">
        <v>4718.05</v>
      </c>
      <c r="O1397" t="n">
        <v>4.1</v>
      </c>
      <c r="P1397" t="n">
        <v>5</v>
      </c>
      <c r="Q1397" t="n">
        <v>0</v>
      </c>
      <c r="R1397" t="n">
        <v>2020.1</v>
      </c>
      <c r="S1397" t="b">
        <v>1</v>
      </c>
      <c r="T1397" t="n">
        <v>4062665</v>
      </c>
      <c r="U1397" t="n">
        <v>2</v>
      </c>
      <c r="V1397" t="n">
        <v>0.0849</v>
      </c>
      <c r="W1397" t="n">
        <v>2</v>
      </c>
      <c r="X1397" t="n">
        <v>85.28</v>
      </c>
      <c r="Y1397">
        <f>VLOOKUP(D1397,$AB$2:$AC$7,2,FALSE)</f>
        <v/>
      </c>
      <c r="Z1397">
        <f>IF(A1397&lt;Y1397,"Yes","No")</f>
        <v/>
      </c>
    </row>
    <row r="1398">
      <c r="A1398" t="n">
        <v>2012</v>
      </c>
      <c r="B1398" t="inlineStr">
        <is>
          <t>Q4</t>
        </is>
      </c>
      <c r="C1398" t="inlineStr">
        <is>
          <t>North America</t>
        </is>
      </c>
      <c r="D1398" t="inlineStr">
        <is>
          <t>Model 3</t>
        </is>
      </c>
      <c r="E1398" t="n">
        <v>4042</v>
      </c>
      <c r="F1398" t="n">
        <v>79215.91</v>
      </c>
      <c r="G1398" t="n">
        <v>3</v>
      </c>
      <c r="H1398" t="inlineStr">
        <is>
          <t>Performance</t>
        </is>
      </c>
      <c r="I1398" t="inlineStr">
        <is>
          <t>RWD</t>
        </is>
      </c>
      <c r="J1398" t="inlineStr">
        <is>
          <t>Green</t>
        </is>
      </c>
      <c r="K1398" t="n">
        <v>572</v>
      </c>
      <c r="L1398" t="n">
        <v>78</v>
      </c>
      <c r="M1398" t="n">
        <v>22.69</v>
      </c>
      <c r="N1398" t="n">
        <v>6710.05</v>
      </c>
      <c r="O1398" t="n">
        <v>3.75</v>
      </c>
      <c r="P1398" t="n">
        <v>8</v>
      </c>
      <c r="Q1398" t="n">
        <v>0</v>
      </c>
      <c r="R1398" t="n">
        <v>2024.9</v>
      </c>
      <c r="S1398" t="b">
        <v>1</v>
      </c>
      <c r="T1398" t="n">
        <v>2389774</v>
      </c>
      <c r="U1398" t="n">
        <v>10</v>
      </c>
      <c r="V1398" t="n">
        <v>0.0344</v>
      </c>
      <c r="W1398" t="n">
        <v>0.8100000000000001</v>
      </c>
      <c r="X1398" t="n">
        <v>80.86</v>
      </c>
      <c r="Y1398">
        <f>VLOOKUP(D1398,$AB$2:$AC$7,2,FALSE)</f>
        <v/>
      </c>
      <c r="Z1398">
        <f>IF(A1398&lt;Y1398,"Yes","No")</f>
        <v/>
      </c>
    </row>
    <row r="1399">
      <c r="A1399" t="n">
        <v>2018</v>
      </c>
      <c r="B1399" t="inlineStr">
        <is>
          <t>Q4</t>
        </is>
      </c>
      <c r="C1399" t="inlineStr">
        <is>
          <t>Asia</t>
        </is>
      </c>
      <c r="D1399" t="inlineStr">
        <is>
          <t>Cybertruck</t>
        </is>
      </c>
      <c r="E1399" t="n">
        <v>3656</v>
      </c>
      <c r="F1399" t="n">
        <v>108544.71</v>
      </c>
      <c r="G1399" t="n">
        <v>59</v>
      </c>
      <c r="H1399" t="inlineStr">
        <is>
          <t>Performance</t>
        </is>
      </c>
      <c r="I1399" t="inlineStr">
        <is>
          <t>AWD</t>
        </is>
      </c>
      <c r="J1399" t="inlineStr">
        <is>
          <t>Silver</t>
        </is>
      </c>
      <c r="K1399" t="n">
        <v>559</v>
      </c>
      <c r="L1399" t="n">
        <v>52</v>
      </c>
      <c r="M1399" t="n">
        <v>13.71</v>
      </c>
      <c r="N1399" t="n">
        <v>5299.53</v>
      </c>
      <c r="O1399" t="n">
        <v>3.93</v>
      </c>
      <c r="P1399" t="n">
        <v>6</v>
      </c>
      <c r="Q1399" t="n">
        <v>2</v>
      </c>
      <c r="R1399" t="n">
        <v>2023.6</v>
      </c>
      <c r="S1399" t="b">
        <v>0</v>
      </c>
      <c r="T1399" t="n">
        <v>1217628</v>
      </c>
      <c r="U1399" t="n">
        <v>8</v>
      </c>
      <c r="V1399" t="n">
        <v>0.0524</v>
      </c>
      <c r="W1399" t="n">
        <v>1.22</v>
      </c>
      <c r="X1399" t="n">
        <v>68.29000000000001</v>
      </c>
      <c r="Y1399">
        <f>VLOOKUP(D1399,$AB$2:$AC$7,2,FALSE)</f>
        <v/>
      </c>
      <c r="Z1399">
        <f>IF(A1399&lt;Y1399,"Yes","No")</f>
        <v/>
      </c>
    </row>
    <row r="1400">
      <c r="A1400" t="n">
        <v>2024</v>
      </c>
      <c r="B1400" t="inlineStr">
        <is>
          <t>Q2</t>
        </is>
      </c>
      <c r="C1400" t="inlineStr">
        <is>
          <t>South America</t>
        </is>
      </c>
      <c r="D1400" t="inlineStr">
        <is>
          <t>Model S</t>
        </is>
      </c>
      <c r="E1400" t="n">
        <v>3709</v>
      </c>
      <c r="F1400" t="n">
        <v>119824.53</v>
      </c>
      <c r="G1400" t="n">
        <v>17</v>
      </c>
      <c r="H1400" t="inlineStr">
        <is>
          <t>Long Range</t>
        </is>
      </c>
      <c r="I1400" t="inlineStr">
        <is>
          <t>RWD</t>
        </is>
      </c>
      <c r="J1400" t="inlineStr">
        <is>
          <t>Silver</t>
        </is>
      </c>
      <c r="K1400" t="n">
        <v>529</v>
      </c>
      <c r="L1400" t="n">
        <v>30</v>
      </c>
      <c r="M1400" t="n">
        <v>23.31</v>
      </c>
      <c r="N1400" t="n">
        <v>7836.86</v>
      </c>
      <c r="O1400" t="n">
        <v>3.79</v>
      </c>
      <c r="P1400" t="n">
        <v>6</v>
      </c>
      <c r="Q1400" t="n">
        <v>1</v>
      </c>
      <c r="R1400" t="n">
        <v>2021.1</v>
      </c>
      <c r="S1400" t="b">
        <v>1</v>
      </c>
      <c r="T1400" t="n">
        <v>3769708</v>
      </c>
      <c r="U1400" t="n">
        <v>4</v>
      </c>
      <c r="V1400" t="n">
        <v>0.0457</v>
      </c>
      <c r="W1400" t="n">
        <v>2.48</v>
      </c>
      <c r="X1400" t="n">
        <v>66.77</v>
      </c>
      <c r="Y1400">
        <f>VLOOKUP(D1400,$AB$2:$AC$7,2,FALSE)</f>
        <v/>
      </c>
      <c r="Z1400">
        <f>IF(A1400&lt;Y1400,"Yes","No")</f>
        <v/>
      </c>
    </row>
    <row r="1401">
      <c r="A1401" t="n">
        <v>2015</v>
      </c>
      <c r="B1401" t="inlineStr">
        <is>
          <t>Q2</t>
        </is>
      </c>
      <c r="C1401" t="inlineStr">
        <is>
          <t>Australia</t>
        </is>
      </c>
      <c r="D1401" t="inlineStr">
        <is>
          <t>Semi</t>
        </is>
      </c>
      <c r="E1401" t="n">
        <v>2144</v>
      </c>
      <c r="F1401" t="n">
        <v>64351.63</v>
      </c>
      <c r="G1401" t="n">
        <v>60</v>
      </c>
      <c r="H1401" t="inlineStr">
        <is>
          <t>Long Range</t>
        </is>
      </c>
      <c r="I1401" t="inlineStr">
        <is>
          <t>RWD</t>
        </is>
      </c>
      <c r="J1401" t="inlineStr">
        <is>
          <t>Black</t>
        </is>
      </c>
      <c r="K1401" t="n">
        <v>473</v>
      </c>
      <c r="L1401" t="n">
        <v>30</v>
      </c>
      <c r="M1401" t="n">
        <v>20.34</v>
      </c>
      <c r="N1401" t="n">
        <v>4141.12</v>
      </c>
      <c r="O1401" t="n">
        <v>3.55</v>
      </c>
      <c r="P1401" t="n">
        <v>8</v>
      </c>
      <c r="Q1401" t="n">
        <v>2</v>
      </c>
      <c r="R1401" t="n">
        <v>2020.12</v>
      </c>
      <c r="S1401" t="b">
        <v>0</v>
      </c>
      <c r="T1401" t="n">
        <v>2005055</v>
      </c>
      <c r="U1401" t="n">
        <v>7</v>
      </c>
      <c r="V1401" t="n">
        <v>0.0178</v>
      </c>
      <c r="W1401" t="n">
        <v>1.53</v>
      </c>
      <c r="X1401" t="n">
        <v>64.40000000000001</v>
      </c>
      <c r="Y1401">
        <f>VLOOKUP(D1401,$AB$2:$AC$7,2,FALSE)</f>
        <v/>
      </c>
      <c r="Z1401">
        <f>IF(A1401&lt;Y1401,"Yes","No")</f>
        <v/>
      </c>
    </row>
    <row r="1402">
      <c r="A1402" t="n">
        <v>2014</v>
      </c>
      <c r="B1402" t="inlineStr">
        <is>
          <t>Q3</t>
        </is>
      </c>
      <c r="C1402" t="inlineStr">
        <is>
          <t>Australia</t>
        </is>
      </c>
      <c r="D1402" t="inlineStr">
        <is>
          <t>Model Y</t>
        </is>
      </c>
      <c r="E1402" t="n">
        <v>3970</v>
      </c>
      <c r="F1402" t="n">
        <v>66288.16</v>
      </c>
      <c r="G1402" t="n">
        <v>8</v>
      </c>
      <c r="H1402" t="inlineStr">
        <is>
          <t>Long Range</t>
        </is>
      </c>
      <c r="I1402" t="inlineStr">
        <is>
          <t>AWD</t>
        </is>
      </c>
      <c r="J1402" t="inlineStr">
        <is>
          <t>Blue</t>
        </is>
      </c>
      <c r="K1402" t="n">
        <v>674</v>
      </c>
      <c r="L1402" t="n">
        <v>66</v>
      </c>
      <c r="M1402" t="n">
        <v>20.12</v>
      </c>
      <c r="N1402" t="n">
        <v>2181.3</v>
      </c>
      <c r="O1402" t="n">
        <v>4.58</v>
      </c>
      <c r="P1402" t="n">
        <v>6</v>
      </c>
      <c r="Q1402" t="n">
        <v>1</v>
      </c>
      <c r="R1402" t="n">
        <v>2023.12</v>
      </c>
      <c r="S1402" t="b">
        <v>0</v>
      </c>
      <c r="T1402" t="n">
        <v>1852095</v>
      </c>
      <c r="U1402" t="n">
        <v>5</v>
      </c>
      <c r="V1402" t="n">
        <v>0.0222</v>
      </c>
      <c r="W1402" t="n">
        <v>1.37</v>
      </c>
      <c r="X1402" t="n">
        <v>66.51000000000001</v>
      </c>
      <c r="Y1402">
        <f>VLOOKUP(D1402,$AB$2:$AC$7,2,FALSE)</f>
        <v/>
      </c>
      <c r="Z1402">
        <f>IF(A1402&lt;Y1402,"Yes","No")</f>
        <v/>
      </c>
    </row>
    <row r="1403">
      <c r="A1403" t="n">
        <v>2016</v>
      </c>
      <c r="B1403" t="inlineStr">
        <is>
          <t>Q2</t>
        </is>
      </c>
      <c r="C1403" t="inlineStr">
        <is>
          <t>Europe</t>
        </is>
      </c>
      <c r="D1403" t="inlineStr">
        <is>
          <t>Cybertruck</t>
        </is>
      </c>
      <c r="E1403" t="n">
        <v>2957</v>
      </c>
      <c r="F1403" t="n">
        <v>94257.92</v>
      </c>
      <c r="G1403" t="n">
        <v>10</v>
      </c>
      <c r="H1403" t="inlineStr">
        <is>
          <t>Performance</t>
        </is>
      </c>
      <c r="I1403" t="inlineStr">
        <is>
          <t>AWD</t>
        </is>
      </c>
      <c r="J1403" t="inlineStr">
        <is>
          <t>Blue</t>
        </is>
      </c>
      <c r="K1403" t="n">
        <v>421</v>
      </c>
      <c r="L1403" t="n">
        <v>87</v>
      </c>
      <c r="M1403" t="n">
        <v>22.44</v>
      </c>
      <c r="N1403" t="n">
        <v>6534.15</v>
      </c>
      <c r="O1403" t="n">
        <v>3.83</v>
      </c>
      <c r="P1403" t="n">
        <v>5</v>
      </c>
      <c r="Q1403" t="n">
        <v>1</v>
      </c>
      <c r="R1403" t="n">
        <v>2022.1</v>
      </c>
      <c r="S1403" t="b">
        <v>1</v>
      </c>
      <c r="T1403" t="n">
        <v>955697</v>
      </c>
      <c r="U1403" t="n">
        <v>2</v>
      </c>
      <c r="V1403" t="n">
        <v>0.031</v>
      </c>
      <c r="W1403" t="n">
        <v>0.96</v>
      </c>
      <c r="X1403" t="n">
        <v>74.15000000000001</v>
      </c>
      <c r="Y1403">
        <f>VLOOKUP(D1403,$AB$2:$AC$7,2,FALSE)</f>
        <v/>
      </c>
      <c r="Z1403">
        <f>IF(A1403&lt;Y1403,"Yes","No")</f>
        <v/>
      </c>
    </row>
    <row r="1404">
      <c r="A1404" t="n">
        <v>2024</v>
      </c>
      <c r="B1404" t="inlineStr">
        <is>
          <t>Q1</t>
        </is>
      </c>
      <c r="C1404" t="inlineStr">
        <is>
          <t>North America</t>
        </is>
      </c>
      <c r="D1404" t="inlineStr">
        <is>
          <t>Cybertruck</t>
        </is>
      </c>
      <c r="E1404" t="n">
        <v>4834</v>
      </c>
      <c r="F1404" t="n">
        <v>61536.5</v>
      </c>
      <c r="G1404" t="n">
        <v>41</v>
      </c>
      <c r="H1404" t="inlineStr">
        <is>
          <t>Standard</t>
        </is>
      </c>
      <c r="I1404" t="inlineStr">
        <is>
          <t>RWD</t>
        </is>
      </c>
      <c r="J1404" t="inlineStr">
        <is>
          <t>Red</t>
        </is>
      </c>
      <c r="K1404" t="n">
        <v>454</v>
      </c>
      <c r="L1404" t="n">
        <v>77</v>
      </c>
      <c r="M1404" t="n">
        <v>18.35</v>
      </c>
      <c r="N1404" t="n">
        <v>4999.3</v>
      </c>
      <c r="O1404" t="n">
        <v>3.79</v>
      </c>
      <c r="P1404" t="n">
        <v>5</v>
      </c>
      <c r="Q1404" t="n">
        <v>0</v>
      </c>
      <c r="R1404" t="n">
        <v>2024.9</v>
      </c>
      <c r="S1404" t="b">
        <v>1</v>
      </c>
      <c r="T1404" t="n">
        <v>4574275</v>
      </c>
      <c r="U1404" t="n">
        <v>6</v>
      </c>
      <c r="V1404" t="n">
        <v>0.043</v>
      </c>
      <c r="W1404" t="n">
        <v>1.77</v>
      </c>
      <c r="X1404" t="n">
        <v>89.05</v>
      </c>
      <c r="Y1404">
        <f>VLOOKUP(D1404,$AB$2:$AC$7,2,FALSE)</f>
        <v/>
      </c>
      <c r="Z1404">
        <f>IF(A1404&lt;Y1404,"Yes","No")</f>
        <v/>
      </c>
    </row>
    <row r="1405">
      <c r="A1405" t="n">
        <v>2014</v>
      </c>
      <c r="B1405" t="inlineStr">
        <is>
          <t>Q3</t>
        </is>
      </c>
      <c r="C1405" t="inlineStr">
        <is>
          <t>Australia</t>
        </is>
      </c>
      <c r="D1405" t="inlineStr">
        <is>
          <t>Cybertruck</t>
        </is>
      </c>
      <c r="E1405" t="n">
        <v>153</v>
      </c>
      <c r="F1405" t="n">
        <v>57897.49</v>
      </c>
      <c r="G1405" t="n">
        <v>14</v>
      </c>
      <c r="H1405" t="inlineStr">
        <is>
          <t>Long Range</t>
        </is>
      </c>
      <c r="I1405" t="inlineStr">
        <is>
          <t>AWD</t>
        </is>
      </c>
      <c r="J1405" t="inlineStr">
        <is>
          <t>Silver</t>
        </is>
      </c>
      <c r="K1405" t="n">
        <v>618</v>
      </c>
      <c r="L1405" t="n">
        <v>81</v>
      </c>
      <c r="M1405" t="n">
        <v>21.53</v>
      </c>
      <c r="N1405" t="n">
        <v>268.15</v>
      </c>
      <c r="O1405" t="n">
        <v>4.63</v>
      </c>
      <c r="P1405" t="n">
        <v>4</v>
      </c>
      <c r="Q1405" t="n">
        <v>3</v>
      </c>
      <c r="R1405" t="n">
        <v>2023.1</v>
      </c>
      <c r="S1405" t="b">
        <v>0</v>
      </c>
      <c r="T1405" t="n">
        <v>4632815</v>
      </c>
      <c r="U1405" t="n">
        <v>2</v>
      </c>
      <c r="V1405" t="n">
        <v>0.09039999999999999</v>
      </c>
      <c r="W1405" t="n">
        <v>1.81</v>
      </c>
      <c r="X1405" t="n">
        <v>71.58</v>
      </c>
      <c r="Y1405">
        <f>VLOOKUP(D1405,$AB$2:$AC$7,2,FALSE)</f>
        <v/>
      </c>
      <c r="Z1405">
        <f>IF(A1405&lt;Y1405,"Yes","No")</f>
        <v/>
      </c>
    </row>
    <row r="1406">
      <c r="A1406" t="n">
        <v>2017</v>
      </c>
      <c r="B1406" t="inlineStr">
        <is>
          <t>Q3</t>
        </is>
      </c>
      <c r="C1406" t="inlineStr">
        <is>
          <t>Asia</t>
        </is>
      </c>
      <c r="D1406" t="inlineStr">
        <is>
          <t>Model X</t>
        </is>
      </c>
      <c r="E1406" t="n">
        <v>1230</v>
      </c>
      <c r="F1406" t="n">
        <v>43148.02</v>
      </c>
      <c r="G1406" t="n">
        <v>31</v>
      </c>
      <c r="H1406" t="inlineStr">
        <is>
          <t>Performance</t>
        </is>
      </c>
      <c r="I1406" t="inlineStr">
        <is>
          <t>AWD</t>
        </is>
      </c>
      <c r="J1406" t="inlineStr">
        <is>
          <t>Blue</t>
        </is>
      </c>
      <c r="K1406" t="n">
        <v>667</v>
      </c>
      <c r="L1406" t="n">
        <v>72</v>
      </c>
      <c r="M1406" t="n">
        <v>14.89</v>
      </c>
      <c r="N1406" t="n">
        <v>1326.84</v>
      </c>
      <c r="O1406" t="n">
        <v>3.98</v>
      </c>
      <c r="P1406" t="n">
        <v>5</v>
      </c>
      <c r="Q1406" t="n">
        <v>3</v>
      </c>
      <c r="R1406" t="n">
        <v>2021.11</v>
      </c>
      <c r="S1406" t="b">
        <v>0</v>
      </c>
      <c r="T1406" t="n">
        <v>4482164</v>
      </c>
      <c r="U1406" t="n">
        <v>10</v>
      </c>
      <c r="V1406" t="n">
        <v>0.0426</v>
      </c>
      <c r="W1406" t="n">
        <v>0.91</v>
      </c>
      <c r="X1406" t="n">
        <v>81.77</v>
      </c>
      <c r="Y1406">
        <f>VLOOKUP(D1406,$AB$2:$AC$7,2,FALSE)</f>
        <v/>
      </c>
      <c r="Z1406">
        <f>IF(A1406&lt;Y1406,"Yes","No")</f>
        <v/>
      </c>
    </row>
    <row r="1407">
      <c r="A1407" t="n">
        <v>2014</v>
      </c>
      <c r="B1407" t="inlineStr">
        <is>
          <t>Q2</t>
        </is>
      </c>
      <c r="C1407" t="inlineStr">
        <is>
          <t>South America</t>
        </is>
      </c>
      <c r="D1407" t="inlineStr">
        <is>
          <t>Model S</t>
        </is>
      </c>
      <c r="E1407" t="n">
        <v>1860</v>
      </c>
      <c r="F1407" t="n">
        <v>86274.57000000001</v>
      </c>
      <c r="G1407" t="n">
        <v>39</v>
      </c>
      <c r="H1407" t="inlineStr">
        <is>
          <t>Performance</t>
        </is>
      </c>
      <c r="I1407" t="inlineStr">
        <is>
          <t>RWD</t>
        </is>
      </c>
      <c r="J1407" t="inlineStr">
        <is>
          <t>Green</t>
        </is>
      </c>
      <c r="K1407" t="n">
        <v>694</v>
      </c>
      <c r="L1407" t="n">
        <v>63</v>
      </c>
      <c r="M1407" t="n">
        <v>23.35</v>
      </c>
      <c r="N1407" t="n">
        <v>3451.12</v>
      </c>
      <c r="O1407" t="n">
        <v>3.62</v>
      </c>
      <c r="P1407" t="n">
        <v>6</v>
      </c>
      <c r="Q1407" t="n">
        <v>0</v>
      </c>
      <c r="R1407" t="n">
        <v>2021.3</v>
      </c>
      <c r="S1407" t="b">
        <v>1</v>
      </c>
      <c r="T1407" t="n">
        <v>4376589</v>
      </c>
      <c r="U1407" t="n">
        <v>7</v>
      </c>
      <c r="V1407" t="n">
        <v>0.07820000000000001</v>
      </c>
      <c r="W1407" t="n">
        <v>2.15</v>
      </c>
      <c r="X1407" t="n">
        <v>72.62</v>
      </c>
      <c r="Y1407">
        <f>VLOOKUP(D1407,$AB$2:$AC$7,2,FALSE)</f>
        <v/>
      </c>
      <c r="Z1407">
        <f>IF(A1407&lt;Y1407,"Yes","No")</f>
        <v/>
      </c>
    </row>
    <row r="1408">
      <c r="A1408" t="n">
        <v>2017</v>
      </c>
      <c r="B1408" t="inlineStr">
        <is>
          <t>Q3</t>
        </is>
      </c>
      <c r="C1408" t="inlineStr">
        <is>
          <t>North America</t>
        </is>
      </c>
      <c r="D1408" t="inlineStr">
        <is>
          <t>Semi</t>
        </is>
      </c>
      <c r="E1408" t="n">
        <v>294</v>
      </c>
      <c r="F1408" t="n">
        <v>45860.18</v>
      </c>
      <c r="G1408" t="n">
        <v>0</v>
      </c>
      <c r="H1408" t="inlineStr">
        <is>
          <t>Long Range</t>
        </is>
      </c>
      <c r="I1408" t="inlineStr">
        <is>
          <t>RWD</t>
        </is>
      </c>
      <c r="J1408" t="inlineStr">
        <is>
          <t>Blue</t>
        </is>
      </c>
      <c r="K1408" t="n">
        <v>682</v>
      </c>
      <c r="L1408" t="n">
        <v>63</v>
      </c>
      <c r="M1408" t="n">
        <v>17.86</v>
      </c>
      <c r="N1408" t="n">
        <v>541.6</v>
      </c>
      <c r="O1408" t="n">
        <v>3.56</v>
      </c>
      <c r="P1408" t="n">
        <v>8</v>
      </c>
      <c r="Q1408" t="n">
        <v>1</v>
      </c>
      <c r="R1408" t="n">
        <v>2022.8</v>
      </c>
      <c r="S1408" t="b">
        <v>0</v>
      </c>
      <c r="T1408" t="n">
        <v>4051296</v>
      </c>
      <c r="U1408" t="n">
        <v>3</v>
      </c>
      <c r="V1408" t="n">
        <v>0.08840000000000001</v>
      </c>
      <c r="W1408" t="n">
        <v>2.16</v>
      </c>
      <c r="X1408" t="n">
        <v>77.31</v>
      </c>
      <c r="Y1408">
        <f>VLOOKUP(D1408,$AB$2:$AC$7,2,FALSE)</f>
        <v/>
      </c>
      <c r="Z1408">
        <f>IF(A1408&lt;Y1408,"Yes","No")</f>
        <v/>
      </c>
    </row>
    <row r="1409">
      <c r="A1409" t="n">
        <v>2020</v>
      </c>
      <c r="B1409" t="inlineStr">
        <is>
          <t>Q4</t>
        </is>
      </c>
      <c r="C1409" t="inlineStr">
        <is>
          <t>Europe</t>
        </is>
      </c>
      <c r="D1409" t="inlineStr">
        <is>
          <t>Model 3</t>
        </is>
      </c>
      <c r="E1409" t="n">
        <v>4633</v>
      </c>
      <c r="F1409" t="n">
        <v>84603.88</v>
      </c>
      <c r="G1409" t="n">
        <v>46</v>
      </c>
      <c r="H1409" t="inlineStr">
        <is>
          <t>Performance</t>
        </is>
      </c>
      <c r="I1409" t="inlineStr">
        <is>
          <t>AWD</t>
        </is>
      </c>
      <c r="J1409" t="inlineStr">
        <is>
          <t>Green</t>
        </is>
      </c>
      <c r="K1409" t="n">
        <v>350</v>
      </c>
      <c r="L1409" t="n">
        <v>44</v>
      </c>
      <c r="M1409" t="n">
        <v>19.33</v>
      </c>
      <c r="N1409" t="n">
        <v>4032.55</v>
      </c>
      <c r="O1409" t="n">
        <v>3.72</v>
      </c>
      <c r="P1409" t="n">
        <v>8</v>
      </c>
      <c r="Q1409" t="n">
        <v>3</v>
      </c>
      <c r="R1409" t="n">
        <v>2021.3</v>
      </c>
      <c r="S1409" t="b">
        <v>1</v>
      </c>
      <c r="T1409" t="n">
        <v>2828431</v>
      </c>
      <c r="U1409" t="n">
        <v>7</v>
      </c>
      <c r="V1409" t="n">
        <v>0.0609</v>
      </c>
      <c r="W1409" t="n">
        <v>1.3</v>
      </c>
      <c r="X1409" t="n">
        <v>87.23</v>
      </c>
      <c r="Y1409">
        <f>VLOOKUP(D1409,$AB$2:$AC$7,2,FALSE)</f>
        <v/>
      </c>
      <c r="Z1409">
        <f>IF(A1409&lt;Y1409,"Yes","No")</f>
        <v/>
      </c>
    </row>
    <row r="1410">
      <c r="A1410" t="n">
        <v>2019</v>
      </c>
      <c r="B1410" t="inlineStr">
        <is>
          <t>Q3</t>
        </is>
      </c>
      <c r="C1410" t="inlineStr">
        <is>
          <t>Europe</t>
        </is>
      </c>
      <c r="D1410" t="inlineStr">
        <is>
          <t>Cybertruck</t>
        </is>
      </c>
      <c r="E1410" t="n">
        <v>3446</v>
      </c>
      <c r="F1410" t="n">
        <v>54367.43</v>
      </c>
      <c r="G1410" t="n">
        <v>38</v>
      </c>
      <c r="H1410" t="inlineStr">
        <is>
          <t>Long Range</t>
        </is>
      </c>
      <c r="I1410" t="inlineStr">
        <is>
          <t>RWD</t>
        </is>
      </c>
      <c r="J1410" t="inlineStr">
        <is>
          <t>Silver</t>
        </is>
      </c>
      <c r="K1410" t="n">
        <v>497</v>
      </c>
      <c r="L1410" t="n">
        <v>30</v>
      </c>
      <c r="M1410" t="n">
        <v>15.41</v>
      </c>
      <c r="N1410" t="n">
        <v>5602.38</v>
      </c>
      <c r="O1410" t="n">
        <v>3.98</v>
      </c>
      <c r="P1410" t="n">
        <v>6</v>
      </c>
      <c r="Q1410" t="n">
        <v>3</v>
      </c>
      <c r="R1410" t="n">
        <v>2022.7</v>
      </c>
      <c r="S1410" t="b">
        <v>0</v>
      </c>
      <c r="T1410" t="n">
        <v>1764185</v>
      </c>
      <c r="U1410" t="n">
        <v>3</v>
      </c>
      <c r="V1410" t="n">
        <v>0.0523</v>
      </c>
      <c r="W1410" t="n">
        <v>1.53</v>
      </c>
      <c r="X1410" t="n">
        <v>66.52</v>
      </c>
      <c r="Y1410">
        <f>VLOOKUP(D1410,$AB$2:$AC$7,2,FALSE)</f>
        <v/>
      </c>
      <c r="Z1410">
        <f>IF(A1410&lt;Y1410,"Yes","No")</f>
        <v/>
      </c>
    </row>
    <row r="1411">
      <c r="A1411" t="n">
        <v>2012</v>
      </c>
      <c r="B1411" t="inlineStr">
        <is>
          <t>Q2</t>
        </is>
      </c>
      <c r="C1411" t="inlineStr">
        <is>
          <t>North America</t>
        </is>
      </c>
      <c r="D1411" t="inlineStr">
        <is>
          <t>Model S</t>
        </is>
      </c>
      <c r="E1411" t="n">
        <v>1249</v>
      </c>
      <c r="F1411" t="n">
        <v>97585.61</v>
      </c>
      <c r="G1411" t="n">
        <v>60</v>
      </c>
      <c r="H1411" t="inlineStr">
        <is>
          <t>Long Range</t>
        </is>
      </c>
      <c r="I1411" t="inlineStr">
        <is>
          <t>AWD</t>
        </is>
      </c>
      <c r="J1411" t="inlineStr">
        <is>
          <t>Blue</t>
        </is>
      </c>
      <c r="K1411" t="n">
        <v>693</v>
      </c>
      <c r="L1411" t="n">
        <v>54</v>
      </c>
      <c r="M1411" t="n">
        <v>15.66</v>
      </c>
      <c r="N1411" t="n">
        <v>2480.28</v>
      </c>
      <c r="O1411" t="n">
        <v>3.75</v>
      </c>
      <c r="P1411" t="n">
        <v>8</v>
      </c>
      <c r="Q1411" t="n">
        <v>3</v>
      </c>
      <c r="R1411" t="n">
        <v>2021.12</v>
      </c>
      <c r="S1411" t="b">
        <v>1</v>
      </c>
      <c r="T1411" t="n">
        <v>1526162</v>
      </c>
      <c r="U1411" t="n">
        <v>5</v>
      </c>
      <c r="V1411" t="n">
        <v>0.0357</v>
      </c>
      <c r="W1411" t="n">
        <v>1.51</v>
      </c>
      <c r="X1411" t="n">
        <v>68.04000000000001</v>
      </c>
      <c r="Y1411">
        <f>VLOOKUP(D1411,$AB$2:$AC$7,2,FALSE)</f>
        <v/>
      </c>
      <c r="Z1411">
        <f>IF(A1411&lt;Y1411,"Yes","No")</f>
        <v/>
      </c>
    </row>
    <row r="1412">
      <c r="A1412" t="n">
        <v>2015</v>
      </c>
      <c r="B1412" t="inlineStr">
        <is>
          <t>Q1</t>
        </is>
      </c>
      <c r="C1412" t="inlineStr">
        <is>
          <t>Australia</t>
        </is>
      </c>
      <c r="D1412" t="inlineStr">
        <is>
          <t>Semi</t>
        </is>
      </c>
      <c r="E1412" t="n">
        <v>3256</v>
      </c>
      <c r="F1412" t="n">
        <v>35432.51</v>
      </c>
      <c r="G1412" t="n">
        <v>6</v>
      </c>
      <c r="H1412" t="inlineStr">
        <is>
          <t>Performance</t>
        </is>
      </c>
      <c r="I1412" t="inlineStr">
        <is>
          <t>AWD</t>
        </is>
      </c>
      <c r="J1412" t="inlineStr">
        <is>
          <t>Red</t>
        </is>
      </c>
      <c r="K1412" t="n">
        <v>658</v>
      </c>
      <c r="L1412" t="n">
        <v>30</v>
      </c>
      <c r="M1412" t="n">
        <v>16.63</v>
      </c>
      <c r="N1412" t="n">
        <v>5010.32</v>
      </c>
      <c r="O1412" t="n">
        <v>4.09</v>
      </c>
      <c r="P1412" t="n">
        <v>4</v>
      </c>
      <c r="Q1412" t="n">
        <v>3</v>
      </c>
      <c r="R1412" t="n">
        <v>2021.12</v>
      </c>
      <c r="S1412" t="b">
        <v>1</v>
      </c>
      <c r="T1412" t="n">
        <v>3567433</v>
      </c>
      <c r="U1412" t="n">
        <v>6</v>
      </c>
      <c r="V1412" t="n">
        <v>0.0374</v>
      </c>
      <c r="W1412" t="n">
        <v>2.01</v>
      </c>
      <c r="X1412" t="n">
        <v>83.20999999999999</v>
      </c>
      <c r="Y1412">
        <f>VLOOKUP(D1412,$AB$2:$AC$7,2,FALSE)</f>
        <v/>
      </c>
      <c r="Z1412">
        <f>IF(A1412&lt;Y1412,"Yes","No")</f>
        <v/>
      </c>
    </row>
    <row r="1413">
      <c r="A1413" t="n">
        <v>2020</v>
      </c>
      <c r="B1413" t="inlineStr">
        <is>
          <t>Q2</t>
        </is>
      </c>
      <c r="C1413" t="inlineStr">
        <is>
          <t>Australia</t>
        </is>
      </c>
      <c r="D1413" t="inlineStr">
        <is>
          <t>Cybertruck</t>
        </is>
      </c>
      <c r="E1413" t="n">
        <v>2977</v>
      </c>
      <c r="F1413" t="n">
        <v>87193.21000000001</v>
      </c>
      <c r="G1413" t="n">
        <v>40</v>
      </c>
      <c r="H1413" t="inlineStr">
        <is>
          <t>Long Range</t>
        </is>
      </c>
      <c r="I1413" t="inlineStr">
        <is>
          <t>AWD</t>
        </is>
      </c>
      <c r="J1413" t="inlineStr">
        <is>
          <t>Blue</t>
        </is>
      </c>
      <c r="K1413" t="n">
        <v>570</v>
      </c>
      <c r="L1413" t="n">
        <v>80</v>
      </c>
      <c r="M1413" t="n">
        <v>13.7</v>
      </c>
      <c r="N1413" t="n">
        <v>6347.5</v>
      </c>
      <c r="O1413" t="n">
        <v>4.51</v>
      </c>
      <c r="P1413" t="n">
        <v>5</v>
      </c>
      <c r="Q1413" t="n">
        <v>3</v>
      </c>
      <c r="R1413" t="n">
        <v>2020.7</v>
      </c>
      <c r="S1413" t="b">
        <v>0</v>
      </c>
      <c r="T1413" t="n">
        <v>3168108</v>
      </c>
      <c r="U1413" t="n">
        <v>12</v>
      </c>
      <c r="V1413" t="n">
        <v>0.0955</v>
      </c>
      <c r="W1413" t="n">
        <v>0.71</v>
      </c>
      <c r="X1413" t="n">
        <v>68.56999999999999</v>
      </c>
      <c r="Y1413">
        <f>VLOOKUP(D1413,$AB$2:$AC$7,2,FALSE)</f>
        <v/>
      </c>
      <c r="Z1413">
        <f>IF(A1413&lt;Y1413,"Yes","No")</f>
        <v/>
      </c>
    </row>
    <row r="1414">
      <c r="A1414" t="n">
        <v>2024</v>
      </c>
      <c r="B1414" t="inlineStr">
        <is>
          <t>Q4</t>
        </is>
      </c>
      <c r="C1414" t="inlineStr">
        <is>
          <t>Europe</t>
        </is>
      </c>
      <c r="D1414" t="inlineStr">
        <is>
          <t>Semi</t>
        </is>
      </c>
      <c r="E1414" t="n">
        <v>2277</v>
      </c>
      <c r="F1414" t="n">
        <v>70569.69</v>
      </c>
      <c r="G1414" t="n">
        <v>36</v>
      </c>
      <c r="H1414" t="inlineStr">
        <is>
          <t>Long Range</t>
        </is>
      </c>
      <c r="I1414" t="inlineStr">
        <is>
          <t>RWD</t>
        </is>
      </c>
      <c r="J1414" t="inlineStr">
        <is>
          <t>Blue</t>
        </is>
      </c>
      <c r="K1414" t="n">
        <v>459</v>
      </c>
      <c r="L1414" t="n">
        <v>74</v>
      </c>
      <c r="M1414" t="n">
        <v>24.52</v>
      </c>
      <c r="N1414" t="n">
        <v>2203.27</v>
      </c>
      <c r="O1414" t="n">
        <v>4.16</v>
      </c>
      <c r="P1414" t="n">
        <v>4</v>
      </c>
      <c r="Q1414" t="n">
        <v>2</v>
      </c>
      <c r="R1414" t="n">
        <v>2021.9</v>
      </c>
      <c r="S1414" t="b">
        <v>1</v>
      </c>
      <c r="T1414" t="n">
        <v>2882962</v>
      </c>
      <c r="U1414" t="n">
        <v>8</v>
      </c>
      <c r="V1414" t="n">
        <v>0.0493</v>
      </c>
      <c r="W1414" t="n">
        <v>2.34</v>
      </c>
      <c r="X1414" t="n">
        <v>62.64</v>
      </c>
      <c r="Y1414">
        <f>VLOOKUP(D1414,$AB$2:$AC$7,2,FALSE)</f>
        <v/>
      </c>
      <c r="Z1414">
        <f>IF(A1414&lt;Y1414,"Yes","No")</f>
        <v/>
      </c>
    </row>
    <row r="1415">
      <c r="A1415" t="n">
        <v>2015</v>
      </c>
      <c r="B1415" t="inlineStr">
        <is>
          <t>Q4</t>
        </is>
      </c>
      <c r="C1415" t="inlineStr">
        <is>
          <t>South America</t>
        </is>
      </c>
      <c r="D1415" t="inlineStr">
        <is>
          <t>Model X</t>
        </is>
      </c>
      <c r="E1415" t="n">
        <v>3731</v>
      </c>
      <c r="F1415" t="n">
        <v>72616.12</v>
      </c>
      <c r="G1415" t="n">
        <v>37</v>
      </c>
      <c r="H1415" t="inlineStr">
        <is>
          <t>Performance</t>
        </is>
      </c>
      <c r="I1415" t="inlineStr">
        <is>
          <t>AWD</t>
        </is>
      </c>
      <c r="J1415" t="inlineStr">
        <is>
          <t>Blue</t>
        </is>
      </c>
      <c r="K1415" t="n">
        <v>490</v>
      </c>
      <c r="L1415" t="n">
        <v>45</v>
      </c>
      <c r="M1415" t="n">
        <v>22.78</v>
      </c>
      <c r="N1415" t="n">
        <v>4512.72</v>
      </c>
      <c r="O1415" t="n">
        <v>4.41</v>
      </c>
      <c r="P1415" t="n">
        <v>8</v>
      </c>
      <c r="Q1415" t="n">
        <v>2</v>
      </c>
      <c r="R1415" t="n">
        <v>2024.4</v>
      </c>
      <c r="S1415" t="b">
        <v>1</v>
      </c>
      <c r="T1415" t="n">
        <v>3414098</v>
      </c>
      <c r="U1415" t="n">
        <v>4</v>
      </c>
      <c r="V1415" t="n">
        <v>0.0772</v>
      </c>
      <c r="W1415" t="n">
        <v>0.62</v>
      </c>
      <c r="X1415" t="n">
        <v>67.19</v>
      </c>
      <c r="Y1415">
        <f>VLOOKUP(D1415,$AB$2:$AC$7,2,FALSE)</f>
        <v/>
      </c>
      <c r="Z1415">
        <f>IF(A1415&lt;Y1415,"Yes","No")</f>
        <v/>
      </c>
    </row>
    <row r="1416">
      <c r="A1416" t="n">
        <v>2020</v>
      </c>
      <c r="B1416" t="inlineStr">
        <is>
          <t>Q4</t>
        </is>
      </c>
      <c r="C1416" t="inlineStr">
        <is>
          <t>Asia</t>
        </is>
      </c>
      <c r="D1416" t="inlineStr">
        <is>
          <t>Model Y</t>
        </is>
      </c>
      <c r="E1416" t="n">
        <v>1404</v>
      </c>
      <c r="F1416" t="n">
        <v>57543.51</v>
      </c>
      <c r="G1416" t="n">
        <v>14</v>
      </c>
      <c r="H1416" t="inlineStr">
        <is>
          <t>Long Range</t>
        </is>
      </c>
      <c r="I1416" t="inlineStr">
        <is>
          <t>AWD</t>
        </is>
      </c>
      <c r="J1416" t="inlineStr">
        <is>
          <t>White</t>
        </is>
      </c>
      <c r="K1416" t="n">
        <v>478</v>
      </c>
      <c r="L1416" t="n">
        <v>63</v>
      </c>
      <c r="M1416" t="n">
        <v>17.87</v>
      </c>
      <c r="N1416" t="n">
        <v>1628.57</v>
      </c>
      <c r="O1416" t="n">
        <v>5</v>
      </c>
      <c r="P1416" t="n">
        <v>5</v>
      </c>
      <c r="Q1416" t="n">
        <v>0</v>
      </c>
      <c r="R1416" t="n">
        <v>2022.7</v>
      </c>
      <c r="S1416" t="b">
        <v>1</v>
      </c>
      <c r="T1416" t="n">
        <v>2072451</v>
      </c>
      <c r="U1416" t="n">
        <v>10</v>
      </c>
      <c r="V1416" t="n">
        <v>0.0507</v>
      </c>
      <c r="W1416" t="n">
        <v>0.51</v>
      </c>
      <c r="X1416" t="n">
        <v>76.38</v>
      </c>
      <c r="Y1416">
        <f>VLOOKUP(D1416,$AB$2:$AC$7,2,FALSE)</f>
        <v/>
      </c>
      <c r="Z1416">
        <f>IF(A1416&lt;Y1416,"Yes","No")</f>
        <v/>
      </c>
    </row>
    <row r="1417">
      <c r="A1417" t="n">
        <v>2015</v>
      </c>
      <c r="B1417" t="inlineStr">
        <is>
          <t>Q3</t>
        </is>
      </c>
      <c r="C1417" t="inlineStr">
        <is>
          <t>Asia</t>
        </is>
      </c>
      <c r="D1417" t="inlineStr">
        <is>
          <t>Model Y</t>
        </is>
      </c>
      <c r="E1417" t="n">
        <v>2431</v>
      </c>
      <c r="F1417" t="n">
        <v>67449.67</v>
      </c>
      <c r="G1417" t="n">
        <v>0</v>
      </c>
      <c r="H1417" t="inlineStr">
        <is>
          <t>Long Range</t>
        </is>
      </c>
      <c r="I1417" t="inlineStr">
        <is>
          <t>AWD</t>
        </is>
      </c>
      <c r="J1417" t="inlineStr">
        <is>
          <t>Black</t>
        </is>
      </c>
      <c r="K1417" t="n">
        <v>594</v>
      </c>
      <c r="L1417" t="n">
        <v>55</v>
      </c>
      <c r="M1417" t="n">
        <v>16.11</v>
      </c>
      <c r="N1417" t="n">
        <v>2558.41</v>
      </c>
      <c r="O1417" t="n">
        <v>4.15</v>
      </c>
      <c r="P1417" t="n">
        <v>4</v>
      </c>
      <c r="Q1417" t="n">
        <v>0</v>
      </c>
      <c r="R1417" t="n">
        <v>2023.2</v>
      </c>
      <c r="S1417" t="b">
        <v>1</v>
      </c>
      <c r="T1417" t="n">
        <v>1588301</v>
      </c>
      <c r="U1417" t="n">
        <v>3</v>
      </c>
      <c r="V1417" t="n">
        <v>0.08309999999999999</v>
      </c>
      <c r="W1417" t="n">
        <v>0.59</v>
      </c>
      <c r="X1417" t="n">
        <v>82.64</v>
      </c>
      <c r="Y1417">
        <f>VLOOKUP(D1417,$AB$2:$AC$7,2,FALSE)</f>
        <v/>
      </c>
      <c r="Z1417">
        <f>IF(A1417&lt;Y1417,"Yes","No")</f>
        <v/>
      </c>
    </row>
    <row r="1418">
      <c r="A1418" t="n">
        <v>2023</v>
      </c>
      <c r="B1418" t="inlineStr">
        <is>
          <t>Q4</t>
        </is>
      </c>
      <c r="C1418" t="inlineStr">
        <is>
          <t>Asia</t>
        </is>
      </c>
      <c r="D1418" t="inlineStr">
        <is>
          <t>Model X</t>
        </is>
      </c>
      <c r="E1418" t="n">
        <v>4565</v>
      </c>
      <c r="F1418" t="n">
        <v>102035.37</v>
      </c>
      <c r="G1418" t="n">
        <v>45</v>
      </c>
      <c r="H1418" t="inlineStr">
        <is>
          <t>Performance</t>
        </is>
      </c>
      <c r="I1418" t="inlineStr">
        <is>
          <t>AWD</t>
        </is>
      </c>
      <c r="J1418" t="inlineStr">
        <is>
          <t>Green</t>
        </is>
      </c>
      <c r="K1418" t="n">
        <v>638</v>
      </c>
      <c r="L1418" t="n">
        <v>87</v>
      </c>
      <c r="M1418" t="n">
        <v>20.67</v>
      </c>
      <c r="N1418" t="n">
        <v>2669.66</v>
      </c>
      <c r="O1418" t="n">
        <v>4.74</v>
      </c>
      <c r="P1418" t="n">
        <v>4</v>
      </c>
      <c r="Q1418" t="n">
        <v>2</v>
      </c>
      <c r="R1418" t="n">
        <v>2024.1</v>
      </c>
      <c r="S1418" t="b">
        <v>1</v>
      </c>
      <c r="T1418" t="n">
        <v>1902353</v>
      </c>
      <c r="U1418" t="n">
        <v>5</v>
      </c>
      <c r="V1418" t="n">
        <v>0.0436</v>
      </c>
      <c r="W1418" t="n">
        <v>2.19</v>
      </c>
      <c r="X1418" t="n">
        <v>72.48</v>
      </c>
      <c r="Y1418">
        <f>VLOOKUP(D1418,$AB$2:$AC$7,2,FALSE)</f>
        <v/>
      </c>
      <c r="Z1418">
        <f>IF(A1418&lt;Y1418,"Yes","No")</f>
        <v/>
      </c>
    </row>
    <row r="1419">
      <c r="A1419" t="n">
        <v>2023</v>
      </c>
      <c r="B1419" t="inlineStr">
        <is>
          <t>Q4</t>
        </is>
      </c>
      <c r="C1419" t="inlineStr">
        <is>
          <t>North America</t>
        </is>
      </c>
      <c r="D1419" t="inlineStr">
        <is>
          <t>Model S</t>
        </is>
      </c>
      <c r="E1419" t="n">
        <v>1880</v>
      </c>
      <c r="F1419" t="n">
        <v>78828.12</v>
      </c>
      <c r="G1419" t="n">
        <v>20</v>
      </c>
      <c r="H1419" t="inlineStr">
        <is>
          <t>Performance</t>
        </is>
      </c>
      <c r="I1419" t="inlineStr">
        <is>
          <t>AWD</t>
        </is>
      </c>
      <c r="J1419" t="inlineStr">
        <is>
          <t>Red</t>
        </is>
      </c>
      <c r="K1419" t="n">
        <v>435</v>
      </c>
      <c r="L1419" t="n">
        <v>67</v>
      </c>
      <c r="M1419" t="n">
        <v>17.06</v>
      </c>
      <c r="N1419" t="n">
        <v>4153.23</v>
      </c>
      <c r="O1419" t="n">
        <v>3.79</v>
      </c>
      <c r="P1419" t="n">
        <v>4</v>
      </c>
      <c r="Q1419" t="n">
        <v>0</v>
      </c>
      <c r="R1419" t="n">
        <v>2020.2</v>
      </c>
      <c r="S1419" t="b">
        <v>1</v>
      </c>
      <c r="T1419" t="n">
        <v>2568795</v>
      </c>
      <c r="U1419" t="n">
        <v>7</v>
      </c>
      <c r="V1419" t="n">
        <v>0.0871</v>
      </c>
      <c r="W1419" t="n">
        <v>0.6899999999999999</v>
      </c>
      <c r="X1419" t="n">
        <v>76.26000000000001</v>
      </c>
      <c r="Y1419">
        <f>VLOOKUP(D1419,$AB$2:$AC$7,2,FALSE)</f>
        <v/>
      </c>
      <c r="Z1419">
        <f>IF(A1419&lt;Y1419,"Yes","No")</f>
        <v/>
      </c>
    </row>
    <row r="1420">
      <c r="A1420" t="n">
        <v>2017</v>
      </c>
      <c r="B1420" t="inlineStr">
        <is>
          <t>Q1</t>
        </is>
      </c>
      <c r="C1420" t="inlineStr">
        <is>
          <t>Australia</t>
        </is>
      </c>
      <c r="D1420" t="inlineStr">
        <is>
          <t>Semi</t>
        </is>
      </c>
      <c r="E1420" t="n">
        <v>792</v>
      </c>
      <c r="F1420" t="n">
        <v>85807.67999999999</v>
      </c>
      <c r="G1420" t="n">
        <v>38</v>
      </c>
      <c r="H1420" t="inlineStr">
        <is>
          <t>Performance</t>
        </is>
      </c>
      <c r="I1420" t="inlineStr">
        <is>
          <t>AWD</t>
        </is>
      </c>
      <c r="J1420" t="inlineStr">
        <is>
          <t>Black</t>
        </is>
      </c>
      <c r="K1420" t="n">
        <v>555</v>
      </c>
      <c r="L1420" t="n">
        <v>70</v>
      </c>
      <c r="M1420" t="n">
        <v>22.41</v>
      </c>
      <c r="N1420" t="n">
        <v>987.9</v>
      </c>
      <c r="O1420" t="n">
        <v>4.82</v>
      </c>
      <c r="P1420" t="n">
        <v>6</v>
      </c>
      <c r="Q1420" t="n">
        <v>0</v>
      </c>
      <c r="R1420" t="n">
        <v>2024.2</v>
      </c>
      <c r="S1420" t="b">
        <v>1</v>
      </c>
      <c r="T1420" t="n">
        <v>4935095</v>
      </c>
      <c r="U1420" t="n">
        <v>8</v>
      </c>
      <c r="V1420" t="n">
        <v>0.0579</v>
      </c>
      <c r="W1420" t="n">
        <v>0.66</v>
      </c>
      <c r="X1420" t="n">
        <v>72.98999999999999</v>
      </c>
      <c r="Y1420">
        <f>VLOOKUP(D1420,$AB$2:$AC$7,2,FALSE)</f>
        <v/>
      </c>
      <c r="Z1420">
        <f>IF(A1420&lt;Y1420,"Yes","No")</f>
        <v/>
      </c>
    </row>
    <row r="1421">
      <c r="A1421" t="n">
        <v>2022</v>
      </c>
      <c r="B1421" t="inlineStr">
        <is>
          <t>Q4</t>
        </is>
      </c>
      <c r="C1421" t="inlineStr">
        <is>
          <t>North America</t>
        </is>
      </c>
      <c r="D1421" t="inlineStr">
        <is>
          <t>Model Y</t>
        </is>
      </c>
      <c r="E1421" t="n">
        <v>113</v>
      </c>
      <c r="F1421" t="n">
        <v>80582.78</v>
      </c>
      <c r="G1421" t="n">
        <v>41</v>
      </c>
      <c r="H1421" t="inlineStr">
        <is>
          <t>Long Range</t>
        </is>
      </c>
      <c r="I1421" t="inlineStr">
        <is>
          <t>AWD</t>
        </is>
      </c>
      <c r="J1421" t="inlineStr">
        <is>
          <t>Silver</t>
        </is>
      </c>
      <c r="K1421" t="n">
        <v>454</v>
      </c>
      <c r="L1421" t="n">
        <v>75</v>
      </c>
      <c r="M1421" t="n">
        <v>14.96</v>
      </c>
      <c r="N1421" t="n">
        <v>245.34</v>
      </c>
      <c r="O1421" t="n">
        <v>4.94</v>
      </c>
      <c r="P1421" t="n">
        <v>6</v>
      </c>
      <c r="Q1421" t="n">
        <v>0</v>
      </c>
      <c r="R1421" t="n">
        <v>2023.12</v>
      </c>
      <c r="S1421" t="b">
        <v>1</v>
      </c>
      <c r="T1421" t="n">
        <v>3644727</v>
      </c>
      <c r="U1421" t="n">
        <v>3</v>
      </c>
      <c r="V1421" t="n">
        <v>0.0238</v>
      </c>
      <c r="W1421" t="n">
        <v>1.68</v>
      </c>
      <c r="X1421" t="n">
        <v>66.23</v>
      </c>
      <c r="Y1421">
        <f>VLOOKUP(D1421,$AB$2:$AC$7,2,FALSE)</f>
        <v/>
      </c>
      <c r="Z1421">
        <f>IF(A1421&lt;Y1421,"Yes","No")</f>
        <v/>
      </c>
    </row>
    <row r="1422">
      <c r="A1422" t="n">
        <v>2014</v>
      </c>
      <c r="B1422" t="inlineStr">
        <is>
          <t>Q1</t>
        </is>
      </c>
      <c r="C1422" t="inlineStr">
        <is>
          <t>Europe</t>
        </is>
      </c>
      <c r="D1422" t="inlineStr">
        <is>
          <t>Model X</t>
        </is>
      </c>
      <c r="E1422" t="n">
        <v>4772</v>
      </c>
      <c r="F1422" t="n">
        <v>65006.22</v>
      </c>
      <c r="G1422" t="n">
        <v>8</v>
      </c>
      <c r="H1422" t="inlineStr">
        <is>
          <t>Standard</t>
        </is>
      </c>
      <c r="I1422" t="inlineStr">
        <is>
          <t>RWD</t>
        </is>
      </c>
      <c r="J1422" t="inlineStr">
        <is>
          <t>Red</t>
        </is>
      </c>
      <c r="K1422" t="n">
        <v>690</v>
      </c>
      <c r="L1422" t="n">
        <v>33</v>
      </c>
      <c r="M1422" t="n">
        <v>24.32</v>
      </c>
      <c r="N1422" t="n">
        <v>10277.4</v>
      </c>
      <c r="O1422" t="n">
        <v>4.22</v>
      </c>
      <c r="P1422" t="n">
        <v>4</v>
      </c>
      <c r="Q1422" t="n">
        <v>3</v>
      </c>
      <c r="R1422" t="n">
        <v>2023.6</v>
      </c>
      <c r="S1422" t="b">
        <v>0</v>
      </c>
      <c r="T1422" t="n">
        <v>3332607</v>
      </c>
      <c r="U1422" t="n">
        <v>4</v>
      </c>
      <c r="V1422" t="n">
        <v>0.0745</v>
      </c>
      <c r="W1422" t="n">
        <v>1.01</v>
      </c>
      <c r="X1422" t="n">
        <v>60.21</v>
      </c>
      <c r="Y1422">
        <f>VLOOKUP(D1422,$AB$2:$AC$7,2,FALSE)</f>
        <v/>
      </c>
      <c r="Z1422">
        <f>IF(A1422&lt;Y1422,"Yes","No")</f>
        <v/>
      </c>
    </row>
    <row r="1423">
      <c r="A1423" t="n">
        <v>2018</v>
      </c>
      <c r="B1423" t="inlineStr">
        <is>
          <t>Q1</t>
        </is>
      </c>
      <c r="C1423" t="inlineStr">
        <is>
          <t>North America</t>
        </is>
      </c>
      <c r="D1423" t="inlineStr">
        <is>
          <t>Semi</t>
        </is>
      </c>
      <c r="E1423" t="n">
        <v>1535</v>
      </c>
      <c r="F1423" t="n">
        <v>111934.81</v>
      </c>
      <c r="G1423" t="n">
        <v>50</v>
      </c>
      <c r="H1423" t="inlineStr">
        <is>
          <t>Performance</t>
        </is>
      </c>
      <c r="I1423" t="inlineStr">
        <is>
          <t>AWD</t>
        </is>
      </c>
      <c r="J1423" t="inlineStr">
        <is>
          <t>Green</t>
        </is>
      </c>
      <c r="K1423" t="n">
        <v>366</v>
      </c>
      <c r="L1423" t="n">
        <v>71</v>
      </c>
      <c r="M1423" t="n">
        <v>15.75</v>
      </c>
      <c r="N1423" t="n">
        <v>950.3</v>
      </c>
      <c r="O1423" t="n">
        <v>4.08</v>
      </c>
      <c r="P1423" t="n">
        <v>6</v>
      </c>
      <c r="Q1423" t="n">
        <v>0</v>
      </c>
      <c r="R1423" t="n">
        <v>2023.6</v>
      </c>
      <c r="S1423" t="b">
        <v>0</v>
      </c>
      <c r="T1423" t="n">
        <v>882677</v>
      </c>
      <c r="U1423" t="n">
        <v>4</v>
      </c>
      <c r="V1423" t="n">
        <v>0.0199</v>
      </c>
      <c r="W1423" t="n">
        <v>1.61</v>
      </c>
      <c r="X1423" t="n">
        <v>61.44</v>
      </c>
      <c r="Y1423">
        <f>VLOOKUP(D1423,$AB$2:$AC$7,2,FALSE)</f>
        <v/>
      </c>
      <c r="Z1423">
        <f>IF(A1423&lt;Y1423,"Yes","No")</f>
        <v/>
      </c>
    </row>
    <row r="1424">
      <c r="A1424" t="n">
        <v>2022</v>
      </c>
      <c r="B1424" t="inlineStr">
        <is>
          <t>Q1</t>
        </is>
      </c>
      <c r="C1424" t="inlineStr">
        <is>
          <t>South America</t>
        </is>
      </c>
      <c r="D1424" t="inlineStr">
        <is>
          <t>Model S</t>
        </is>
      </c>
      <c r="E1424" t="n">
        <v>1044</v>
      </c>
      <c r="F1424" t="n">
        <v>91714.16</v>
      </c>
      <c r="G1424" t="n">
        <v>8</v>
      </c>
      <c r="H1424" t="inlineStr">
        <is>
          <t>Performance</t>
        </is>
      </c>
      <c r="I1424" t="inlineStr">
        <is>
          <t>AWD</t>
        </is>
      </c>
      <c r="J1424" t="inlineStr">
        <is>
          <t>Green</t>
        </is>
      </c>
      <c r="K1424" t="n">
        <v>664</v>
      </c>
      <c r="L1424" t="n">
        <v>84</v>
      </c>
      <c r="M1424" t="n">
        <v>20.3</v>
      </c>
      <c r="N1424" t="n">
        <v>984.8099999999999</v>
      </c>
      <c r="O1424" t="n">
        <v>3.59</v>
      </c>
      <c r="P1424" t="n">
        <v>6</v>
      </c>
      <c r="Q1424" t="n">
        <v>2</v>
      </c>
      <c r="R1424" t="n">
        <v>2024.12</v>
      </c>
      <c r="S1424" t="b">
        <v>0</v>
      </c>
      <c r="T1424" t="n">
        <v>4972180</v>
      </c>
      <c r="U1424" t="n">
        <v>4</v>
      </c>
      <c r="V1424" t="n">
        <v>0.0154</v>
      </c>
      <c r="W1424" t="n">
        <v>2.08</v>
      </c>
      <c r="X1424" t="n">
        <v>66.63</v>
      </c>
      <c r="Y1424">
        <f>VLOOKUP(D1424,$AB$2:$AC$7,2,FALSE)</f>
        <v/>
      </c>
      <c r="Z1424">
        <f>IF(A1424&lt;Y1424,"Yes","No")</f>
        <v/>
      </c>
    </row>
    <row r="1425">
      <c r="A1425" t="n">
        <v>2024</v>
      </c>
      <c r="B1425" t="inlineStr">
        <is>
          <t>Q3</t>
        </is>
      </c>
      <c r="C1425" t="inlineStr">
        <is>
          <t>Asia</t>
        </is>
      </c>
      <c r="D1425" t="inlineStr">
        <is>
          <t>Cybertruck</t>
        </is>
      </c>
      <c r="E1425" t="n">
        <v>3576</v>
      </c>
      <c r="F1425" t="n">
        <v>82172.58</v>
      </c>
      <c r="G1425" t="n">
        <v>44</v>
      </c>
      <c r="H1425" t="inlineStr">
        <is>
          <t>Performance</t>
        </is>
      </c>
      <c r="I1425" t="inlineStr">
        <is>
          <t>AWD</t>
        </is>
      </c>
      <c r="J1425" t="inlineStr">
        <is>
          <t>Red</t>
        </is>
      </c>
      <c r="K1425" t="n">
        <v>648</v>
      </c>
      <c r="L1425" t="n">
        <v>75</v>
      </c>
      <c r="M1425" t="n">
        <v>17.64</v>
      </c>
      <c r="N1425" t="n">
        <v>2558.54</v>
      </c>
      <c r="O1425" t="n">
        <v>4.64</v>
      </c>
      <c r="P1425" t="n">
        <v>4</v>
      </c>
      <c r="Q1425" t="n">
        <v>2</v>
      </c>
      <c r="R1425" t="n">
        <v>2022.1</v>
      </c>
      <c r="S1425" t="b">
        <v>0</v>
      </c>
      <c r="T1425" t="n">
        <v>1469669</v>
      </c>
      <c r="U1425" t="n">
        <v>3</v>
      </c>
      <c r="V1425" t="n">
        <v>0.0159</v>
      </c>
      <c r="W1425" t="n">
        <v>2.01</v>
      </c>
      <c r="X1425" t="n">
        <v>85.28</v>
      </c>
      <c r="Y1425">
        <f>VLOOKUP(D1425,$AB$2:$AC$7,2,FALSE)</f>
        <v/>
      </c>
      <c r="Z1425">
        <f>IF(A1425&lt;Y1425,"Yes","No")</f>
        <v/>
      </c>
    </row>
    <row r="1426">
      <c r="A1426" t="n">
        <v>2024</v>
      </c>
      <c r="B1426" t="inlineStr">
        <is>
          <t>Q4</t>
        </is>
      </c>
      <c r="C1426" t="inlineStr">
        <is>
          <t>North America</t>
        </is>
      </c>
      <c r="D1426" t="inlineStr">
        <is>
          <t>Cybertruck</t>
        </is>
      </c>
      <c r="E1426" t="n">
        <v>1053</v>
      </c>
      <c r="F1426" t="n">
        <v>69420.60000000001</v>
      </c>
      <c r="G1426" t="n">
        <v>17</v>
      </c>
      <c r="H1426" t="inlineStr">
        <is>
          <t>Standard</t>
        </is>
      </c>
      <c r="I1426" t="inlineStr">
        <is>
          <t>AWD</t>
        </is>
      </c>
      <c r="J1426" t="inlineStr">
        <is>
          <t>White</t>
        </is>
      </c>
      <c r="K1426" t="n">
        <v>480</v>
      </c>
      <c r="L1426" t="n">
        <v>77</v>
      </c>
      <c r="M1426" t="n">
        <v>22.55</v>
      </c>
      <c r="N1426" t="n">
        <v>1383.79</v>
      </c>
      <c r="O1426" t="n">
        <v>3.56</v>
      </c>
      <c r="P1426" t="n">
        <v>4</v>
      </c>
      <c r="Q1426" t="n">
        <v>3</v>
      </c>
      <c r="R1426" t="n">
        <v>2020.5</v>
      </c>
      <c r="S1426" t="b">
        <v>1</v>
      </c>
      <c r="T1426" t="n">
        <v>4728924</v>
      </c>
      <c r="U1426" t="n">
        <v>5</v>
      </c>
      <c r="V1426" t="n">
        <v>0.0346</v>
      </c>
      <c r="W1426" t="n">
        <v>1.63</v>
      </c>
      <c r="X1426" t="n">
        <v>67.91</v>
      </c>
      <c r="Y1426">
        <f>VLOOKUP(D1426,$AB$2:$AC$7,2,FALSE)</f>
        <v/>
      </c>
      <c r="Z1426">
        <f>IF(A1426&lt;Y1426,"Yes","No")</f>
        <v/>
      </c>
    </row>
    <row r="1427">
      <c r="A1427" t="n">
        <v>2021</v>
      </c>
      <c r="B1427" t="inlineStr">
        <is>
          <t>Q3</t>
        </is>
      </c>
      <c r="C1427" t="inlineStr">
        <is>
          <t>North America</t>
        </is>
      </c>
      <c r="D1427" t="inlineStr">
        <is>
          <t>Model Y</t>
        </is>
      </c>
      <c r="E1427" t="n">
        <v>144</v>
      </c>
      <c r="F1427" t="n">
        <v>85202.92</v>
      </c>
      <c r="G1427" t="n">
        <v>51</v>
      </c>
      <c r="H1427" t="inlineStr">
        <is>
          <t>Performance</t>
        </is>
      </c>
      <c r="I1427" t="inlineStr">
        <is>
          <t>RWD</t>
        </is>
      </c>
      <c r="J1427" t="inlineStr">
        <is>
          <t>Silver</t>
        </is>
      </c>
      <c r="K1427" t="n">
        <v>367</v>
      </c>
      <c r="L1427" t="n">
        <v>56</v>
      </c>
      <c r="M1427" t="n">
        <v>22.93</v>
      </c>
      <c r="N1427" t="n">
        <v>271.39</v>
      </c>
      <c r="O1427" t="n">
        <v>4.19</v>
      </c>
      <c r="P1427" t="n">
        <v>6</v>
      </c>
      <c r="Q1427" t="n">
        <v>3</v>
      </c>
      <c r="R1427" t="n">
        <v>2023.1</v>
      </c>
      <c r="S1427" t="b">
        <v>1</v>
      </c>
      <c r="T1427" t="n">
        <v>4683384</v>
      </c>
      <c r="U1427" t="n">
        <v>7</v>
      </c>
      <c r="V1427" t="n">
        <v>0.0614</v>
      </c>
      <c r="W1427" t="n">
        <v>0.58</v>
      </c>
      <c r="X1427" t="n">
        <v>67.73999999999999</v>
      </c>
      <c r="Y1427">
        <f>VLOOKUP(D1427,$AB$2:$AC$7,2,FALSE)</f>
        <v/>
      </c>
      <c r="Z1427">
        <f>IF(A1427&lt;Y1427,"Yes","No")</f>
        <v/>
      </c>
    </row>
    <row r="1428">
      <c r="A1428" t="n">
        <v>2021</v>
      </c>
      <c r="B1428" t="inlineStr">
        <is>
          <t>Q3</t>
        </is>
      </c>
      <c r="C1428" t="inlineStr">
        <is>
          <t>North America</t>
        </is>
      </c>
      <c r="D1428" t="inlineStr">
        <is>
          <t>Model X</t>
        </is>
      </c>
      <c r="E1428" t="n">
        <v>1222</v>
      </c>
      <c r="F1428" t="n">
        <v>91538.22</v>
      </c>
      <c r="G1428" t="n">
        <v>42</v>
      </c>
      <c r="H1428" t="inlineStr">
        <is>
          <t>Standard</t>
        </is>
      </c>
      <c r="I1428" t="inlineStr">
        <is>
          <t>RWD</t>
        </is>
      </c>
      <c r="J1428" t="inlineStr">
        <is>
          <t>Silver</t>
        </is>
      </c>
      <c r="K1428" t="n">
        <v>533</v>
      </c>
      <c r="L1428" t="n">
        <v>59</v>
      </c>
      <c r="M1428" t="n">
        <v>24.16</v>
      </c>
      <c r="N1428" t="n">
        <v>3047.21</v>
      </c>
      <c r="O1428" t="n">
        <v>4.16</v>
      </c>
      <c r="P1428" t="n">
        <v>8</v>
      </c>
      <c r="Q1428" t="n">
        <v>1</v>
      </c>
      <c r="R1428" t="n">
        <v>2022.4</v>
      </c>
      <c r="S1428" t="b">
        <v>0</v>
      </c>
      <c r="T1428" t="n">
        <v>3909597</v>
      </c>
      <c r="U1428" t="n">
        <v>8</v>
      </c>
      <c r="V1428" t="n">
        <v>0.07770000000000001</v>
      </c>
      <c r="W1428" t="n">
        <v>1.71</v>
      </c>
      <c r="X1428" t="n">
        <v>86.34</v>
      </c>
      <c r="Y1428">
        <f>VLOOKUP(D1428,$AB$2:$AC$7,2,FALSE)</f>
        <v/>
      </c>
      <c r="Z1428">
        <f>IF(A1428&lt;Y1428,"Yes","No")</f>
        <v/>
      </c>
    </row>
    <row r="1429">
      <c r="A1429" t="n">
        <v>2024</v>
      </c>
      <c r="B1429" t="inlineStr">
        <is>
          <t>Q3</t>
        </is>
      </c>
      <c r="C1429" t="inlineStr">
        <is>
          <t>Europe</t>
        </is>
      </c>
      <c r="D1429" t="inlineStr">
        <is>
          <t>Model S</t>
        </is>
      </c>
      <c r="E1429" t="n">
        <v>834</v>
      </c>
      <c r="F1429" t="n">
        <v>68213.42</v>
      </c>
      <c r="G1429" t="n">
        <v>54</v>
      </c>
      <c r="H1429" t="inlineStr">
        <is>
          <t>Long Range</t>
        </is>
      </c>
      <c r="I1429" t="inlineStr">
        <is>
          <t>RWD</t>
        </is>
      </c>
      <c r="J1429" t="inlineStr">
        <is>
          <t>Black</t>
        </is>
      </c>
      <c r="K1429" t="n">
        <v>618</v>
      </c>
      <c r="L1429" t="n">
        <v>70</v>
      </c>
      <c r="M1429" t="n">
        <v>17.81</v>
      </c>
      <c r="N1429" t="n">
        <v>1199.98</v>
      </c>
      <c r="O1429" t="n">
        <v>3.94</v>
      </c>
      <c r="P1429" t="n">
        <v>8</v>
      </c>
      <c r="Q1429" t="n">
        <v>2</v>
      </c>
      <c r="R1429" t="n">
        <v>2024.1</v>
      </c>
      <c r="S1429" t="b">
        <v>1</v>
      </c>
      <c r="T1429" t="n">
        <v>3349918</v>
      </c>
      <c r="U1429" t="n">
        <v>4</v>
      </c>
      <c r="V1429" t="n">
        <v>0.0648</v>
      </c>
      <c r="W1429" t="n">
        <v>1.39</v>
      </c>
      <c r="X1429" t="n">
        <v>71.64</v>
      </c>
      <c r="Y1429">
        <f>VLOOKUP(D1429,$AB$2:$AC$7,2,FALSE)</f>
        <v/>
      </c>
      <c r="Z1429">
        <f>IF(A1429&lt;Y1429,"Yes","No")</f>
        <v/>
      </c>
    </row>
    <row r="1430">
      <c r="A1430" t="n">
        <v>2013</v>
      </c>
      <c r="B1430" t="inlineStr">
        <is>
          <t>Q4</t>
        </is>
      </c>
      <c r="C1430" t="inlineStr">
        <is>
          <t>Australia</t>
        </is>
      </c>
      <c r="D1430" t="inlineStr">
        <is>
          <t>Model 3</t>
        </is>
      </c>
      <c r="E1430" t="n">
        <v>4474</v>
      </c>
      <c r="F1430" t="n">
        <v>68916.49000000001</v>
      </c>
      <c r="G1430" t="n">
        <v>0</v>
      </c>
      <c r="H1430" t="inlineStr">
        <is>
          <t>Standard</t>
        </is>
      </c>
      <c r="I1430" t="inlineStr">
        <is>
          <t>RWD</t>
        </is>
      </c>
      <c r="J1430" t="inlineStr">
        <is>
          <t>Silver</t>
        </is>
      </c>
      <c r="K1430" t="n">
        <v>617</v>
      </c>
      <c r="L1430" t="n">
        <v>38</v>
      </c>
      <c r="M1430" t="n">
        <v>16.24</v>
      </c>
      <c r="N1430" t="n">
        <v>10659.12</v>
      </c>
      <c r="O1430" t="n">
        <v>4.81</v>
      </c>
      <c r="P1430" t="n">
        <v>8</v>
      </c>
      <c r="Q1430" t="n">
        <v>3</v>
      </c>
      <c r="R1430" t="n">
        <v>2020.2</v>
      </c>
      <c r="S1430" t="b">
        <v>0</v>
      </c>
      <c r="T1430" t="n">
        <v>3200242</v>
      </c>
      <c r="U1430" t="n">
        <v>8</v>
      </c>
      <c r="V1430" t="n">
        <v>0.0242</v>
      </c>
      <c r="W1430" t="n">
        <v>1.5</v>
      </c>
      <c r="X1430" t="n">
        <v>74.73</v>
      </c>
      <c r="Y1430">
        <f>VLOOKUP(D1430,$AB$2:$AC$7,2,FALSE)</f>
        <v/>
      </c>
      <c r="Z1430">
        <f>IF(A1430&lt;Y1430,"Yes","No")</f>
        <v/>
      </c>
    </row>
    <row r="1431">
      <c r="A1431" t="n">
        <v>2022</v>
      </c>
      <c r="B1431" t="inlineStr">
        <is>
          <t>Q3</t>
        </is>
      </c>
      <c r="C1431" t="inlineStr">
        <is>
          <t>North America</t>
        </is>
      </c>
      <c r="D1431" t="inlineStr">
        <is>
          <t>Model 3</t>
        </is>
      </c>
      <c r="E1431" t="n">
        <v>565</v>
      </c>
      <c r="F1431" t="n">
        <v>111231.91</v>
      </c>
      <c r="G1431" t="n">
        <v>52</v>
      </c>
      <c r="H1431" t="inlineStr">
        <is>
          <t>Long Range</t>
        </is>
      </c>
      <c r="I1431" t="inlineStr">
        <is>
          <t>AWD</t>
        </is>
      </c>
      <c r="J1431" t="inlineStr">
        <is>
          <t>Black</t>
        </is>
      </c>
      <c r="K1431" t="n">
        <v>394</v>
      </c>
      <c r="L1431" t="n">
        <v>75</v>
      </c>
      <c r="M1431" t="n">
        <v>24.25</v>
      </c>
      <c r="N1431" t="n">
        <v>646.6900000000001</v>
      </c>
      <c r="O1431" t="n">
        <v>3.91</v>
      </c>
      <c r="P1431" t="n">
        <v>5</v>
      </c>
      <c r="Q1431" t="n">
        <v>2</v>
      </c>
      <c r="R1431" t="n">
        <v>2021.6</v>
      </c>
      <c r="S1431" t="b">
        <v>0</v>
      </c>
      <c r="T1431" t="n">
        <v>383924</v>
      </c>
      <c r="U1431" t="n">
        <v>2</v>
      </c>
      <c r="V1431" t="n">
        <v>0.0569</v>
      </c>
      <c r="W1431" t="n">
        <v>1.99</v>
      </c>
      <c r="X1431" t="n">
        <v>75.67</v>
      </c>
      <c r="Y1431">
        <f>VLOOKUP(D1431,$AB$2:$AC$7,2,FALSE)</f>
        <v/>
      </c>
      <c r="Z1431">
        <f>IF(A1431&lt;Y1431,"Yes","No")</f>
        <v/>
      </c>
    </row>
    <row r="1432">
      <c r="A1432" t="n">
        <v>2021</v>
      </c>
      <c r="B1432" t="inlineStr">
        <is>
          <t>Q3</t>
        </is>
      </c>
      <c r="C1432" t="inlineStr">
        <is>
          <t>South America</t>
        </is>
      </c>
      <c r="D1432" t="inlineStr">
        <is>
          <t>Model Y</t>
        </is>
      </c>
      <c r="E1432" t="n">
        <v>562</v>
      </c>
      <c r="F1432" t="n">
        <v>73472.38</v>
      </c>
      <c r="G1432" t="n">
        <v>6</v>
      </c>
      <c r="H1432" t="inlineStr">
        <is>
          <t>Long Range</t>
        </is>
      </c>
      <c r="I1432" t="inlineStr">
        <is>
          <t>AWD</t>
        </is>
      </c>
      <c r="J1432" t="inlineStr">
        <is>
          <t>White</t>
        </is>
      </c>
      <c r="K1432" t="n">
        <v>426</v>
      </c>
      <c r="L1432" t="n">
        <v>30</v>
      </c>
      <c r="M1432" t="n">
        <v>20.51</v>
      </c>
      <c r="N1432" t="n">
        <v>1301.81</v>
      </c>
      <c r="O1432" t="n">
        <v>4.85</v>
      </c>
      <c r="P1432" t="n">
        <v>6</v>
      </c>
      <c r="Q1432" t="n">
        <v>1</v>
      </c>
      <c r="R1432" t="n">
        <v>2020.4</v>
      </c>
      <c r="S1432" t="b">
        <v>1</v>
      </c>
      <c r="T1432" t="n">
        <v>4420431</v>
      </c>
      <c r="U1432" t="n">
        <v>6</v>
      </c>
      <c r="V1432" t="n">
        <v>0.0434</v>
      </c>
      <c r="W1432" t="n">
        <v>1.33</v>
      </c>
      <c r="X1432" t="n">
        <v>69.88</v>
      </c>
      <c r="Y1432">
        <f>VLOOKUP(D1432,$AB$2:$AC$7,2,FALSE)</f>
        <v/>
      </c>
      <c r="Z1432">
        <f>IF(A1432&lt;Y1432,"Yes","No")</f>
        <v/>
      </c>
    </row>
    <row r="1433">
      <c r="A1433" t="n">
        <v>2021</v>
      </c>
      <c r="B1433" t="inlineStr">
        <is>
          <t>Q2</t>
        </is>
      </c>
      <c r="C1433" t="inlineStr">
        <is>
          <t>Asia</t>
        </is>
      </c>
      <c r="D1433" t="inlineStr">
        <is>
          <t>Semi</t>
        </is>
      </c>
      <c r="E1433" t="n">
        <v>1273</v>
      </c>
      <c r="F1433" t="n">
        <v>55587.03</v>
      </c>
      <c r="G1433" t="n">
        <v>8</v>
      </c>
      <c r="H1433" t="inlineStr">
        <is>
          <t>Performance</t>
        </is>
      </c>
      <c r="I1433" t="inlineStr">
        <is>
          <t>AWD</t>
        </is>
      </c>
      <c r="J1433" t="inlineStr">
        <is>
          <t>Red</t>
        </is>
      </c>
      <c r="K1433" t="n">
        <v>659</v>
      </c>
      <c r="L1433" t="n">
        <v>35</v>
      </c>
      <c r="M1433" t="n">
        <v>23.6</v>
      </c>
      <c r="N1433" t="n">
        <v>2982.27</v>
      </c>
      <c r="O1433" t="n">
        <v>4.37</v>
      </c>
      <c r="P1433" t="n">
        <v>6</v>
      </c>
      <c r="Q1433" t="n">
        <v>1</v>
      </c>
      <c r="R1433" t="n">
        <v>2020.5</v>
      </c>
      <c r="S1433" t="b">
        <v>1</v>
      </c>
      <c r="T1433" t="n">
        <v>2457512</v>
      </c>
      <c r="U1433" t="n">
        <v>2</v>
      </c>
      <c r="V1433" t="n">
        <v>0.0827</v>
      </c>
      <c r="W1433" t="n">
        <v>1.58</v>
      </c>
      <c r="X1433" t="n">
        <v>83.7</v>
      </c>
      <c r="Y1433">
        <f>VLOOKUP(D1433,$AB$2:$AC$7,2,FALSE)</f>
        <v/>
      </c>
      <c r="Z1433">
        <f>IF(A1433&lt;Y1433,"Yes","No")</f>
        <v/>
      </c>
    </row>
    <row r="1434">
      <c r="A1434" t="n">
        <v>2020</v>
      </c>
      <c r="B1434" t="inlineStr">
        <is>
          <t>Q2</t>
        </is>
      </c>
      <c r="C1434" t="inlineStr">
        <is>
          <t>Asia</t>
        </is>
      </c>
      <c r="D1434" t="inlineStr">
        <is>
          <t>Semi</t>
        </is>
      </c>
      <c r="E1434" t="n">
        <v>1662</v>
      </c>
      <c r="F1434" t="n">
        <v>92877.67999999999</v>
      </c>
      <c r="G1434" t="n">
        <v>40</v>
      </c>
      <c r="H1434" t="inlineStr">
        <is>
          <t>Long Range</t>
        </is>
      </c>
      <c r="I1434" t="inlineStr">
        <is>
          <t>RWD</t>
        </is>
      </c>
      <c r="J1434" t="inlineStr">
        <is>
          <t>Silver</t>
        </is>
      </c>
      <c r="K1434" t="n">
        <v>628</v>
      </c>
      <c r="L1434" t="n">
        <v>39</v>
      </c>
      <c r="M1434" t="n">
        <v>21.27</v>
      </c>
      <c r="N1434" t="n">
        <v>1840.62</v>
      </c>
      <c r="O1434" t="n">
        <v>4.63</v>
      </c>
      <c r="P1434" t="n">
        <v>4</v>
      </c>
      <c r="Q1434" t="n">
        <v>0</v>
      </c>
      <c r="R1434" t="n">
        <v>2023.9</v>
      </c>
      <c r="S1434" t="b">
        <v>1</v>
      </c>
      <c r="T1434" t="n">
        <v>2013324</v>
      </c>
      <c r="U1434" t="n">
        <v>3</v>
      </c>
      <c r="V1434" t="n">
        <v>0.0295</v>
      </c>
      <c r="W1434" t="n">
        <v>1.75</v>
      </c>
      <c r="X1434" t="n">
        <v>76.98</v>
      </c>
      <c r="Y1434">
        <f>VLOOKUP(D1434,$AB$2:$AC$7,2,FALSE)</f>
        <v/>
      </c>
      <c r="Z1434">
        <f>IF(A1434&lt;Y1434,"Yes","No")</f>
        <v/>
      </c>
    </row>
    <row r="1435">
      <c r="A1435" t="n">
        <v>2022</v>
      </c>
      <c r="B1435" t="inlineStr">
        <is>
          <t>Q1</t>
        </is>
      </c>
      <c r="C1435" t="inlineStr">
        <is>
          <t>South America</t>
        </is>
      </c>
      <c r="D1435" t="inlineStr">
        <is>
          <t>Model S</t>
        </is>
      </c>
      <c r="E1435" t="n">
        <v>176</v>
      </c>
      <c r="F1435" t="n">
        <v>116609.7</v>
      </c>
      <c r="G1435" t="n">
        <v>51</v>
      </c>
      <c r="H1435" t="inlineStr">
        <is>
          <t>Performance</t>
        </is>
      </c>
      <c r="I1435" t="inlineStr">
        <is>
          <t>RWD</t>
        </is>
      </c>
      <c r="J1435" t="inlineStr">
        <is>
          <t>Black</t>
        </is>
      </c>
      <c r="K1435" t="n">
        <v>509</v>
      </c>
      <c r="L1435" t="n">
        <v>40</v>
      </c>
      <c r="M1435" t="n">
        <v>24.68</v>
      </c>
      <c r="N1435" t="n">
        <v>209.02</v>
      </c>
      <c r="O1435" t="n">
        <v>4.19</v>
      </c>
      <c r="P1435" t="n">
        <v>8</v>
      </c>
      <c r="Q1435" t="n">
        <v>1</v>
      </c>
      <c r="R1435" t="n">
        <v>2022.6</v>
      </c>
      <c r="S1435" t="b">
        <v>0</v>
      </c>
      <c r="T1435" t="n">
        <v>3888786</v>
      </c>
      <c r="U1435" t="n">
        <v>6</v>
      </c>
      <c r="V1435" t="n">
        <v>0.0799</v>
      </c>
      <c r="W1435" t="n">
        <v>2.24</v>
      </c>
      <c r="X1435" t="n">
        <v>86.01000000000001</v>
      </c>
      <c r="Y1435">
        <f>VLOOKUP(D1435,$AB$2:$AC$7,2,FALSE)</f>
        <v/>
      </c>
      <c r="Z1435">
        <f>IF(A1435&lt;Y1435,"Yes","No")</f>
        <v/>
      </c>
    </row>
    <row r="1436">
      <c r="A1436" t="n">
        <v>2018</v>
      </c>
      <c r="B1436" t="inlineStr">
        <is>
          <t>Q2</t>
        </is>
      </c>
      <c r="C1436" t="inlineStr">
        <is>
          <t>Asia</t>
        </is>
      </c>
      <c r="D1436" t="inlineStr">
        <is>
          <t>Cybertruck</t>
        </is>
      </c>
      <c r="E1436" t="n">
        <v>4331</v>
      </c>
      <c r="F1436" t="n">
        <v>115779.77</v>
      </c>
      <c r="G1436" t="n">
        <v>9</v>
      </c>
      <c r="H1436" t="inlineStr">
        <is>
          <t>Standard</t>
        </is>
      </c>
      <c r="I1436" t="inlineStr">
        <is>
          <t>RWD</t>
        </is>
      </c>
      <c r="J1436" t="inlineStr">
        <is>
          <t>Green</t>
        </is>
      </c>
      <c r="K1436" t="n">
        <v>426</v>
      </c>
      <c r="L1436" t="n">
        <v>50</v>
      </c>
      <c r="M1436" t="n">
        <v>16.73</v>
      </c>
      <c r="N1436" t="n">
        <v>8643.389999999999</v>
      </c>
      <c r="O1436" t="n">
        <v>3.69</v>
      </c>
      <c r="P1436" t="n">
        <v>6</v>
      </c>
      <c r="Q1436" t="n">
        <v>1</v>
      </c>
      <c r="R1436" t="n">
        <v>2022.2</v>
      </c>
      <c r="S1436" t="b">
        <v>1</v>
      </c>
      <c r="T1436" t="n">
        <v>4008597</v>
      </c>
      <c r="U1436" t="n">
        <v>10</v>
      </c>
      <c r="V1436" t="n">
        <v>0.0712</v>
      </c>
      <c r="W1436" t="n">
        <v>2.01</v>
      </c>
      <c r="X1436" t="n">
        <v>76.61</v>
      </c>
      <c r="Y1436">
        <f>VLOOKUP(D1436,$AB$2:$AC$7,2,FALSE)</f>
        <v/>
      </c>
      <c r="Z1436">
        <f>IF(A1436&lt;Y1436,"Yes","No")</f>
        <v/>
      </c>
    </row>
    <row r="1437">
      <c r="A1437" t="n">
        <v>2017</v>
      </c>
      <c r="B1437" t="inlineStr">
        <is>
          <t>Q1</t>
        </is>
      </c>
      <c r="C1437" t="inlineStr">
        <is>
          <t>Europe</t>
        </is>
      </c>
      <c r="D1437" t="inlineStr">
        <is>
          <t>Model X</t>
        </is>
      </c>
      <c r="E1437" t="n">
        <v>2805</v>
      </c>
      <c r="F1437" t="n">
        <v>66069.49000000001</v>
      </c>
      <c r="G1437" t="n">
        <v>35</v>
      </c>
      <c r="H1437" t="inlineStr">
        <is>
          <t>Performance</t>
        </is>
      </c>
      <c r="I1437" t="inlineStr">
        <is>
          <t>AWD</t>
        </is>
      </c>
      <c r="J1437" t="inlineStr">
        <is>
          <t>Silver</t>
        </is>
      </c>
      <c r="K1437" t="n">
        <v>591</v>
      </c>
      <c r="L1437" t="n">
        <v>40</v>
      </c>
      <c r="M1437" t="n">
        <v>13.09</v>
      </c>
      <c r="N1437" t="n">
        <v>2872.3</v>
      </c>
      <c r="O1437" t="n">
        <v>4.1</v>
      </c>
      <c r="P1437" t="n">
        <v>8</v>
      </c>
      <c r="Q1437" t="n">
        <v>3</v>
      </c>
      <c r="R1437" t="n">
        <v>2023.12</v>
      </c>
      <c r="S1437" t="b">
        <v>1</v>
      </c>
      <c r="T1437" t="n">
        <v>4565062</v>
      </c>
      <c r="U1437" t="n">
        <v>4</v>
      </c>
      <c r="V1437" t="n">
        <v>0.0586</v>
      </c>
      <c r="W1437" t="n">
        <v>2.44</v>
      </c>
      <c r="X1437" t="n">
        <v>68.98</v>
      </c>
      <c r="Y1437">
        <f>VLOOKUP(D1437,$AB$2:$AC$7,2,FALSE)</f>
        <v/>
      </c>
      <c r="Z1437">
        <f>IF(A1437&lt;Y1437,"Yes","No")</f>
        <v/>
      </c>
    </row>
    <row r="1438">
      <c r="A1438" t="n">
        <v>2023</v>
      </c>
      <c r="B1438" t="inlineStr">
        <is>
          <t>Q4</t>
        </is>
      </c>
      <c r="C1438" t="inlineStr">
        <is>
          <t>North America</t>
        </is>
      </c>
      <c r="D1438" t="inlineStr">
        <is>
          <t>Semi</t>
        </is>
      </c>
      <c r="E1438" t="n">
        <v>1109</v>
      </c>
      <c r="F1438" t="n">
        <v>39727.32</v>
      </c>
      <c r="G1438" t="n">
        <v>30</v>
      </c>
      <c r="H1438" t="inlineStr">
        <is>
          <t>Long Range</t>
        </is>
      </c>
      <c r="I1438" t="inlineStr">
        <is>
          <t>AWD</t>
        </is>
      </c>
      <c r="J1438" t="inlineStr">
        <is>
          <t>Red</t>
        </is>
      </c>
      <c r="K1438" t="n">
        <v>700</v>
      </c>
      <c r="L1438" t="n">
        <v>83</v>
      </c>
      <c r="M1438" t="n">
        <v>22.86</v>
      </c>
      <c r="N1438" t="n">
        <v>2144.32</v>
      </c>
      <c r="O1438" t="n">
        <v>4.09</v>
      </c>
      <c r="P1438" t="n">
        <v>6</v>
      </c>
      <c r="Q1438" t="n">
        <v>1</v>
      </c>
      <c r="R1438" t="n">
        <v>2020.6</v>
      </c>
      <c r="S1438" t="b">
        <v>1</v>
      </c>
      <c r="T1438" t="n">
        <v>3422999</v>
      </c>
      <c r="U1438" t="n">
        <v>4</v>
      </c>
      <c r="V1438" t="n">
        <v>0.0186</v>
      </c>
      <c r="W1438" t="n">
        <v>1.81</v>
      </c>
      <c r="X1438" t="n">
        <v>74.42</v>
      </c>
      <c r="Y1438">
        <f>VLOOKUP(D1438,$AB$2:$AC$7,2,FALSE)</f>
        <v/>
      </c>
      <c r="Z1438">
        <f>IF(A1438&lt;Y1438,"Yes","No")</f>
        <v/>
      </c>
    </row>
    <row r="1439">
      <c r="A1439" t="n">
        <v>2016</v>
      </c>
      <c r="B1439" t="inlineStr">
        <is>
          <t>Q1</t>
        </is>
      </c>
      <c r="C1439" t="inlineStr">
        <is>
          <t>Asia</t>
        </is>
      </c>
      <c r="D1439" t="inlineStr">
        <is>
          <t>Model X</t>
        </is>
      </c>
      <c r="E1439" t="n">
        <v>1851</v>
      </c>
      <c r="F1439" t="n">
        <v>35322.38</v>
      </c>
      <c r="G1439" t="n">
        <v>52</v>
      </c>
      <c r="H1439" t="inlineStr">
        <is>
          <t>Standard</t>
        </is>
      </c>
      <c r="I1439" t="inlineStr">
        <is>
          <t>AWD</t>
        </is>
      </c>
      <c r="J1439" t="inlineStr">
        <is>
          <t>Blue</t>
        </is>
      </c>
      <c r="K1439" t="n">
        <v>391</v>
      </c>
      <c r="L1439" t="n">
        <v>47</v>
      </c>
      <c r="M1439" t="n">
        <v>24.06</v>
      </c>
      <c r="N1439" t="n">
        <v>2241.46</v>
      </c>
      <c r="O1439" t="n">
        <v>4.39</v>
      </c>
      <c r="P1439" t="n">
        <v>8</v>
      </c>
      <c r="Q1439" t="n">
        <v>2</v>
      </c>
      <c r="R1439" t="n">
        <v>2022.12</v>
      </c>
      <c r="S1439" t="b">
        <v>0</v>
      </c>
      <c r="T1439" t="n">
        <v>2716310</v>
      </c>
      <c r="U1439" t="n">
        <v>6</v>
      </c>
      <c r="V1439" t="n">
        <v>0.09379999999999999</v>
      </c>
      <c r="W1439" t="n">
        <v>0.93</v>
      </c>
      <c r="X1439" t="n">
        <v>77.84999999999999</v>
      </c>
      <c r="Y1439">
        <f>VLOOKUP(D1439,$AB$2:$AC$7,2,FALSE)</f>
        <v/>
      </c>
      <c r="Z1439">
        <f>IF(A1439&lt;Y1439,"Yes","No")</f>
        <v/>
      </c>
    </row>
    <row r="1440">
      <c r="A1440" t="n">
        <v>2021</v>
      </c>
      <c r="B1440" t="inlineStr">
        <is>
          <t>Q4</t>
        </is>
      </c>
      <c r="C1440" t="inlineStr">
        <is>
          <t>North America</t>
        </is>
      </c>
      <c r="D1440" t="inlineStr">
        <is>
          <t>Model S</t>
        </is>
      </c>
      <c r="E1440" t="n">
        <v>3018</v>
      </c>
      <c r="F1440" t="n">
        <v>54276.44</v>
      </c>
      <c r="G1440" t="n">
        <v>52</v>
      </c>
      <c r="H1440" t="inlineStr">
        <is>
          <t>Standard</t>
        </is>
      </c>
      <c r="I1440" t="inlineStr">
        <is>
          <t>RWD</t>
        </is>
      </c>
      <c r="J1440" t="inlineStr">
        <is>
          <t>Silver</t>
        </is>
      </c>
      <c r="K1440" t="n">
        <v>580</v>
      </c>
      <c r="L1440" t="n">
        <v>40</v>
      </c>
      <c r="M1440" t="n">
        <v>20.47</v>
      </c>
      <c r="N1440" t="n">
        <v>6591.31</v>
      </c>
      <c r="O1440" t="n">
        <v>4.2</v>
      </c>
      <c r="P1440" t="n">
        <v>4</v>
      </c>
      <c r="Q1440" t="n">
        <v>0</v>
      </c>
      <c r="R1440" t="n">
        <v>2020.12</v>
      </c>
      <c r="S1440" t="b">
        <v>1</v>
      </c>
      <c r="T1440" t="n">
        <v>2637927</v>
      </c>
      <c r="U1440" t="n">
        <v>5</v>
      </c>
      <c r="V1440" t="n">
        <v>0.0365</v>
      </c>
      <c r="W1440" t="n">
        <v>1.7</v>
      </c>
      <c r="X1440" t="n">
        <v>74.89</v>
      </c>
      <c r="Y1440">
        <f>VLOOKUP(D1440,$AB$2:$AC$7,2,FALSE)</f>
        <v/>
      </c>
      <c r="Z1440">
        <f>IF(A1440&lt;Y1440,"Yes","No")</f>
        <v/>
      </c>
    </row>
    <row r="1441">
      <c r="A1441" t="n">
        <v>2023</v>
      </c>
      <c r="B1441" t="inlineStr">
        <is>
          <t>Q3</t>
        </is>
      </c>
      <c r="C1441" t="inlineStr">
        <is>
          <t>South America</t>
        </is>
      </c>
      <c r="D1441" t="inlineStr">
        <is>
          <t>Semi</t>
        </is>
      </c>
      <c r="E1441" t="n">
        <v>3436</v>
      </c>
      <c r="F1441" t="n">
        <v>88286.41</v>
      </c>
      <c r="G1441" t="n">
        <v>46</v>
      </c>
      <c r="H1441" t="inlineStr">
        <is>
          <t>Performance</t>
        </is>
      </c>
      <c r="I1441" t="inlineStr">
        <is>
          <t>AWD</t>
        </is>
      </c>
      <c r="J1441" t="inlineStr">
        <is>
          <t>Blue</t>
        </is>
      </c>
      <c r="K1441" t="n">
        <v>612</v>
      </c>
      <c r="L1441" t="n">
        <v>55</v>
      </c>
      <c r="M1441" t="n">
        <v>13.64</v>
      </c>
      <c r="N1441" t="n">
        <v>6600.93</v>
      </c>
      <c r="O1441" t="n">
        <v>4.9</v>
      </c>
      <c r="P1441" t="n">
        <v>5</v>
      </c>
      <c r="Q1441" t="n">
        <v>0</v>
      </c>
      <c r="R1441" t="n">
        <v>2022.1</v>
      </c>
      <c r="S1441" t="b">
        <v>1</v>
      </c>
      <c r="T1441" t="n">
        <v>4287098</v>
      </c>
      <c r="U1441" t="n">
        <v>11</v>
      </c>
      <c r="V1441" t="n">
        <v>0.033</v>
      </c>
      <c r="W1441" t="n">
        <v>1.41</v>
      </c>
      <c r="X1441" t="n">
        <v>89.33</v>
      </c>
      <c r="Y1441">
        <f>VLOOKUP(D1441,$AB$2:$AC$7,2,FALSE)</f>
        <v/>
      </c>
      <c r="Z1441">
        <f>IF(A1441&lt;Y1441,"Yes","No")</f>
        <v/>
      </c>
    </row>
    <row r="1442">
      <c r="A1442" t="n">
        <v>2015</v>
      </c>
      <c r="B1442" t="inlineStr">
        <is>
          <t>Q2</t>
        </is>
      </c>
      <c r="C1442" t="inlineStr">
        <is>
          <t>Australia</t>
        </is>
      </c>
      <c r="D1442" t="inlineStr">
        <is>
          <t>Model X</t>
        </is>
      </c>
      <c r="E1442" t="n">
        <v>4828</v>
      </c>
      <c r="F1442" t="n">
        <v>108736.26</v>
      </c>
      <c r="G1442" t="n">
        <v>60</v>
      </c>
      <c r="H1442" t="inlineStr">
        <is>
          <t>Standard</t>
        </is>
      </c>
      <c r="I1442" t="inlineStr">
        <is>
          <t>AWD</t>
        </is>
      </c>
      <c r="J1442" t="inlineStr">
        <is>
          <t>Red</t>
        </is>
      </c>
      <c r="K1442" t="n">
        <v>432</v>
      </c>
      <c r="L1442" t="n">
        <v>40</v>
      </c>
      <c r="M1442" t="n">
        <v>15.23</v>
      </c>
      <c r="N1442" t="n">
        <v>10823.83</v>
      </c>
      <c r="O1442" t="n">
        <v>3.98</v>
      </c>
      <c r="P1442" t="n">
        <v>4</v>
      </c>
      <c r="Q1442" t="n">
        <v>3</v>
      </c>
      <c r="R1442" t="n">
        <v>2020.5</v>
      </c>
      <c r="S1442" t="b">
        <v>0</v>
      </c>
      <c r="T1442" t="n">
        <v>1834256</v>
      </c>
      <c r="U1442" t="n">
        <v>12</v>
      </c>
      <c r="V1442" t="n">
        <v>0.0206</v>
      </c>
      <c r="W1442" t="n">
        <v>1.12</v>
      </c>
      <c r="X1442" t="n">
        <v>88.25</v>
      </c>
      <c r="Y1442">
        <f>VLOOKUP(D1442,$AB$2:$AC$7,2,FALSE)</f>
        <v/>
      </c>
      <c r="Z1442">
        <f>IF(A1442&lt;Y1442,"Yes","No")</f>
        <v/>
      </c>
    </row>
    <row r="1443">
      <c r="A1443" t="n">
        <v>2023</v>
      </c>
      <c r="B1443" t="inlineStr">
        <is>
          <t>Q2</t>
        </is>
      </c>
      <c r="C1443" t="inlineStr">
        <is>
          <t>Australia</t>
        </is>
      </c>
      <c r="D1443" t="inlineStr">
        <is>
          <t>Cybertruck</t>
        </is>
      </c>
      <c r="E1443" t="n">
        <v>3845</v>
      </c>
      <c r="F1443" t="n">
        <v>61320.59</v>
      </c>
      <c r="G1443" t="n">
        <v>30</v>
      </c>
      <c r="H1443" t="inlineStr">
        <is>
          <t>Performance</t>
        </is>
      </c>
      <c r="I1443" t="inlineStr">
        <is>
          <t>RWD</t>
        </is>
      </c>
      <c r="J1443" t="inlineStr">
        <is>
          <t>White</t>
        </is>
      </c>
      <c r="K1443" t="n">
        <v>353</v>
      </c>
      <c r="L1443" t="n">
        <v>59</v>
      </c>
      <c r="M1443" t="n">
        <v>13.22</v>
      </c>
      <c r="N1443" t="n">
        <v>5019.18</v>
      </c>
      <c r="O1443" t="n">
        <v>4.12</v>
      </c>
      <c r="P1443" t="n">
        <v>6</v>
      </c>
      <c r="Q1443" t="n">
        <v>3</v>
      </c>
      <c r="R1443" t="n">
        <v>2020.1</v>
      </c>
      <c r="S1443" t="b">
        <v>0</v>
      </c>
      <c r="T1443" t="n">
        <v>3267749</v>
      </c>
      <c r="U1443" t="n">
        <v>4</v>
      </c>
      <c r="V1443" t="n">
        <v>0.0246</v>
      </c>
      <c r="W1443" t="n">
        <v>2.48</v>
      </c>
      <c r="X1443" t="n">
        <v>85.56999999999999</v>
      </c>
      <c r="Y1443">
        <f>VLOOKUP(D1443,$AB$2:$AC$7,2,FALSE)</f>
        <v/>
      </c>
      <c r="Z1443">
        <f>IF(A1443&lt;Y1443,"Yes","No")</f>
        <v/>
      </c>
    </row>
    <row r="1444">
      <c r="A1444" t="n">
        <v>2013</v>
      </c>
      <c r="B1444" t="inlineStr">
        <is>
          <t>Q2</t>
        </is>
      </c>
      <c r="C1444" t="inlineStr">
        <is>
          <t>South America</t>
        </is>
      </c>
      <c r="D1444" t="inlineStr">
        <is>
          <t>Model 3</t>
        </is>
      </c>
      <c r="E1444" t="n">
        <v>1040</v>
      </c>
      <c r="F1444" t="n">
        <v>84387.42</v>
      </c>
      <c r="G1444" t="n">
        <v>59</v>
      </c>
      <c r="H1444" t="inlineStr">
        <is>
          <t>Standard</t>
        </is>
      </c>
      <c r="I1444" t="inlineStr">
        <is>
          <t>RWD</t>
        </is>
      </c>
      <c r="J1444" t="inlineStr">
        <is>
          <t>Silver</t>
        </is>
      </c>
      <c r="K1444" t="n">
        <v>434</v>
      </c>
      <c r="L1444" t="n">
        <v>60</v>
      </c>
      <c r="M1444" t="n">
        <v>19.67</v>
      </c>
      <c r="N1444" t="n">
        <v>1064.11</v>
      </c>
      <c r="O1444" t="n">
        <v>4.16</v>
      </c>
      <c r="P1444" t="n">
        <v>8</v>
      </c>
      <c r="Q1444" t="n">
        <v>2</v>
      </c>
      <c r="R1444" t="n">
        <v>2021.1</v>
      </c>
      <c r="S1444" t="b">
        <v>1</v>
      </c>
      <c r="T1444" t="n">
        <v>1757264</v>
      </c>
      <c r="U1444" t="n">
        <v>2</v>
      </c>
      <c r="V1444" t="n">
        <v>0.0916</v>
      </c>
      <c r="W1444" t="n">
        <v>1.94</v>
      </c>
      <c r="X1444" t="n">
        <v>70.8</v>
      </c>
      <c r="Y1444">
        <f>VLOOKUP(D1444,$AB$2:$AC$7,2,FALSE)</f>
        <v/>
      </c>
      <c r="Z1444">
        <f>IF(A1444&lt;Y1444,"Yes","No")</f>
        <v/>
      </c>
    </row>
    <row r="1445">
      <c r="A1445" t="n">
        <v>2021</v>
      </c>
      <c r="B1445" t="inlineStr">
        <is>
          <t>Q4</t>
        </is>
      </c>
      <c r="C1445" t="inlineStr">
        <is>
          <t>South America</t>
        </is>
      </c>
      <c r="D1445" t="inlineStr">
        <is>
          <t>Model 3</t>
        </is>
      </c>
      <c r="E1445" t="n">
        <v>350</v>
      </c>
      <c r="F1445" t="n">
        <v>111511.39</v>
      </c>
      <c r="G1445" t="n">
        <v>25</v>
      </c>
      <c r="H1445" t="inlineStr">
        <is>
          <t>Performance</t>
        </is>
      </c>
      <c r="I1445" t="inlineStr">
        <is>
          <t>RWD</t>
        </is>
      </c>
      <c r="J1445" t="inlineStr">
        <is>
          <t>Red</t>
        </is>
      </c>
      <c r="K1445" t="n">
        <v>489</v>
      </c>
      <c r="L1445" t="n">
        <v>64</v>
      </c>
      <c r="M1445" t="n">
        <v>17.23</v>
      </c>
      <c r="N1445" t="n">
        <v>337.13</v>
      </c>
      <c r="O1445" t="n">
        <v>3.77</v>
      </c>
      <c r="P1445" t="n">
        <v>6</v>
      </c>
      <c r="Q1445" t="n">
        <v>2</v>
      </c>
      <c r="R1445" t="n">
        <v>2021.6</v>
      </c>
      <c r="S1445" t="b">
        <v>0</v>
      </c>
      <c r="T1445" t="n">
        <v>4950947</v>
      </c>
      <c r="U1445" t="n">
        <v>10</v>
      </c>
      <c r="V1445" t="n">
        <v>0.0182</v>
      </c>
      <c r="W1445" t="n">
        <v>2.43</v>
      </c>
      <c r="X1445" t="n">
        <v>79.73</v>
      </c>
      <c r="Y1445">
        <f>VLOOKUP(D1445,$AB$2:$AC$7,2,FALSE)</f>
        <v/>
      </c>
      <c r="Z1445">
        <f>IF(A1445&lt;Y1445,"Yes","No")</f>
        <v/>
      </c>
    </row>
    <row r="1446">
      <c r="A1446" t="n">
        <v>2024</v>
      </c>
      <c r="B1446" t="inlineStr">
        <is>
          <t>Q4</t>
        </is>
      </c>
      <c r="C1446" t="inlineStr">
        <is>
          <t>Asia</t>
        </is>
      </c>
      <c r="D1446" t="inlineStr">
        <is>
          <t>Model S</t>
        </is>
      </c>
      <c r="E1446" t="n">
        <v>1311</v>
      </c>
      <c r="F1446" t="n">
        <v>117184.08</v>
      </c>
      <c r="G1446" t="n">
        <v>11</v>
      </c>
      <c r="H1446" t="inlineStr">
        <is>
          <t>Standard</t>
        </is>
      </c>
      <c r="I1446" t="inlineStr">
        <is>
          <t>AWD</t>
        </is>
      </c>
      <c r="J1446" t="inlineStr">
        <is>
          <t>Blue</t>
        </is>
      </c>
      <c r="K1446" t="n">
        <v>470</v>
      </c>
      <c r="L1446" t="n">
        <v>59</v>
      </c>
      <c r="M1446" t="n">
        <v>19.69</v>
      </c>
      <c r="N1446" t="n">
        <v>887.15</v>
      </c>
      <c r="O1446" t="n">
        <v>4.64</v>
      </c>
      <c r="P1446" t="n">
        <v>4</v>
      </c>
      <c r="Q1446" t="n">
        <v>2</v>
      </c>
      <c r="R1446" t="n">
        <v>2024.12</v>
      </c>
      <c r="S1446" t="b">
        <v>1</v>
      </c>
      <c r="T1446" t="n">
        <v>3256337</v>
      </c>
      <c r="U1446" t="n">
        <v>6</v>
      </c>
      <c r="V1446" t="n">
        <v>0.0663</v>
      </c>
      <c r="W1446" t="n">
        <v>1.56</v>
      </c>
      <c r="X1446" t="n">
        <v>62.49</v>
      </c>
      <c r="Y1446">
        <f>VLOOKUP(D1446,$AB$2:$AC$7,2,FALSE)</f>
        <v/>
      </c>
      <c r="Z1446">
        <f>IF(A1446&lt;Y1446,"Yes","No")</f>
        <v/>
      </c>
    </row>
    <row r="1447">
      <c r="A1447" t="n">
        <v>2018</v>
      </c>
      <c r="B1447" t="inlineStr">
        <is>
          <t>Q3</t>
        </is>
      </c>
      <c r="C1447" t="inlineStr">
        <is>
          <t>South America</t>
        </is>
      </c>
      <c r="D1447" t="inlineStr">
        <is>
          <t>Model X</t>
        </is>
      </c>
      <c r="E1447" t="n">
        <v>3010</v>
      </c>
      <c r="F1447" t="n">
        <v>97739.61</v>
      </c>
      <c r="G1447" t="n">
        <v>52</v>
      </c>
      <c r="H1447" t="inlineStr">
        <is>
          <t>Performance</t>
        </is>
      </c>
      <c r="I1447" t="inlineStr">
        <is>
          <t>RWD</t>
        </is>
      </c>
      <c r="J1447" t="inlineStr">
        <is>
          <t>Silver</t>
        </is>
      </c>
      <c r="K1447" t="n">
        <v>482</v>
      </c>
      <c r="L1447" t="n">
        <v>40</v>
      </c>
      <c r="M1447" t="n">
        <v>13.88</v>
      </c>
      <c r="N1447" t="n">
        <v>2990.4</v>
      </c>
      <c r="O1447" t="n">
        <v>4.36</v>
      </c>
      <c r="P1447" t="n">
        <v>5</v>
      </c>
      <c r="Q1447" t="n">
        <v>0</v>
      </c>
      <c r="R1447" t="n">
        <v>2021.7</v>
      </c>
      <c r="S1447" t="b">
        <v>1</v>
      </c>
      <c r="T1447" t="n">
        <v>3404080</v>
      </c>
      <c r="U1447" t="n">
        <v>7</v>
      </c>
      <c r="V1447" t="n">
        <v>0.0619</v>
      </c>
      <c r="W1447" t="n">
        <v>0.85</v>
      </c>
      <c r="X1447" t="n">
        <v>71.98999999999999</v>
      </c>
      <c r="Y1447">
        <f>VLOOKUP(D1447,$AB$2:$AC$7,2,FALSE)</f>
        <v/>
      </c>
      <c r="Z1447">
        <f>IF(A1447&lt;Y1447,"Yes","No")</f>
        <v/>
      </c>
    </row>
    <row r="1448">
      <c r="A1448" t="n">
        <v>2018</v>
      </c>
      <c r="B1448" t="inlineStr">
        <is>
          <t>Q4</t>
        </is>
      </c>
      <c r="C1448" t="inlineStr">
        <is>
          <t>Australia</t>
        </is>
      </c>
      <c r="D1448" t="inlineStr">
        <is>
          <t>Model Y</t>
        </is>
      </c>
      <c r="E1448" t="n">
        <v>3049</v>
      </c>
      <c r="F1448" t="n">
        <v>83276.25999999999</v>
      </c>
      <c r="G1448" t="n">
        <v>23</v>
      </c>
      <c r="H1448" t="inlineStr">
        <is>
          <t>Performance</t>
        </is>
      </c>
      <c r="I1448" t="inlineStr">
        <is>
          <t>RWD</t>
        </is>
      </c>
      <c r="J1448" t="inlineStr">
        <is>
          <t>Red</t>
        </is>
      </c>
      <c r="K1448" t="n">
        <v>456</v>
      </c>
      <c r="L1448" t="n">
        <v>83</v>
      </c>
      <c r="M1448" t="n">
        <v>22.31</v>
      </c>
      <c r="N1448" t="n">
        <v>2069.04</v>
      </c>
      <c r="O1448" t="n">
        <v>3.89</v>
      </c>
      <c r="P1448" t="n">
        <v>4</v>
      </c>
      <c r="Q1448" t="n">
        <v>2</v>
      </c>
      <c r="R1448" t="n">
        <v>2021.9</v>
      </c>
      <c r="S1448" t="b">
        <v>1</v>
      </c>
      <c r="T1448" t="n">
        <v>4694657</v>
      </c>
      <c r="U1448" t="n">
        <v>12</v>
      </c>
      <c r="V1448" t="n">
        <v>0.059</v>
      </c>
      <c r="W1448" t="n">
        <v>1.1</v>
      </c>
      <c r="X1448" t="n">
        <v>72.97</v>
      </c>
      <c r="Y1448">
        <f>VLOOKUP(D1448,$AB$2:$AC$7,2,FALSE)</f>
        <v/>
      </c>
      <c r="Z1448">
        <f>IF(A1448&lt;Y1448,"Yes","No")</f>
        <v/>
      </c>
    </row>
    <row r="1449">
      <c r="A1449" t="n">
        <v>2019</v>
      </c>
      <c r="B1449" t="inlineStr">
        <is>
          <t>Q2</t>
        </is>
      </c>
      <c r="C1449" t="inlineStr">
        <is>
          <t>Europe</t>
        </is>
      </c>
      <c r="D1449" t="inlineStr">
        <is>
          <t>Model 3</t>
        </is>
      </c>
      <c r="E1449" t="n">
        <v>156</v>
      </c>
      <c r="F1449" t="n">
        <v>92764.03</v>
      </c>
      <c r="G1449" t="n">
        <v>31</v>
      </c>
      <c r="H1449" t="inlineStr">
        <is>
          <t>Long Range</t>
        </is>
      </c>
      <c r="I1449" t="inlineStr">
        <is>
          <t>AWD</t>
        </is>
      </c>
      <c r="J1449" t="inlineStr">
        <is>
          <t>White</t>
        </is>
      </c>
      <c r="K1449" t="n">
        <v>364</v>
      </c>
      <c r="L1449" t="n">
        <v>32</v>
      </c>
      <c r="M1449" t="n">
        <v>14.13</v>
      </c>
      <c r="N1449" t="n">
        <v>103.58</v>
      </c>
      <c r="O1449" t="n">
        <v>4.41</v>
      </c>
      <c r="P1449" t="n">
        <v>6</v>
      </c>
      <c r="Q1449" t="n">
        <v>2</v>
      </c>
      <c r="R1449" t="n">
        <v>2024.1</v>
      </c>
      <c r="S1449" t="b">
        <v>0</v>
      </c>
      <c r="T1449" t="n">
        <v>2474469</v>
      </c>
      <c r="U1449" t="n">
        <v>4</v>
      </c>
      <c r="V1449" t="n">
        <v>0.0774</v>
      </c>
      <c r="W1449" t="n">
        <v>1.33</v>
      </c>
      <c r="X1449" t="n">
        <v>67.53</v>
      </c>
      <c r="Y1449">
        <f>VLOOKUP(D1449,$AB$2:$AC$7,2,FALSE)</f>
        <v/>
      </c>
      <c r="Z1449">
        <f>IF(A1449&lt;Y1449,"Yes","No")</f>
        <v/>
      </c>
    </row>
    <row r="1450">
      <c r="A1450" t="n">
        <v>2021</v>
      </c>
      <c r="B1450" t="inlineStr">
        <is>
          <t>Q2</t>
        </is>
      </c>
      <c r="C1450" t="inlineStr">
        <is>
          <t>North America</t>
        </is>
      </c>
      <c r="D1450" t="inlineStr">
        <is>
          <t>Model X</t>
        </is>
      </c>
      <c r="E1450" t="n">
        <v>4842</v>
      </c>
      <c r="F1450" t="n">
        <v>86315.25</v>
      </c>
      <c r="G1450" t="n">
        <v>5</v>
      </c>
      <c r="H1450" t="inlineStr">
        <is>
          <t>Standard</t>
        </is>
      </c>
      <c r="I1450" t="inlineStr">
        <is>
          <t>RWD</t>
        </is>
      </c>
      <c r="J1450" t="inlineStr">
        <is>
          <t>Red</t>
        </is>
      </c>
      <c r="K1450" t="n">
        <v>546</v>
      </c>
      <c r="L1450" t="n">
        <v>79</v>
      </c>
      <c r="M1450" t="n">
        <v>22.83</v>
      </c>
      <c r="N1450" t="n">
        <v>10393.97</v>
      </c>
      <c r="O1450" t="n">
        <v>4.74</v>
      </c>
      <c r="P1450" t="n">
        <v>4</v>
      </c>
      <c r="Q1450" t="n">
        <v>2</v>
      </c>
      <c r="R1450" t="n">
        <v>2024.1</v>
      </c>
      <c r="S1450" t="b">
        <v>1</v>
      </c>
      <c r="T1450" t="n">
        <v>2974163</v>
      </c>
      <c r="U1450" t="n">
        <v>9</v>
      </c>
      <c r="V1450" t="n">
        <v>0.0302</v>
      </c>
      <c r="W1450" t="n">
        <v>1.82</v>
      </c>
      <c r="X1450" t="n">
        <v>60.8</v>
      </c>
      <c r="Y1450">
        <f>VLOOKUP(D1450,$AB$2:$AC$7,2,FALSE)</f>
        <v/>
      </c>
      <c r="Z1450">
        <f>IF(A1450&lt;Y1450,"Yes","No")</f>
        <v/>
      </c>
    </row>
    <row r="1451">
      <c r="A1451" t="n">
        <v>2019</v>
      </c>
      <c r="B1451" t="inlineStr">
        <is>
          <t>Q4</t>
        </is>
      </c>
      <c r="C1451" t="inlineStr">
        <is>
          <t>Australia</t>
        </is>
      </c>
      <c r="D1451" t="inlineStr">
        <is>
          <t>Semi</t>
        </is>
      </c>
      <c r="E1451" t="n">
        <v>1943</v>
      </c>
      <c r="F1451" t="n">
        <v>67903.88</v>
      </c>
      <c r="G1451" t="n">
        <v>11</v>
      </c>
      <c r="H1451" t="inlineStr">
        <is>
          <t>Standard</t>
        </is>
      </c>
      <c r="I1451" t="inlineStr">
        <is>
          <t>RWD</t>
        </is>
      </c>
      <c r="J1451" t="inlineStr">
        <is>
          <t>Red</t>
        </is>
      </c>
      <c r="K1451" t="n">
        <v>373</v>
      </c>
      <c r="L1451" t="n">
        <v>81</v>
      </c>
      <c r="M1451" t="n">
        <v>15.17</v>
      </c>
      <c r="N1451" t="n">
        <v>1724.11</v>
      </c>
      <c r="O1451" t="n">
        <v>3.77</v>
      </c>
      <c r="P1451" t="n">
        <v>6</v>
      </c>
      <c r="Q1451" t="n">
        <v>1</v>
      </c>
      <c r="R1451" t="n">
        <v>2021.1</v>
      </c>
      <c r="S1451" t="b">
        <v>0</v>
      </c>
      <c r="T1451" t="n">
        <v>4369106</v>
      </c>
      <c r="U1451" t="n">
        <v>8</v>
      </c>
      <c r="V1451" t="n">
        <v>0.0611</v>
      </c>
      <c r="W1451" t="n">
        <v>1.38</v>
      </c>
      <c r="X1451" t="n">
        <v>64.75</v>
      </c>
      <c r="Y1451">
        <f>VLOOKUP(D1451,$AB$2:$AC$7,2,FALSE)</f>
        <v/>
      </c>
      <c r="Z1451">
        <f>IF(A1451&lt;Y1451,"Yes","No")</f>
        <v/>
      </c>
    </row>
    <row r="1452">
      <c r="A1452" t="n">
        <v>2016</v>
      </c>
      <c r="B1452" t="inlineStr">
        <is>
          <t>Q3</t>
        </is>
      </c>
      <c r="C1452" t="inlineStr">
        <is>
          <t>South America</t>
        </is>
      </c>
      <c r="D1452" t="inlineStr">
        <is>
          <t>Model Y</t>
        </is>
      </c>
      <c r="E1452" t="n">
        <v>898</v>
      </c>
      <c r="F1452" t="n">
        <v>91488.71000000001</v>
      </c>
      <c r="G1452" t="n">
        <v>48</v>
      </c>
      <c r="H1452" t="inlineStr">
        <is>
          <t>Performance</t>
        </is>
      </c>
      <c r="I1452" t="inlineStr">
        <is>
          <t>RWD</t>
        </is>
      </c>
      <c r="J1452" t="inlineStr">
        <is>
          <t>White</t>
        </is>
      </c>
      <c r="K1452" t="n">
        <v>699</v>
      </c>
      <c r="L1452" t="n">
        <v>58</v>
      </c>
      <c r="M1452" t="n">
        <v>20.42</v>
      </c>
      <c r="N1452" t="n">
        <v>730.89</v>
      </c>
      <c r="O1452" t="n">
        <v>4.81</v>
      </c>
      <c r="P1452" t="n">
        <v>8</v>
      </c>
      <c r="Q1452" t="n">
        <v>0</v>
      </c>
      <c r="R1452" t="n">
        <v>2020.2</v>
      </c>
      <c r="S1452" t="b">
        <v>0</v>
      </c>
      <c r="T1452" t="n">
        <v>2685825</v>
      </c>
      <c r="U1452" t="n">
        <v>12</v>
      </c>
      <c r="V1452" t="n">
        <v>0.06569999999999999</v>
      </c>
      <c r="W1452" t="n">
        <v>2.17</v>
      </c>
      <c r="X1452" t="n">
        <v>74</v>
      </c>
      <c r="Y1452">
        <f>VLOOKUP(D1452,$AB$2:$AC$7,2,FALSE)</f>
        <v/>
      </c>
      <c r="Z1452">
        <f>IF(A1452&lt;Y1452,"Yes","No")</f>
        <v/>
      </c>
    </row>
    <row r="1453">
      <c r="A1453" t="n">
        <v>2019</v>
      </c>
      <c r="B1453" t="inlineStr">
        <is>
          <t>Q2</t>
        </is>
      </c>
      <c r="C1453" t="inlineStr">
        <is>
          <t>Europe</t>
        </is>
      </c>
      <c r="D1453" t="inlineStr">
        <is>
          <t>Semi</t>
        </is>
      </c>
      <c r="E1453" t="n">
        <v>3439</v>
      </c>
      <c r="F1453" t="n">
        <v>35391.2</v>
      </c>
      <c r="G1453" t="n">
        <v>37</v>
      </c>
      <c r="H1453" t="inlineStr">
        <is>
          <t>Long Range</t>
        </is>
      </c>
      <c r="I1453" t="inlineStr">
        <is>
          <t>RWD</t>
        </is>
      </c>
      <c r="J1453" t="inlineStr">
        <is>
          <t>Blue</t>
        </is>
      </c>
      <c r="K1453" t="n">
        <v>610</v>
      </c>
      <c r="L1453" t="n">
        <v>65</v>
      </c>
      <c r="M1453" t="n">
        <v>21.25</v>
      </c>
      <c r="N1453" t="n">
        <v>7686.05</v>
      </c>
      <c r="O1453" t="n">
        <v>4.53</v>
      </c>
      <c r="P1453" t="n">
        <v>8</v>
      </c>
      <c r="Q1453" t="n">
        <v>0</v>
      </c>
      <c r="R1453" t="n">
        <v>2020.9</v>
      </c>
      <c r="S1453" t="b">
        <v>0</v>
      </c>
      <c r="T1453" t="n">
        <v>4078572</v>
      </c>
      <c r="U1453" t="n">
        <v>5</v>
      </c>
      <c r="V1453" t="n">
        <v>0.0948</v>
      </c>
      <c r="W1453" t="n">
        <v>1.5</v>
      </c>
      <c r="X1453" t="n">
        <v>89.59</v>
      </c>
      <c r="Y1453">
        <f>VLOOKUP(D1453,$AB$2:$AC$7,2,FALSE)</f>
        <v/>
      </c>
      <c r="Z1453">
        <f>IF(A1453&lt;Y1453,"Yes","No")</f>
        <v/>
      </c>
    </row>
    <row r="1454">
      <c r="A1454" t="n">
        <v>2019</v>
      </c>
      <c r="B1454" t="inlineStr">
        <is>
          <t>Q3</t>
        </is>
      </c>
      <c r="C1454" t="inlineStr">
        <is>
          <t>Europe</t>
        </is>
      </c>
      <c r="D1454" t="inlineStr">
        <is>
          <t>Semi</t>
        </is>
      </c>
      <c r="E1454" t="n">
        <v>1643</v>
      </c>
      <c r="F1454" t="n">
        <v>119393.05</v>
      </c>
      <c r="G1454" t="n">
        <v>26</v>
      </c>
      <c r="H1454" t="inlineStr">
        <is>
          <t>Long Range</t>
        </is>
      </c>
      <c r="I1454" t="inlineStr">
        <is>
          <t>RWD</t>
        </is>
      </c>
      <c r="J1454" t="inlineStr">
        <is>
          <t>Blue</t>
        </is>
      </c>
      <c r="K1454" t="n">
        <v>376</v>
      </c>
      <c r="L1454" t="n">
        <v>40</v>
      </c>
      <c r="M1454" t="n">
        <v>17.59</v>
      </c>
      <c r="N1454" t="n">
        <v>1315.65</v>
      </c>
      <c r="O1454" t="n">
        <v>4.09</v>
      </c>
      <c r="P1454" t="n">
        <v>8</v>
      </c>
      <c r="Q1454" t="n">
        <v>3</v>
      </c>
      <c r="R1454" t="n">
        <v>2022.1</v>
      </c>
      <c r="S1454" t="b">
        <v>0</v>
      </c>
      <c r="T1454" t="n">
        <v>2313231</v>
      </c>
      <c r="U1454" t="n">
        <v>7</v>
      </c>
      <c r="V1454" t="n">
        <v>0.0566</v>
      </c>
      <c r="W1454" t="n">
        <v>1.81</v>
      </c>
      <c r="X1454" t="n">
        <v>71.62</v>
      </c>
      <c r="Y1454">
        <f>VLOOKUP(D1454,$AB$2:$AC$7,2,FALSE)</f>
        <v/>
      </c>
      <c r="Z1454">
        <f>IF(A1454&lt;Y1454,"Yes","No")</f>
        <v/>
      </c>
    </row>
    <row r="1455">
      <c r="A1455" t="n">
        <v>2021</v>
      </c>
      <c r="B1455" t="inlineStr">
        <is>
          <t>Q3</t>
        </is>
      </c>
      <c r="C1455" t="inlineStr">
        <is>
          <t>South America</t>
        </is>
      </c>
      <c r="D1455" t="inlineStr">
        <is>
          <t>Semi</t>
        </is>
      </c>
      <c r="E1455" t="n">
        <v>2221</v>
      </c>
      <c r="F1455" t="n">
        <v>117657.99</v>
      </c>
      <c r="G1455" t="n">
        <v>47</v>
      </c>
      <c r="H1455" t="inlineStr">
        <is>
          <t>Standard</t>
        </is>
      </c>
      <c r="I1455" t="inlineStr">
        <is>
          <t>RWD</t>
        </is>
      </c>
      <c r="J1455" t="inlineStr">
        <is>
          <t>White</t>
        </is>
      </c>
      <c r="K1455" t="n">
        <v>671</v>
      </c>
      <c r="L1455" t="n">
        <v>81</v>
      </c>
      <c r="M1455" t="n">
        <v>21.86</v>
      </c>
      <c r="N1455" t="n">
        <v>2332.39</v>
      </c>
      <c r="O1455" t="n">
        <v>4.17</v>
      </c>
      <c r="P1455" t="n">
        <v>6</v>
      </c>
      <c r="Q1455" t="n">
        <v>2</v>
      </c>
      <c r="R1455" t="n">
        <v>2020.12</v>
      </c>
      <c r="S1455" t="b">
        <v>1</v>
      </c>
      <c r="T1455" t="n">
        <v>2223892</v>
      </c>
      <c r="U1455" t="n">
        <v>2</v>
      </c>
      <c r="V1455" t="n">
        <v>0.07969999999999999</v>
      </c>
      <c r="W1455" t="n">
        <v>0.98</v>
      </c>
      <c r="X1455" t="n">
        <v>74.84999999999999</v>
      </c>
      <c r="Y1455">
        <f>VLOOKUP(D1455,$AB$2:$AC$7,2,FALSE)</f>
        <v/>
      </c>
      <c r="Z1455">
        <f>IF(A1455&lt;Y1455,"Yes","No")</f>
        <v/>
      </c>
    </row>
    <row r="1456">
      <c r="A1456" t="n">
        <v>2021</v>
      </c>
      <c r="B1456" t="inlineStr">
        <is>
          <t>Q1</t>
        </is>
      </c>
      <c r="C1456" t="inlineStr">
        <is>
          <t>South America</t>
        </is>
      </c>
      <c r="D1456" t="inlineStr">
        <is>
          <t>Semi</t>
        </is>
      </c>
      <c r="E1456" t="n">
        <v>2285</v>
      </c>
      <c r="F1456" t="n">
        <v>92734.22</v>
      </c>
      <c r="G1456" t="n">
        <v>47</v>
      </c>
      <c r="H1456" t="inlineStr">
        <is>
          <t>Performance</t>
        </is>
      </c>
      <c r="I1456" t="inlineStr">
        <is>
          <t>RWD</t>
        </is>
      </c>
      <c r="J1456" t="inlineStr">
        <is>
          <t>White</t>
        </is>
      </c>
      <c r="K1456" t="n">
        <v>466</v>
      </c>
      <c r="L1456" t="n">
        <v>71</v>
      </c>
      <c r="M1456" t="n">
        <v>20.48</v>
      </c>
      <c r="N1456" t="n">
        <v>2663.24</v>
      </c>
      <c r="O1456" t="n">
        <v>3.54</v>
      </c>
      <c r="P1456" t="n">
        <v>8</v>
      </c>
      <c r="Q1456" t="n">
        <v>2</v>
      </c>
      <c r="R1456" t="n">
        <v>2022.9</v>
      </c>
      <c r="S1456" t="b">
        <v>1</v>
      </c>
      <c r="T1456" t="n">
        <v>4143639</v>
      </c>
      <c r="U1456" t="n">
        <v>10</v>
      </c>
      <c r="V1456" t="n">
        <v>0.0107</v>
      </c>
      <c r="W1456" t="n">
        <v>0.96</v>
      </c>
      <c r="X1456" t="n">
        <v>66.48</v>
      </c>
      <c r="Y1456">
        <f>VLOOKUP(D1456,$AB$2:$AC$7,2,FALSE)</f>
        <v/>
      </c>
      <c r="Z1456">
        <f>IF(A1456&lt;Y1456,"Yes","No")</f>
        <v/>
      </c>
    </row>
    <row r="1457">
      <c r="A1457" t="n">
        <v>2023</v>
      </c>
      <c r="B1457" t="inlineStr">
        <is>
          <t>Q3</t>
        </is>
      </c>
      <c r="C1457" t="inlineStr">
        <is>
          <t>Australia</t>
        </is>
      </c>
      <c r="D1457" t="inlineStr">
        <is>
          <t>Cybertruck</t>
        </is>
      </c>
      <c r="E1457" t="n">
        <v>1594</v>
      </c>
      <c r="F1457" t="n">
        <v>50855.02</v>
      </c>
      <c r="G1457" t="n">
        <v>38</v>
      </c>
      <c r="H1457" t="inlineStr">
        <is>
          <t>Standard</t>
        </is>
      </c>
      <c r="I1457" t="inlineStr">
        <is>
          <t>AWD</t>
        </is>
      </c>
      <c r="J1457" t="inlineStr">
        <is>
          <t>Blue</t>
        </is>
      </c>
      <c r="K1457" t="n">
        <v>657</v>
      </c>
      <c r="L1457" t="n">
        <v>54</v>
      </c>
      <c r="M1457" t="n">
        <v>16.64</v>
      </c>
      <c r="N1457" t="n">
        <v>3157.18</v>
      </c>
      <c r="O1457" t="n">
        <v>3.56</v>
      </c>
      <c r="P1457" t="n">
        <v>6</v>
      </c>
      <c r="Q1457" t="n">
        <v>0</v>
      </c>
      <c r="R1457" t="n">
        <v>2023.4</v>
      </c>
      <c r="S1457" t="b">
        <v>0</v>
      </c>
      <c r="T1457" t="n">
        <v>1853486</v>
      </c>
      <c r="U1457" t="n">
        <v>2</v>
      </c>
      <c r="V1457" t="n">
        <v>0.09710000000000001</v>
      </c>
      <c r="W1457" t="n">
        <v>2.25</v>
      </c>
      <c r="X1457" t="n">
        <v>62.62</v>
      </c>
      <c r="Y1457">
        <f>VLOOKUP(D1457,$AB$2:$AC$7,2,FALSE)</f>
        <v/>
      </c>
      <c r="Z1457">
        <f>IF(A1457&lt;Y1457,"Yes","No")</f>
        <v/>
      </c>
    </row>
    <row r="1458">
      <c r="A1458" t="n">
        <v>2012</v>
      </c>
      <c r="B1458" t="inlineStr">
        <is>
          <t>Q4</t>
        </is>
      </c>
      <c r="C1458" t="inlineStr">
        <is>
          <t>Europe</t>
        </is>
      </c>
      <c r="D1458" t="inlineStr">
        <is>
          <t>Model 3</t>
        </is>
      </c>
      <c r="E1458" t="n">
        <v>2159</v>
      </c>
      <c r="F1458" t="n">
        <v>106266.64</v>
      </c>
      <c r="G1458" t="n">
        <v>20</v>
      </c>
      <c r="H1458" t="inlineStr">
        <is>
          <t>Standard</t>
        </is>
      </c>
      <c r="I1458" t="inlineStr">
        <is>
          <t>AWD</t>
        </is>
      </c>
      <c r="J1458" t="inlineStr">
        <is>
          <t>Green</t>
        </is>
      </c>
      <c r="K1458" t="n">
        <v>422</v>
      </c>
      <c r="L1458" t="n">
        <v>56</v>
      </c>
      <c r="M1458" t="n">
        <v>17.33</v>
      </c>
      <c r="N1458" t="n">
        <v>2074.63</v>
      </c>
      <c r="O1458" t="n">
        <v>4.3</v>
      </c>
      <c r="P1458" t="n">
        <v>8</v>
      </c>
      <c r="Q1458" t="n">
        <v>1</v>
      </c>
      <c r="R1458" t="n">
        <v>2021.5</v>
      </c>
      <c r="S1458" t="b">
        <v>0</v>
      </c>
      <c r="T1458" t="n">
        <v>4019821</v>
      </c>
      <c r="U1458" t="n">
        <v>6</v>
      </c>
      <c r="V1458" t="n">
        <v>0.0683</v>
      </c>
      <c r="W1458" t="n">
        <v>1.03</v>
      </c>
      <c r="X1458" t="n">
        <v>89.5</v>
      </c>
      <c r="Y1458">
        <f>VLOOKUP(D1458,$AB$2:$AC$7,2,FALSE)</f>
        <v/>
      </c>
      <c r="Z1458">
        <f>IF(A1458&lt;Y1458,"Yes","No")</f>
        <v/>
      </c>
    </row>
    <row r="1459">
      <c r="A1459" t="n">
        <v>2024</v>
      </c>
      <c r="B1459" t="inlineStr">
        <is>
          <t>Q4</t>
        </is>
      </c>
      <c r="C1459" t="inlineStr">
        <is>
          <t>Australia</t>
        </is>
      </c>
      <c r="D1459" t="inlineStr">
        <is>
          <t>Semi</t>
        </is>
      </c>
      <c r="E1459" t="n">
        <v>355</v>
      </c>
      <c r="F1459" t="n">
        <v>56049.4</v>
      </c>
      <c r="G1459" t="n">
        <v>54</v>
      </c>
      <c r="H1459" t="inlineStr">
        <is>
          <t>Standard</t>
        </is>
      </c>
      <c r="I1459" t="inlineStr">
        <is>
          <t>RWD</t>
        </is>
      </c>
      <c r="J1459" t="inlineStr">
        <is>
          <t>Black</t>
        </is>
      </c>
      <c r="K1459" t="n">
        <v>642</v>
      </c>
      <c r="L1459" t="n">
        <v>69</v>
      </c>
      <c r="M1459" t="n">
        <v>18.69</v>
      </c>
      <c r="N1459" t="n">
        <v>256.64</v>
      </c>
      <c r="O1459" t="n">
        <v>4.39</v>
      </c>
      <c r="P1459" t="n">
        <v>4</v>
      </c>
      <c r="Q1459" t="n">
        <v>2</v>
      </c>
      <c r="R1459" t="n">
        <v>2020.1</v>
      </c>
      <c r="S1459" t="b">
        <v>1</v>
      </c>
      <c r="T1459" t="n">
        <v>277404</v>
      </c>
      <c r="U1459" t="n">
        <v>4</v>
      </c>
      <c r="V1459" t="n">
        <v>0.0665</v>
      </c>
      <c r="W1459" t="n">
        <v>1.37</v>
      </c>
      <c r="X1459" t="n">
        <v>74.48999999999999</v>
      </c>
      <c r="Y1459">
        <f>VLOOKUP(D1459,$AB$2:$AC$7,2,FALSE)</f>
        <v/>
      </c>
      <c r="Z1459">
        <f>IF(A1459&lt;Y1459,"Yes","No")</f>
        <v/>
      </c>
    </row>
    <row r="1460">
      <c r="A1460" t="n">
        <v>2020</v>
      </c>
      <c r="B1460" t="inlineStr">
        <is>
          <t>Q1</t>
        </is>
      </c>
      <c r="C1460" t="inlineStr">
        <is>
          <t>South America</t>
        </is>
      </c>
      <c r="D1460" t="inlineStr">
        <is>
          <t>Model X</t>
        </is>
      </c>
      <c r="E1460" t="n">
        <v>991</v>
      </c>
      <c r="F1460" t="n">
        <v>68297.91</v>
      </c>
      <c r="G1460" t="n">
        <v>33</v>
      </c>
      <c r="H1460" t="inlineStr">
        <is>
          <t>Long Range</t>
        </is>
      </c>
      <c r="I1460" t="inlineStr">
        <is>
          <t>RWD</t>
        </is>
      </c>
      <c r="J1460" t="inlineStr">
        <is>
          <t>Blue</t>
        </is>
      </c>
      <c r="K1460" t="n">
        <v>639</v>
      </c>
      <c r="L1460" t="n">
        <v>70</v>
      </c>
      <c r="M1460" t="n">
        <v>18.63</v>
      </c>
      <c r="N1460" t="n">
        <v>1522.91</v>
      </c>
      <c r="O1460" t="n">
        <v>4.99</v>
      </c>
      <c r="P1460" t="n">
        <v>4</v>
      </c>
      <c r="Q1460" t="n">
        <v>3</v>
      </c>
      <c r="R1460" t="n">
        <v>2020.5</v>
      </c>
      <c r="S1460" t="b">
        <v>0</v>
      </c>
      <c r="T1460" t="n">
        <v>1903239</v>
      </c>
      <c r="U1460" t="n">
        <v>7</v>
      </c>
      <c r="V1460" t="n">
        <v>0.0502</v>
      </c>
      <c r="W1460" t="n">
        <v>1.81</v>
      </c>
      <c r="X1460" t="n">
        <v>68.09</v>
      </c>
      <c r="Y1460">
        <f>VLOOKUP(D1460,$AB$2:$AC$7,2,FALSE)</f>
        <v/>
      </c>
      <c r="Z1460">
        <f>IF(A1460&lt;Y1460,"Yes","No")</f>
        <v/>
      </c>
    </row>
    <row r="1461">
      <c r="A1461" t="n">
        <v>2019</v>
      </c>
      <c r="B1461" t="inlineStr">
        <is>
          <t>Q2</t>
        </is>
      </c>
      <c r="C1461" t="inlineStr">
        <is>
          <t>Asia</t>
        </is>
      </c>
      <c r="D1461" t="inlineStr">
        <is>
          <t>Model S</t>
        </is>
      </c>
      <c r="E1461" t="n">
        <v>2867</v>
      </c>
      <c r="F1461" t="n">
        <v>91837.92</v>
      </c>
      <c r="G1461" t="n">
        <v>49</v>
      </c>
      <c r="H1461" t="inlineStr">
        <is>
          <t>Performance</t>
        </is>
      </c>
      <c r="I1461" t="inlineStr">
        <is>
          <t>AWD</t>
        </is>
      </c>
      <c r="J1461" t="inlineStr">
        <is>
          <t>Blue</t>
        </is>
      </c>
      <c r="K1461" t="n">
        <v>366</v>
      </c>
      <c r="L1461" t="n">
        <v>41</v>
      </c>
      <c r="M1461" t="n">
        <v>22.13</v>
      </c>
      <c r="N1461" t="n">
        <v>1599.75</v>
      </c>
      <c r="O1461" t="n">
        <v>4.11</v>
      </c>
      <c r="P1461" t="n">
        <v>8</v>
      </c>
      <c r="Q1461" t="n">
        <v>2</v>
      </c>
      <c r="R1461" t="n">
        <v>2023.8</v>
      </c>
      <c r="S1461" t="b">
        <v>1</v>
      </c>
      <c r="T1461" t="n">
        <v>4133958</v>
      </c>
      <c r="U1461" t="n">
        <v>3</v>
      </c>
      <c r="V1461" t="n">
        <v>0.0673</v>
      </c>
      <c r="W1461" t="n">
        <v>2.33</v>
      </c>
      <c r="X1461" t="n">
        <v>76.25</v>
      </c>
      <c r="Y1461">
        <f>VLOOKUP(D1461,$AB$2:$AC$7,2,FALSE)</f>
        <v/>
      </c>
      <c r="Z1461">
        <f>IF(A1461&lt;Y1461,"Yes","No")</f>
        <v/>
      </c>
    </row>
    <row r="1462">
      <c r="A1462" t="n">
        <v>2013</v>
      </c>
      <c r="B1462" t="inlineStr">
        <is>
          <t>Q2</t>
        </is>
      </c>
      <c r="C1462" t="inlineStr">
        <is>
          <t>South America</t>
        </is>
      </c>
      <c r="D1462" t="inlineStr">
        <is>
          <t>Model 3</t>
        </is>
      </c>
      <c r="E1462" t="n">
        <v>2009</v>
      </c>
      <c r="F1462" t="n">
        <v>110058.93</v>
      </c>
      <c r="G1462" t="n">
        <v>25</v>
      </c>
      <c r="H1462" t="inlineStr">
        <is>
          <t>Standard</t>
        </is>
      </c>
      <c r="I1462" t="inlineStr">
        <is>
          <t>AWD</t>
        </is>
      </c>
      <c r="J1462" t="inlineStr">
        <is>
          <t>Silver</t>
        </is>
      </c>
      <c r="K1462" t="n">
        <v>406</v>
      </c>
      <c r="L1462" t="n">
        <v>38</v>
      </c>
      <c r="M1462" t="n">
        <v>15.25</v>
      </c>
      <c r="N1462" t="n">
        <v>2859.69</v>
      </c>
      <c r="O1462" t="n">
        <v>4.05</v>
      </c>
      <c r="P1462" t="n">
        <v>6</v>
      </c>
      <c r="Q1462" t="n">
        <v>0</v>
      </c>
      <c r="R1462" t="n">
        <v>2021.4</v>
      </c>
      <c r="S1462" t="b">
        <v>0</v>
      </c>
      <c r="T1462" t="n">
        <v>3549613</v>
      </c>
      <c r="U1462" t="n">
        <v>10</v>
      </c>
      <c r="V1462" t="n">
        <v>0.0501</v>
      </c>
      <c r="W1462" t="n">
        <v>1.17</v>
      </c>
      <c r="X1462" t="n">
        <v>80.8</v>
      </c>
      <c r="Y1462">
        <f>VLOOKUP(D1462,$AB$2:$AC$7,2,FALSE)</f>
        <v/>
      </c>
      <c r="Z1462">
        <f>IF(A1462&lt;Y1462,"Yes","No")</f>
        <v/>
      </c>
    </row>
    <row r="1463">
      <c r="A1463" t="n">
        <v>2024</v>
      </c>
      <c r="B1463" t="inlineStr">
        <is>
          <t>Q1</t>
        </is>
      </c>
      <c r="C1463" t="inlineStr">
        <is>
          <t>Australia</t>
        </is>
      </c>
      <c r="D1463" t="inlineStr">
        <is>
          <t>Cybertruck</t>
        </is>
      </c>
      <c r="E1463" t="n">
        <v>591</v>
      </c>
      <c r="F1463" t="n">
        <v>99472.03999999999</v>
      </c>
      <c r="G1463" t="n">
        <v>40</v>
      </c>
      <c r="H1463" t="inlineStr">
        <is>
          <t>Long Range</t>
        </is>
      </c>
      <c r="I1463" t="inlineStr">
        <is>
          <t>RWD</t>
        </is>
      </c>
      <c r="J1463" t="inlineStr">
        <is>
          <t>Red</t>
        </is>
      </c>
      <c r="K1463" t="n">
        <v>365</v>
      </c>
      <c r="L1463" t="n">
        <v>82</v>
      </c>
      <c r="M1463" t="n">
        <v>18.13</v>
      </c>
      <c r="N1463" t="n">
        <v>343.76</v>
      </c>
      <c r="O1463" t="n">
        <v>3.55</v>
      </c>
      <c r="P1463" t="n">
        <v>8</v>
      </c>
      <c r="Q1463" t="n">
        <v>1</v>
      </c>
      <c r="R1463" t="n">
        <v>2024.11</v>
      </c>
      <c r="S1463" t="b">
        <v>0</v>
      </c>
      <c r="T1463" t="n">
        <v>3802458</v>
      </c>
      <c r="U1463" t="n">
        <v>10</v>
      </c>
      <c r="V1463" t="n">
        <v>0.07580000000000001</v>
      </c>
      <c r="W1463" t="n">
        <v>1.52</v>
      </c>
      <c r="X1463" t="n">
        <v>65.89</v>
      </c>
      <c r="Y1463">
        <f>VLOOKUP(D1463,$AB$2:$AC$7,2,FALSE)</f>
        <v/>
      </c>
      <c r="Z1463">
        <f>IF(A1463&lt;Y1463,"Yes","No")</f>
        <v/>
      </c>
    </row>
    <row r="1464">
      <c r="A1464" t="n">
        <v>2012</v>
      </c>
      <c r="B1464" t="inlineStr">
        <is>
          <t>Q2</t>
        </is>
      </c>
      <c r="C1464" t="inlineStr">
        <is>
          <t>Asia</t>
        </is>
      </c>
      <c r="D1464" t="inlineStr">
        <is>
          <t>Cybertruck</t>
        </is>
      </c>
      <c r="E1464" t="n">
        <v>2927</v>
      </c>
      <c r="F1464" t="n">
        <v>74307.41</v>
      </c>
      <c r="G1464" t="n">
        <v>27</v>
      </c>
      <c r="H1464" t="inlineStr">
        <is>
          <t>Long Range</t>
        </is>
      </c>
      <c r="I1464" t="inlineStr">
        <is>
          <t>RWD</t>
        </is>
      </c>
      <c r="J1464" t="inlineStr">
        <is>
          <t>Green</t>
        </is>
      </c>
      <c r="K1464" t="n">
        <v>697</v>
      </c>
      <c r="L1464" t="n">
        <v>30</v>
      </c>
      <c r="M1464" t="n">
        <v>23.42</v>
      </c>
      <c r="N1464" t="n">
        <v>6601.21</v>
      </c>
      <c r="O1464" t="n">
        <v>4.43</v>
      </c>
      <c r="P1464" t="n">
        <v>8</v>
      </c>
      <c r="Q1464" t="n">
        <v>1</v>
      </c>
      <c r="R1464" t="n">
        <v>2024.1</v>
      </c>
      <c r="S1464" t="b">
        <v>1</v>
      </c>
      <c r="T1464" t="n">
        <v>1686639</v>
      </c>
      <c r="U1464" t="n">
        <v>3</v>
      </c>
      <c r="V1464" t="n">
        <v>0.08799999999999999</v>
      </c>
      <c r="W1464" t="n">
        <v>1.61</v>
      </c>
      <c r="X1464" t="n">
        <v>84.58</v>
      </c>
      <c r="Y1464">
        <f>VLOOKUP(D1464,$AB$2:$AC$7,2,FALSE)</f>
        <v/>
      </c>
      <c r="Z1464">
        <f>IF(A1464&lt;Y1464,"Yes","No")</f>
        <v/>
      </c>
    </row>
    <row r="1465">
      <c r="A1465" t="n">
        <v>2015</v>
      </c>
      <c r="B1465" t="inlineStr">
        <is>
          <t>Q4</t>
        </is>
      </c>
      <c r="C1465" t="inlineStr">
        <is>
          <t>Asia</t>
        </is>
      </c>
      <c r="D1465" t="inlineStr">
        <is>
          <t>Model 3</t>
        </is>
      </c>
      <c r="E1465" t="n">
        <v>727</v>
      </c>
      <c r="F1465" t="n">
        <v>71381.92</v>
      </c>
      <c r="G1465" t="n">
        <v>47</v>
      </c>
      <c r="H1465" t="inlineStr">
        <is>
          <t>Performance</t>
        </is>
      </c>
      <c r="I1465" t="inlineStr">
        <is>
          <t>RWD</t>
        </is>
      </c>
      <c r="J1465" t="inlineStr">
        <is>
          <t>Green</t>
        </is>
      </c>
      <c r="K1465" t="n">
        <v>669</v>
      </c>
      <c r="L1465" t="n">
        <v>62</v>
      </c>
      <c r="M1465" t="n">
        <v>22.94</v>
      </c>
      <c r="N1465" t="n">
        <v>1742.13</v>
      </c>
      <c r="O1465" t="n">
        <v>4.99</v>
      </c>
      <c r="P1465" t="n">
        <v>4</v>
      </c>
      <c r="Q1465" t="n">
        <v>2</v>
      </c>
      <c r="R1465" t="n">
        <v>2024.4</v>
      </c>
      <c r="S1465" t="b">
        <v>1</v>
      </c>
      <c r="T1465" t="n">
        <v>1776907</v>
      </c>
      <c r="U1465" t="n">
        <v>4</v>
      </c>
      <c r="V1465" t="n">
        <v>0.0975</v>
      </c>
      <c r="W1465" t="n">
        <v>0.57</v>
      </c>
      <c r="X1465" t="n">
        <v>78.79000000000001</v>
      </c>
      <c r="Y1465">
        <f>VLOOKUP(D1465,$AB$2:$AC$7,2,FALSE)</f>
        <v/>
      </c>
      <c r="Z1465">
        <f>IF(A1465&lt;Y1465,"Yes","No")</f>
        <v/>
      </c>
    </row>
    <row r="1466">
      <c r="A1466" t="n">
        <v>2017</v>
      </c>
      <c r="B1466" t="inlineStr">
        <is>
          <t>Q4</t>
        </is>
      </c>
      <c r="C1466" t="inlineStr">
        <is>
          <t>North America</t>
        </is>
      </c>
      <c r="D1466" t="inlineStr">
        <is>
          <t>Semi</t>
        </is>
      </c>
      <c r="E1466" t="n">
        <v>2853</v>
      </c>
      <c r="F1466" t="n">
        <v>48133.78</v>
      </c>
      <c r="G1466" t="n">
        <v>39</v>
      </c>
      <c r="H1466" t="inlineStr">
        <is>
          <t>Performance</t>
        </is>
      </c>
      <c r="I1466" t="inlineStr">
        <is>
          <t>AWD</t>
        </is>
      </c>
      <c r="J1466" t="inlineStr">
        <is>
          <t>Red</t>
        </is>
      </c>
      <c r="K1466" t="n">
        <v>535</v>
      </c>
      <c r="L1466" t="n">
        <v>40</v>
      </c>
      <c r="M1466" t="n">
        <v>15.48</v>
      </c>
      <c r="N1466" t="n">
        <v>6630.83</v>
      </c>
      <c r="O1466" t="n">
        <v>3.56</v>
      </c>
      <c r="P1466" t="n">
        <v>5</v>
      </c>
      <c r="Q1466" t="n">
        <v>3</v>
      </c>
      <c r="R1466" t="n">
        <v>2023.4</v>
      </c>
      <c r="S1466" t="b">
        <v>1</v>
      </c>
      <c r="T1466" t="n">
        <v>278935</v>
      </c>
      <c r="U1466" t="n">
        <v>11</v>
      </c>
      <c r="V1466" t="n">
        <v>0.08400000000000001</v>
      </c>
      <c r="W1466" t="n">
        <v>0.83</v>
      </c>
      <c r="X1466" t="n">
        <v>67.38</v>
      </c>
      <c r="Y1466">
        <f>VLOOKUP(D1466,$AB$2:$AC$7,2,FALSE)</f>
        <v/>
      </c>
      <c r="Z1466">
        <f>IF(A1466&lt;Y1466,"Yes","No")</f>
        <v/>
      </c>
    </row>
    <row r="1467">
      <c r="A1467" t="n">
        <v>2018</v>
      </c>
      <c r="B1467" t="inlineStr">
        <is>
          <t>Q3</t>
        </is>
      </c>
      <c r="C1467" t="inlineStr">
        <is>
          <t>Asia</t>
        </is>
      </c>
      <c r="D1467" t="inlineStr">
        <is>
          <t>Model S</t>
        </is>
      </c>
      <c r="E1467" t="n">
        <v>2055</v>
      </c>
      <c r="F1467" t="n">
        <v>37494.89</v>
      </c>
      <c r="G1467" t="n">
        <v>38</v>
      </c>
      <c r="H1467" t="inlineStr">
        <is>
          <t>Performance</t>
        </is>
      </c>
      <c r="I1467" t="inlineStr">
        <is>
          <t>AWD</t>
        </is>
      </c>
      <c r="J1467" t="inlineStr">
        <is>
          <t>White</t>
        </is>
      </c>
      <c r="K1467" t="n">
        <v>490</v>
      </c>
      <c r="L1467" t="n">
        <v>81</v>
      </c>
      <c r="M1467" t="n">
        <v>22.54</v>
      </c>
      <c r="N1467" t="n">
        <v>1274.6</v>
      </c>
      <c r="O1467" t="n">
        <v>3.77</v>
      </c>
      <c r="P1467" t="n">
        <v>8</v>
      </c>
      <c r="Q1467" t="n">
        <v>1</v>
      </c>
      <c r="R1467" t="n">
        <v>2021.1</v>
      </c>
      <c r="S1467" t="b">
        <v>1</v>
      </c>
      <c r="T1467" t="n">
        <v>1324480</v>
      </c>
      <c r="U1467" t="n">
        <v>12</v>
      </c>
      <c r="V1467" t="n">
        <v>0.0648</v>
      </c>
      <c r="W1467" t="n">
        <v>0.93</v>
      </c>
      <c r="X1467" t="n">
        <v>76.75</v>
      </c>
      <c r="Y1467">
        <f>VLOOKUP(D1467,$AB$2:$AC$7,2,FALSE)</f>
        <v/>
      </c>
      <c r="Z1467">
        <f>IF(A1467&lt;Y1467,"Yes","No")</f>
        <v/>
      </c>
    </row>
    <row r="1468">
      <c r="A1468" t="n">
        <v>2017</v>
      </c>
      <c r="B1468" t="inlineStr">
        <is>
          <t>Q1</t>
        </is>
      </c>
      <c r="C1468" t="inlineStr">
        <is>
          <t>North America</t>
        </is>
      </c>
      <c r="D1468" t="inlineStr">
        <is>
          <t>Model X</t>
        </is>
      </c>
      <c r="E1468" t="n">
        <v>1098</v>
      </c>
      <c r="F1468" t="n">
        <v>52040.62</v>
      </c>
      <c r="G1468" t="n">
        <v>42</v>
      </c>
      <c r="H1468" t="inlineStr">
        <is>
          <t>Performance</t>
        </is>
      </c>
      <c r="I1468" t="inlineStr">
        <is>
          <t>AWD</t>
        </is>
      </c>
      <c r="J1468" t="inlineStr">
        <is>
          <t>Green</t>
        </is>
      </c>
      <c r="K1468" t="n">
        <v>369</v>
      </c>
      <c r="L1468" t="n">
        <v>78</v>
      </c>
      <c r="M1468" t="n">
        <v>24.96</v>
      </c>
      <c r="N1468" t="n">
        <v>2425.09</v>
      </c>
      <c r="O1468" t="n">
        <v>4.9</v>
      </c>
      <c r="P1468" t="n">
        <v>5</v>
      </c>
      <c r="Q1468" t="n">
        <v>0</v>
      </c>
      <c r="R1468" t="n">
        <v>2022.9</v>
      </c>
      <c r="S1468" t="b">
        <v>1</v>
      </c>
      <c r="T1468" t="n">
        <v>372903</v>
      </c>
      <c r="U1468" t="n">
        <v>11</v>
      </c>
      <c r="V1468" t="n">
        <v>0.0314</v>
      </c>
      <c r="W1468" t="n">
        <v>2.44</v>
      </c>
      <c r="X1468" t="n">
        <v>87.29000000000001</v>
      </c>
      <c r="Y1468">
        <f>VLOOKUP(D1468,$AB$2:$AC$7,2,FALSE)</f>
        <v/>
      </c>
      <c r="Z1468">
        <f>IF(A1468&lt;Y1468,"Yes","No")</f>
        <v/>
      </c>
    </row>
    <row r="1469">
      <c r="A1469" t="n">
        <v>2017</v>
      </c>
      <c r="B1469" t="inlineStr">
        <is>
          <t>Q3</t>
        </is>
      </c>
      <c r="C1469" t="inlineStr">
        <is>
          <t>South America</t>
        </is>
      </c>
      <c r="D1469" t="inlineStr">
        <is>
          <t>Model X</t>
        </is>
      </c>
      <c r="E1469" t="n">
        <v>3722</v>
      </c>
      <c r="F1469" t="n">
        <v>53488.73</v>
      </c>
      <c r="G1469" t="n">
        <v>33</v>
      </c>
      <c r="H1469" t="inlineStr">
        <is>
          <t>Long Range</t>
        </is>
      </c>
      <c r="I1469" t="inlineStr">
        <is>
          <t>RWD</t>
        </is>
      </c>
      <c r="J1469" t="inlineStr">
        <is>
          <t>Blue</t>
        </is>
      </c>
      <c r="K1469" t="n">
        <v>657</v>
      </c>
      <c r="L1469" t="n">
        <v>58</v>
      </c>
      <c r="M1469" t="n">
        <v>23.62</v>
      </c>
      <c r="N1469" t="n">
        <v>6229.98</v>
      </c>
      <c r="O1469" t="n">
        <v>4.29</v>
      </c>
      <c r="P1469" t="n">
        <v>5</v>
      </c>
      <c r="Q1469" t="n">
        <v>2</v>
      </c>
      <c r="R1469" t="n">
        <v>2022.11</v>
      </c>
      <c r="S1469" t="b">
        <v>0</v>
      </c>
      <c r="T1469" t="n">
        <v>2085601</v>
      </c>
      <c r="U1469" t="n">
        <v>10</v>
      </c>
      <c r="V1469" t="n">
        <v>0.0847</v>
      </c>
      <c r="W1469" t="n">
        <v>1.25</v>
      </c>
      <c r="X1469" t="n">
        <v>62.54</v>
      </c>
      <c r="Y1469">
        <f>VLOOKUP(D1469,$AB$2:$AC$7,2,FALSE)</f>
        <v/>
      </c>
      <c r="Z1469">
        <f>IF(A1469&lt;Y1469,"Yes","No")</f>
        <v/>
      </c>
    </row>
    <row r="1470">
      <c r="A1470" t="n">
        <v>2014</v>
      </c>
      <c r="B1470" t="inlineStr">
        <is>
          <t>Q4</t>
        </is>
      </c>
      <c r="C1470" t="inlineStr">
        <is>
          <t>Europe</t>
        </is>
      </c>
      <c r="D1470" t="inlineStr">
        <is>
          <t>Semi</t>
        </is>
      </c>
      <c r="E1470" t="n">
        <v>1588</v>
      </c>
      <c r="F1470" t="n">
        <v>99998.53999999999</v>
      </c>
      <c r="G1470" t="n">
        <v>55</v>
      </c>
      <c r="H1470" t="inlineStr">
        <is>
          <t>Standard</t>
        </is>
      </c>
      <c r="I1470" t="inlineStr">
        <is>
          <t>RWD</t>
        </is>
      </c>
      <c r="J1470" t="inlineStr">
        <is>
          <t>White</t>
        </is>
      </c>
      <c r="K1470" t="n">
        <v>417</v>
      </c>
      <c r="L1470" t="n">
        <v>67</v>
      </c>
      <c r="M1470" t="n">
        <v>17.26</v>
      </c>
      <c r="N1470" t="n">
        <v>3832.44</v>
      </c>
      <c r="O1470" t="n">
        <v>4.26</v>
      </c>
      <c r="P1470" t="n">
        <v>5</v>
      </c>
      <c r="Q1470" t="n">
        <v>2</v>
      </c>
      <c r="R1470" t="n">
        <v>2022.11</v>
      </c>
      <c r="S1470" t="b">
        <v>0</v>
      </c>
      <c r="T1470" t="n">
        <v>3613171</v>
      </c>
      <c r="U1470" t="n">
        <v>10</v>
      </c>
      <c r="V1470" t="n">
        <v>0.0805</v>
      </c>
      <c r="W1470" t="n">
        <v>1.82</v>
      </c>
      <c r="X1470" t="n">
        <v>62.38</v>
      </c>
      <c r="Y1470">
        <f>VLOOKUP(D1470,$AB$2:$AC$7,2,FALSE)</f>
        <v/>
      </c>
      <c r="Z1470">
        <f>IF(A1470&lt;Y1470,"Yes","No")</f>
        <v/>
      </c>
    </row>
    <row r="1471">
      <c r="A1471" t="n">
        <v>2017</v>
      </c>
      <c r="B1471" t="inlineStr">
        <is>
          <t>Q1</t>
        </is>
      </c>
      <c r="C1471" t="inlineStr">
        <is>
          <t>Europe</t>
        </is>
      </c>
      <c r="D1471" t="inlineStr">
        <is>
          <t>Model S</t>
        </is>
      </c>
      <c r="E1471" t="n">
        <v>4254</v>
      </c>
      <c r="F1471" t="n">
        <v>45534.35</v>
      </c>
      <c r="G1471" t="n">
        <v>27</v>
      </c>
      <c r="H1471" t="inlineStr">
        <is>
          <t>Performance</t>
        </is>
      </c>
      <c r="I1471" t="inlineStr">
        <is>
          <t>RWD</t>
        </is>
      </c>
      <c r="J1471" t="inlineStr">
        <is>
          <t>White</t>
        </is>
      </c>
      <c r="K1471" t="n">
        <v>484</v>
      </c>
      <c r="L1471" t="n">
        <v>77</v>
      </c>
      <c r="M1471" t="n">
        <v>19.02</v>
      </c>
      <c r="N1471" t="n">
        <v>5425.39</v>
      </c>
      <c r="O1471" t="n">
        <v>4.51</v>
      </c>
      <c r="P1471" t="n">
        <v>6</v>
      </c>
      <c r="Q1471" t="n">
        <v>0</v>
      </c>
      <c r="R1471" t="n">
        <v>2022.9</v>
      </c>
      <c r="S1471" t="b">
        <v>0</v>
      </c>
      <c r="T1471" t="n">
        <v>1065769</v>
      </c>
      <c r="U1471" t="n">
        <v>7</v>
      </c>
      <c r="V1471" t="n">
        <v>0.07630000000000001</v>
      </c>
      <c r="W1471" t="n">
        <v>1.52</v>
      </c>
      <c r="X1471" t="n">
        <v>64.09</v>
      </c>
      <c r="Y1471">
        <f>VLOOKUP(D1471,$AB$2:$AC$7,2,FALSE)</f>
        <v/>
      </c>
      <c r="Z1471">
        <f>IF(A1471&lt;Y1471,"Yes","No")</f>
        <v/>
      </c>
    </row>
    <row r="1472">
      <c r="A1472" t="n">
        <v>2016</v>
      </c>
      <c r="B1472" t="inlineStr">
        <is>
          <t>Q3</t>
        </is>
      </c>
      <c r="C1472" t="inlineStr">
        <is>
          <t>Australia</t>
        </is>
      </c>
      <c r="D1472" t="inlineStr">
        <is>
          <t>Semi</t>
        </is>
      </c>
      <c r="E1472" t="n">
        <v>2429</v>
      </c>
      <c r="F1472" t="n">
        <v>38491.04</v>
      </c>
      <c r="G1472" t="n">
        <v>58</v>
      </c>
      <c r="H1472" t="inlineStr">
        <is>
          <t>Long Range</t>
        </is>
      </c>
      <c r="I1472" t="inlineStr">
        <is>
          <t>AWD</t>
        </is>
      </c>
      <c r="J1472" t="inlineStr">
        <is>
          <t>Blue</t>
        </is>
      </c>
      <c r="K1472" t="n">
        <v>561</v>
      </c>
      <c r="L1472" t="n">
        <v>68</v>
      </c>
      <c r="M1472" t="n">
        <v>24.16</v>
      </c>
      <c r="N1472" t="n">
        <v>2898.62</v>
      </c>
      <c r="O1472" t="n">
        <v>4.03</v>
      </c>
      <c r="P1472" t="n">
        <v>5</v>
      </c>
      <c r="Q1472" t="n">
        <v>2</v>
      </c>
      <c r="R1472" t="n">
        <v>2022.9</v>
      </c>
      <c r="S1472" t="b">
        <v>1</v>
      </c>
      <c r="T1472" t="n">
        <v>620119</v>
      </c>
      <c r="U1472" t="n">
        <v>10</v>
      </c>
      <c r="V1472" t="n">
        <v>0.0781</v>
      </c>
      <c r="W1472" t="n">
        <v>0.77</v>
      </c>
      <c r="X1472" t="n">
        <v>64.58</v>
      </c>
      <c r="Y1472">
        <f>VLOOKUP(D1472,$AB$2:$AC$7,2,FALSE)</f>
        <v/>
      </c>
      <c r="Z1472">
        <f>IF(A1472&lt;Y1472,"Yes","No")</f>
        <v/>
      </c>
    </row>
    <row r="1473">
      <c r="A1473" t="n">
        <v>2019</v>
      </c>
      <c r="B1473" t="inlineStr">
        <is>
          <t>Q3</t>
        </is>
      </c>
      <c r="C1473" t="inlineStr">
        <is>
          <t>Asia</t>
        </is>
      </c>
      <c r="D1473" t="inlineStr">
        <is>
          <t>Model Y</t>
        </is>
      </c>
      <c r="E1473" t="n">
        <v>3752</v>
      </c>
      <c r="F1473" t="n">
        <v>88344.75999999999</v>
      </c>
      <c r="G1473" t="n">
        <v>59</v>
      </c>
      <c r="H1473" t="inlineStr">
        <is>
          <t>Long Range</t>
        </is>
      </c>
      <c r="I1473" t="inlineStr">
        <is>
          <t>RWD</t>
        </is>
      </c>
      <c r="J1473" t="inlineStr">
        <is>
          <t>White</t>
        </is>
      </c>
      <c r="K1473" t="n">
        <v>644</v>
      </c>
      <c r="L1473" t="n">
        <v>85</v>
      </c>
      <c r="M1473" t="n">
        <v>15.16</v>
      </c>
      <c r="N1473" t="n">
        <v>4006.17</v>
      </c>
      <c r="O1473" t="n">
        <v>4.56</v>
      </c>
      <c r="P1473" t="n">
        <v>5</v>
      </c>
      <c r="Q1473" t="n">
        <v>1</v>
      </c>
      <c r="R1473" t="n">
        <v>2024.8</v>
      </c>
      <c r="S1473" t="b">
        <v>1</v>
      </c>
      <c r="T1473" t="n">
        <v>2519761</v>
      </c>
      <c r="U1473" t="n">
        <v>11</v>
      </c>
      <c r="V1473" t="n">
        <v>0.08309999999999999</v>
      </c>
      <c r="W1473" t="n">
        <v>1</v>
      </c>
      <c r="X1473" t="n">
        <v>77.88</v>
      </c>
      <c r="Y1473">
        <f>VLOOKUP(D1473,$AB$2:$AC$7,2,FALSE)</f>
        <v/>
      </c>
      <c r="Z1473">
        <f>IF(A1473&lt;Y1473,"Yes","No")</f>
        <v/>
      </c>
    </row>
    <row r="1474">
      <c r="A1474" t="n">
        <v>2021</v>
      </c>
      <c r="B1474" t="inlineStr">
        <is>
          <t>Q1</t>
        </is>
      </c>
      <c r="C1474" t="inlineStr">
        <is>
          <t>North America</t>
        </is>
      </c>
      <c r="D1474" t="inlineStr">
        <is>
          <t>Model Y</t>
        </is>
      </c>
      <c r="E1474" t="n">
        <v>558</v>
      </c>
      <c r="F1474" t="n">
        <v>95409.06</v>
      </c>
      <c r="G1474" t="n">
        <v>55</v>
      </c>
      <c r="H1474" t="inlineStr">
        <is>
          <t>Long Range</t>
        </is>
      </c>
      <c r="I1474" t="inlineStr">
        <is>
          <t>RWD</t>
        </is>
      </c>
      <c r="J1474" t="inlineStr">
        <is>
          <t>Silver</t>
        </is>
      </c>
      <c r="K1474" t="n">
        <v>495</v>
      </c>
      <c r="L1474" t="n">
        <v>65</v>
      </c>
      <c r="M1474" t="n">
        <v>22.99</v>
      </c>
      <c r="N1474" t="n">
        <v>914.22</v>
      </c>
      <c r="O1474" t="n">
        <v>4.61</v>
      </c>
      <c r="P1474" t="n">
        <v>8</v>
      </c>
      <c r="Q1474" t="n">
        <v>2</v>
      </c>
      <c r="R1474" t="n">
        <v>2020.7</v>
      </c>
      <c r="S1474" t="b">
        <v>0</v>
      </c>
      <c r="T1474" t="n">
        <v>1212093</v>
      </c>
      <c r="U1474" t="n">
        <v>5</v>
      </c>
      <c r="V1474" t="n">
        <v>0.07099999999999999</v>
      </c>
      <c r="W1474" t="n">
        <v>1.18</v>
      </c>
      <c r="X1474" t="n">
        <v>72.65000000000001</v>
      </c>
      <c r="Y1474">
        <f>VLOOKUP(D1474,$AB$2:$AC$7,2,FALSE)</f>
        <v/>
      </c>
      <c r="Z1474">
        <f>IF(A1474&lt;Y1474,"Yes","No")</f>
        <v/>
      </c>
    </row>
    <row r="1475">
      <c r="A1475" t="n">
        <v>2019</v>
      </c>
      <c r="B1475" t="inlineStr">
        <is>
          <t>Q1</t>
        </is>
      </c>
      <c r="C1475" t="inlineStr">
        <is>
          <t>Europe</t>
        </is>
      </c>
      <c r="D1475" t="inlineStr">
        <is>
          <t>Model X</t>
        </is>
      </c>
      <c r="E1475" t="n">
        <v>3032</v>
      </c>
      <c r="F1475" t="n">
        <v>84820.49000000001</v>
      </c>
      <c r="G1475" t="n">
        <v>21</v>
      </c>
      <c r="H1475" t="inlineStr">
        <is>
          <t>Standard</t>
        </is>
      </c>
      <c r="I1475" t="inlineStr">
        <is>
          <t>AWD</t>
        </is>
      </c>
      <c r="J1475" t="inlineStr">
        <is>
          <t>Blue</t>
        </is>
      </c>
      <c r="K1475" t="n">
        <v>570</v>
      </c>
      <c r="L1475" t="n">
        <v>58</v>
      </c>
      <c r="M1475" t="n">
        <v>16.16</v>
      </c>
      <c r="N1475" t="n">
        <v>5968.42</v>
      </c>
      <c r="O1475" t="n">
        <v>3.53</v>
      </c>
      <c r="P1475" t="n">
        <v>6</v>
      </c>
      <c r="Q1475" t="n">
        <v>0</v>
      </c>
      <c r="R1475" t="n">
        <v>2021.3</v>
      </c>
      <c r="S1475" t="b">
        <v>0</v>
      </c>
      <c r="T1475" t="n">
        <v>1337531</v>
      </c>
      <c r="U1475" t="n">
        <v>12</v>
      </c>
      <c r="V1475" t="n">
        <v>0.0534</v>
      </c>
      <c r="W1475" t="n">
        <v>1.22</v>
      </c>
      <c r="X1475" t="n">
        <v>84.16</v>
      </c>
      <c r="Y1475">
        <f>VLOOKUP(D1475,$AB$2:$AC$7,2,FALSE)</f>
        <v/>
      </c>
      <c r="Z1475">
        <f>IF(A1475&lt;Y1475,"Yes","No")</f>
        <v/>
      </c>
    </row>
    <row r="1476">
      <c r="A1476" t="n">
        <v>2016</v>
      </c>
      <c r="B1476" t="inlineStr">
        <is>
          <t>Q3</t>
        </is>
      </c>
      <c r="C1476" t="inlineStr">
        <is>
          <t>North America</t>
        </is>
      </c>
      <c r="D1476" t="inlineStr">
        <is>
          <t>Semi</t>
        </is>
      </c>
      <c r="E1476" t="n">
        <v>1704</v>
      </c>
      <c r="F1476" t="n">
        <v>58485.93</v>
      </c>
      <c r="G1476" t="n">
        <v>31</v>
      </c>
      <c r="H1476" t="inlineStr">
        <is>
          <t>Performance</t>
        </is>
      </c>
      <c r="I1476" t="inlineStr">
        <is>
          <t>AWD</t>
        </is>
      </c>
      <c r="J1476" t="inlineStr">
        <is>
          <t>Red</t>
        </is>
      </c>
      <c r="K1476" t="n">
        <v>523</v>
      </c>
      <c r="L1476" t="n">
        <v>48</v>
      </c>
      <c r="M1476" t="n">
        <v>24.52</v>
      </c>
      <c r="N1476" t="n">
        <v>1998.42</v>
      </c>
      <c r="O1476" t="n">
        <v>3.86</v>
      </c>
      <c r="P1476" t="n">
        <v>6</v>
      </c>
      <c r="Q1476" t="n">
        <v>2</v>
      </c>
      <c r="R1476" t="n">
        <v>2022.1</v>
      </c>
      <c r="S1476" t="b">
        <v>0</v>
      </c>
      <c r="T1476" t="n">
        <v>3149515</v>
      </c>
      <c r="U1476" t="n">
        <v>8</v>
      </c>
      <c r="V1476" t="n">
        <v>0.08210000000000001</v>
      </c>
      <c r="W1476" t="n">
        <v>2.42</v>
      </c>
      <c r="X1476" t="n">
        <v>72.72</v>
      </c>
      <c r="Y1476">
        <f>VLOOKUP(D1476,$AB$2:$AC$7,2,FALSE)</f>
        <v/>
      </c>
      <c r="Z1476">
        <f>IF(A1476&lt;Y1476,"Yes","No")</f>
        <v/>
      </c>
    </row>
    <row r="1477">
      <c r="A1477" t="n">
        <v>2020</v>
      </c>
      <c r="B1477" t="inlineStr">
        <is>
          <t>Q2</t>
        </is>
      </c>
      <c r="C1477" t="inlineStr">
        <is>
          <t>Europe</t>
        </is>
      </c>
      <c r="D1477" t="inlineStr">
        <is>
          <t>Model X</t>
        </is>
      </c>
      <c r="E1477" t="n">
        <v>4012</v>
      </c>
      <c r="F1477" t="n">
        <v>94445.22</v>
      </c>
      <c r="G1477" t="n">
        <v>55</v>
      </c>
      <c r="H1477" t="inlineStr">
        <is>
          <t>Long Range</t>
        </is>
      </c>
      <c r="I1477" t="inlineStr">
        <is>
          <t>RWD</t>
        </is>
      </c>
      <c r="J1477" t="inlineStr">
        <is>
          <t>Silver</t>
        </is>
      </c>
      <c r="K1477" t="n">
        <v>377</v>
      </c>
      <c r="L1477" t="n">
        <v>65</v>
      </c>
      <c r="M1477" t="n">
        <v>22.84</v>
      </c>
      <c r="N1477" t="n">
        <v>6922.8</v>
      </c>
      <c r="O1477" t="n">
        <v>4.64</v>
      </c>
      <c r="P1477" t="n">
        <v>6</v>
      </c>
      <c r="Q1477" t="n">
        <v>0</v>
      </c>
      <c r="R1477" t="n">
        <v>2020.9</v>
      </c>
      <c r="S1477" t="b">
        <v>0</v>
      </c>
      <c r="T1477" t="n">
        <v>526268</v>
      </c>
      <c r="U1477" t="n">
        <v>6</v>
      </c>
      <c r="V1477" t="n">
        <v>0.0281</v>
      </c>
      <c r="W1477" t="n">
        <v>1.45</v>
      </c>
      <c r="X1477" t="n">
        <v>71.12</v>
      </c>
      <c r="Y1477">
        <f>VLOOKUP(D1477,$AB$2:$AC$7,2,FALSE)</f>
        <v/>
      </c>
      <c r="Z1477">
        <f>IF(A1477&lt;Y1477,"Yes","No")</f>
        <v/>
      </c>
    </row>
    <row r="1478">
      <c r="A1478" t="n">
        <v>2017</v>
      </c>
      <c r="B1478" t="inlineStr">
        <is>
          <t>Q4</t>
        </is>
      </c>
      <c r="C1478" t="inlineStr">
        <is>
          <t>South America</t>
        </is>
      </c>
      <c r="D1478" t="inlineStr">
        <is>
          <t>Model X</t>
        </is>
      </c>
      <c r="E1478" t="n">
        <v>1349</v>
      </c>
      <c r="F1478" t="n">
        <v>42946.63</v>
      </c>
      <c r="G1478" t="n">
        <v>45</v>
      </c>
      <c r="H1478" t="inlineStr">
        <is>
          <t>Performance</t>
        </is>
      </c>
      <c r="I1478" t="inlineStr">
        <is>
          <t>RWD</t>
        </is>
      </c>
      <c r="J1478" t="inlineStr">
        <is>
          <t>Silver</t>
        </is>
      </c>
      <c r="K1478" t="n">
        <v>468</v>
      </c>
      <c r="L1478" t="n">
        <v>44</v>
      </c>
      <c r="M1478" t="n">
        <v>17.69</v>
      </c>
      <c r="N1478" t="n">
        <v>1709.76</v>
      </c>
      <c r="O1478" t="n">
        <v>3.57</v>
      </c>
      <c r="P1478" t="n">
        <v>5</v>
      </c>
      <c r="Q1478" t="n">
        <v>0</v>
      </c>
      <c r="R1478" t="n">
        <v>2023.1</v>
      </c>
      <c r="S1478" t="b">
        <v>0</v>
      </c>
      <c r="T1478" t="n">
        <v>305049</v>
      </c>
      <c r="U1478" t="n">
        <v>3</v>
      </c>
      <c r="V1478" t="n">
        <v>0.013</v>
      </c>
      <c r="W1478" t="n">
        <v>1.24</v>
      </c>
      <c r="X1478" t="n">
        <v>82.87</v>
      </c>
      <c r="Y1478">
        <f>VLOOKUP(D1478,$AB$2:$AC$7,2,FALSE)</f>
        <v/>
      </c>
      <c r="Z1478">
        <f>IF(A1478&lt;Y1478,"Yes","No")</f>
        <v/>
      </c>
    </row>
    <row r="1479">
      <c r="A1479" t="n">
        <v>2015</v>
      </c>
      <c r="B1479" t="inlineStr">
        <is>
          <t>Q1</t>
        </is>
      </c>
      <c r="C1479" t="inlineStr">
        <is>
          <t>North America</t>
        </is>
      </c>
      <c r="D1479" t="inlineStr">
        <is>
          <t>Model S</t>
        </is>
      </c>
      <c r="E1479" t="n">
        <v>3076</v>
      </c>
      <c r="F1479" t="n">
        <v>106503.62</v>
      </c>
      <c r="G1479" t="n">
        <v>11</v>
      </c>
      <c r="H1479" t="inlineStr">
        <is>
          <t>Standard</t>
        </is>
      </c>
      <c r="I1479" t="inlineStr">
        <is>
          <t>AWD</t>
        </is>
      </c>
      <c r="J1479" t="inlineStr">
        <is>
          <t>Blue</t>
        </is>
      </c>
      <c r="K1479" t="n">
        <v>495</v>
      </c>
      <c r="L1479" t="n">
        <v>33</v>
      </c>
      <c r="M1479" t="n">
        <v>13.4</v>
      </c>
      <c r="N1479" t="n">
        <v>5894.62</v>
      </c>
      <c r="O1479" t="n">
        <v>4.53</v>
      </c>
      <c r="P1479" t="n">
        <v>5</v>
      </c>
      <c r="Q1479" t="n">
        <v>1</v>
      </c>
      <c r="R1479" t="n">
        <v>2024.7</v>
      </c>
      <c r="S1479" t="b">
        <v>1</v>
      </c>
      <c r="T1479" t="n">
        <v>4292410</v>
      </c>
      <c r="U1479" t="n">
        <v>11</v>
      </c>
      <c r="V1479" t="n">
        <v>0.0138</v>
      </c>
      <c r="W1479" t="n">
        <v>2.32</v>
      </c>
      <c r="X1479" t="n">
        <v>79.97</v>
      </c>
      <c r="Y1479">
        <f>VLOOKUP(D1479,$AB$2:$AC$7,2,FALSE)</f>
        <v/>
      </c>
      <c r="Z1479">
        <f>IF(A1479&lt;Y1479,"Yes","No")</f>
        <v/>
      </c>
    </row>
    <row r="1480">
      <c r="A1480" t="n">
        <v>2015</v>
      </c>
      <c r="B1480" t="inlineStr">
        <is>
          <t>Q4</t>
        </is>
      </c>
      <c r="C1480" t="inlineStr">
        <is>
          <t>South America</t>
        </is>
      </c>
      <c r="D1480" t="inlineStr">
        <is>
          <t>Model 3</t>
        </is>
      </c>
      <c r="E1480" t="n">
        <v>564</v>
      </c>
      <c r="F1480" t="n">
        <v>82565.8</v>
      </c>
      <c r="G1480" t="n">
        <v>39</v>
      </c>
      <c r="H1480" t="inlineStr">
        <is>
          <t>Standard</t>
        </is>
      </c>
      <c r="I1480" t="inlineStr">
        <is>
          <t>RWD</t>
        </is>
      </c>
      <c r="J1480" t="inlineStr">
        <is>
          <t>White</t>
        </is>
      </c>
      <c r="K1480" t="n">
        <v>580</v>
      </c>
      <c r="L1480" t="n">
        <v>63</v>
      </c>
      <c r="M1480" t="n">
        <v>14.19</v>
      </c>
      <c r="N1480" t="n">
        <v>1134.68</v>
      </c>
      <c r="O1480" t="n">
        <v>4.66</v>
      </c>
      <c r="P1480" t="n">
        <v>8</v>
      </c>
      <c r="Q1480" t="n">
        <v>3</v>
      </c>
      <c r="R1480" t="n">
        <v>2021.12</v>
      </c>
      <c r="S1480" t="b">
        <v>0</v>
      </c>
      <c r="T1480" t="n">
        <v>1233423</v>
      </c>
      <c r="U1480" t="n">
        <v>2</v>
      </c>
      <c r="V1480" t="n">
        <v>0.0589</v>
      </c>
      <c r="W1480" t="n">
        <v>1.1</v>
      </c>
      <c r="X1480" t="n">
        <v>80.98</v>
      </c>
      <c r="Y1480">
        <f>VLOOKUP(D1480,$AB$2:$AC$7,2,FALSE)</f>
        <v/>
      </c>
      <c r="Z1480">
        <f>IF(A1480&lt;Y1480,"Yes","No")</f>
        <v/>
      </c>
    </row>
    <row r="1481">
      <c r="A1481" t="n">
        <v>2014</v>
      </c>
      <c r="B1481" t="inlineStr">
        <is>
          <t>Q3</t>
        </is>
      </c>
      <c r="C1481" t="inlineStr">
        <is>
          <t>Europe</t>
        </is>
      </c>
      <c r="D1481" t="inlineStr">
        <is>
          <t>Semi</t>
        </is>
      </c>
      <c r="E1481" t="n">
        <v>3365</v>
      </c>
      <c r="F1481" t="n">
        <v>71972.00999999999</v>
      </c>
      <c r="G1481" t="n">
        <v>30</v>
      </c>
      <c r="H1481" t="inlineStr">
        <is>
          <t>Long Range</t>
        </is>
      </c>
      <c r="I1481" t="inlineStr">
        <is>
          <t>AWD</t>
        </is>
      </c>
      <c r="J1481" t="inlineStr">
        <is>
          <t>Green</t>
        </is>
      </c>
      <c r="K1481" t="n">
        <v>561</v>
      </c>
      <c r="L1481" t="n">
        <v>49</v>
      </c>
      <c r="M1481" t="n">
        <v>16.3</v>
      </c>
      <c r="N1481" t="n">
        <v>1884.31</v>
      </c>
      <c r="O1481" t="n">
        <v>4.19</v>
      </c>
      <c r="P1481" t="n">
        <v>5</v>
      </c>
      <c r="Q1481" t="n">
        <v>1</v>
      </c>
      <c r="R1481" t="n">
        <v>2023.1</v>
      </c>
      <c r="S1481" t="b">
        <v>0</v>
      </c>
      <c r="T1481" t="n">
        <v>3509676</v>
      </c>
      <c r="U1481" t="n">
        <v>5</v>
      </c>
      <c r="V1481" t="n">
        <v>0.0498</v>
      </c>
      <c r="W1481" t="n">
        <v>2.07</v>
      </c>
      <c r="X1481" t="n">
        <v>69.81999999999999</v>
      </c>
      <c r="Y1481">
        <f>VLOOKUP(D1481,$AB$2:$AC$7,2,FALSE)</f>
        <v/>
      </c>
      <c r="Z1481">
        <f>IF(A1481&lt;Y1481,"Yes","No")</f>
        <v/>
      </c>
    </row>
    <row r="1482">
      <c r="A1482" t="n">
        <v>2013</v>
      </c>
      <c r="B1482" t="inlineStr">
        <is>
          <t>Q4</t>
        </is>
      </c>
      <c r="C1482" t="inlineStr">
        <is>
          <t>Australia</t>
        </is>
      </c>
      <c r="D1482" t="inlineStr">
        <is>
          <t>Model X</t>
        </is>
      </c>
      <c r="E1482" t="n">
        <v>2283</v>
      </c>
      <c r="F1482" t="n">
        <v>86797.63</v>
      </c>
      <c r="G1482" t="n">
        <v>10</v>
      </c>
      <c r="H1482" t="inlineStr">
        <is>
          <t>Long Range</t>
        </is>
      </c>
      <c r="I1482" t="inlineStr">
        <is>
          <t>RWD</t>
        </is>
      </c>
      <c r="J1482" t="inlineStr">
        <is>
          <t>Silver</t>
        </is>
      </c>
      <c r="K1482" t="n">
        <v>578</v>
      </c>
      <c r="L1482" t="n">
        <v>72</v>
      </c>
      <c r="M1482" t="n">
        <v>14.06</v>
      </c>
      <c r="N1482" t="n">
        <v>5398.22</v>
      </c>
      <c r="O1482" t="n">
        <v>3.89</v>
      </c>
      <c r="P1482" t="n">
        <v>5</v>
      </c>
      <c r="Q1482" t="n">
        <v>2</v>
      </c>
      <c r="R1482" t="n">
        <v>2021.2</v>
      </c>
      <c r="S1482" t="b">
        <v>0</v>
      </c>
      <c r="T1482" t="n">
        <v>2870599</v>
      </c>
      <c r="U1482" t="n">
        <v>8</v>
      </c>
      <c r="V1482" t="n">
        <v>0.0463</v>
      </c>
      <c r="W1482" t="n">
        <v>1.81</v>
      </c>
      <c r="X1482" t="n">
        <v>65.88</v>
      </c>
      <c r="Y1482">
        <f>VLOOKUP(D1482,$AB$2:$AC$7,2,FALSE)</f>
        <v/>
      </c>
      <c r="Z1482">
        <f>IF(A1482&lt;Y1482,"Yes","No")</f>
        <v/>
      </c>
    </row>
    <row r="1483">
      <c r="A1483" t="n">
        <v>2016</v>
      </c>
      <c r="B1483" t="inlineStr">
        <is>
          <t>Q1</t>
        </is>
      </c>
      <c r="C1483" t="inlineStr">
        <is>
          <t>Europe</t>
        </is>
      </c>
      <c r="D1483" t="inlineStr">
        <is>
          <t>Semi</t>
        </is>
      </c>
      <c r="E1483" t="n">
        <v>3153</v>
      </c>
      <c r="F1483" t="n">
        <v>102340.29</v>
      </c>
      <c r="G1483" t="n">
        <v>37</v>
      </c>
      <c r="H1483" t="inlineStr">
        <is>
          <t>Standard</t>
        </is>
      </c>
      <c r="I1483" t="inlineStr">
        <is>
          <t>RWD</t>
        </is>
      </c>
      <c r="J1483" t="inlineStr">
        <is>
          <t>White</t>
        </is>
      </c>
      <c r="K1483" t="n">
        <v>651</v>
      </c>
      <c r="L1483" t="n">
        <v>54</v>
      </c>
      <c r="M1483" t="n">
        <v>17.69</v>
      </c>
      <c r="N1483" t="n">
        <v>5786.84</v>
      </c>
      <c r="O1483" t="n">
        <v>4.71</v>
      </c>
      <c r="P1483" t="n">
        <v>4</v>
      </c>
      <c r="Q1483" t="n">
        <v>0</v>
      </c>
      <c r="R1483" t="n">
        <v>2024.3</v>
      </c>
      <c r="S1483" t="b">
        <v>1</v>
      </c>
      <c r="T1483" t="n">
        <v>4936355</v>
      </c>
      <c r="U1483" t="n">
        <v>4</v>
      </c>
      <c r="V1483" t="n">
        <v>0.0319</v>
      </c>
      <c r="W1483" t="n">
        <v>2.04</v>
      </c>
      <c r="X1483" t="n">
        <v>78.90000000000001</v>
      </c>
      <c r="Y1483">
        <f>VLOOKUP(D1483,$AB$2:$AC$7,2,FALSE)</f>
        <v/>
      </c>
      <c r="Z1483">
        <f>IF(A1483&lt;Y1483,"Yes","No")</f>
        <v/>
      </c>
    </row>
    <row r="1484">
      <c r="A1484" t="n">
        <v>2022</v>
      </c>
      <c r="B1484" t="inlineStr">
        <is>
          <t>Q2</t>
        </is>
      </c>
      <c r="C1484" t="inlineStr">
        <is>
          <t>Asia</t>
        </is>
      </c>
      <c r="D1484" t="inlineStr">
        <is>
          <t>Model Y</t>
        </is>
      </c>
      <c r="E1484" t="n">
        <v>4639</v>
      </c>
      <c r="F1484" t="n">
        <v>76704.85000000001</v>
      </c>
      <c r="G1484" t="n">
        <v>11</v>
      </c>
      <c r="H1484" t="inlineStr">
        <is>
          <t>Standard</t>
        </is>
      </c>
      <c r="I1484" t="inlineStr">
        <is>
          <t>AWD</t>
        </is>
      </c>
      <c r="J1484" t="inlineStr">
        <is>
          <t>Blue</t>
        </is>
      </c>
      <c r="K1484" t="n">
        <v>456</v>
      </c>
      <c r="L1484" t="n">
        <v>44</v>
      </c>
      <c r="M1484" t="n">
        <v>18.83</v>
      </c>
      <c r="N1484" t="n">
        <v>7496.6</v>
      </c>
      <c r="O1484" t="n">
        <v>3.9</v>
      </c>
      <c r="P1484" t="n">
        <v>8</v>
      </c>
      <c r="Q1484" t="n">
        <v>0</v>
      </c>
      <c r="R1484" t="n">
        <v>2021.9</v>
      </c>
      <c r="S1484" t="b">
        <v>0</v>
      </c>
      <c r="T1484" t="n">
        <v>4226690</v>
      </c>
      <c r="U1484" t="n">
        <v>6</v>
      </c>
      <c r="V1484" t="n">
        <v>0.0736</v>
      </c>
      <c r="W1484" t="n">
        <v>2.48</v>
      </c>
      <c r="X1484" t="n">
        <v>88.91</v>
      </c>
      <c r="Y1484">
        <f>VLOOKUP(D1484,$AB$2:$AC$7,2,FALSE)</f>
        <v/>
      </c>
      <c r="Z1484">
        <f>IF(A1484&lt;Y1484,"Yes","No")</f>
        <v/>
      </c>
    </row>
    <row r="1485">
      <c r="A1485" t="n">
        <v>2019</v>
      </c>
      <c r="B1485" t="inlineStr">
        <is>
          <t>Q2</t>
        </is>
      </c>
      <c r="C1485" t="inlineStr">
        <is>
          <t>North America</t>
        </is>
      </c>
      <c r="D1485" t="inlineStr">
        <is>
          <t>Model X</t>
        </is>
      </c>
      <c r="E1485" t="n">
        <v>2750</v>
      </c>
      <c r="F1485" t="n">
        <v>62867.93</v>
      </c>
      <c r="G1485" t="n">
        <v>24</v>
      </c>
      <c r="H1485" t="inlineStr">
        <is>
          <t>Performance</t>
        </is>
      </c>
      <c r="I1485" t="inlineStr">
        <is>
          <t>RWD</t>
        </is>
      </c>
      <c r="J1485" t="inlineStr">
        <is>
          <t>Green</t>
        </is>
      </c>
      <c r="K1485" t="n">
        <v>580</v>
      </c>
      <c r="L1485" t="n">
        <v>72</v>
      </c>
      <c r="M1485" t="n">
        <v>17.79</v>
      </c>
      <c r="N1485" t="n">
        <v>5881.95</v>
      </c>
      <c r="O1485" t="n">
        <v>4.87</v>
      </c>
      <c r="P1485" t="n">
        <v>6</v>
      </c>
      <c r="Q1485" t="n">
        <v>3</v>
      </c>
      <c r="R1485" t="n">
        <v>2024.7</v>
      </c>
      <c r="S1485" t="b">
        <v>1</v>
      </c>
      <c r="T1485" t="n">
        <v>553922</v>
      </c>
      <c r="U1485" t="n">
        <v>7</v>
      </c>
      <c r="V1485" t="n">
        <v>0.0404</v>
      </c>
      <c r="W1485" t="n">
        <v>2.2</v>
      </c>
      <c r="X1485" t="n">
        <v>63.95</v>
      </c>
      <c r="Y1485">
        <f>VLOOKUP(D1485,$AB$2:$AC$7,2,FALSE)</f>
        <v/>
      </c>
      <c r="Z1485">
        <f>IF(A1485&lt;Y1485,"Yes","No")</f>
        <v/>
      </c>
    </row>
    <row r="1486">
      <c r="A1486" t="n">
        <v>2018</v>
      </c>
      <c r="B1486" t="inlineStr">
        <is>
          <t>Q4</t>
        </is>
      </c>
      <c r="C1486" t="inlineStr">
        <is>
          <t>Australia</t>
        </is>
      </c>
      <c r="D1486" t="inlineStr">
        <is>
          <t>Model X</t>
        </is>
      </c>
      <c r="E1486" t="n">
        <v>2142</v>
      </c>
      <c r="F1486" t="n">
        <v>114954.33</v>
      </c>
      <c r="G1486" t="n">
        <v>16</v>
      </c>
      <c r="H1486" t="inlineStr">
        <is>
          <t>Standard</t>
        </is>
      </c>
      <c r="I1486" t="inlineStr">
        <is>
          <t>RWD</t>
        </is>
      </c>
      <c r="J1486" t="inlineStr">
        <is>
          <t>Black</t>
        </is>
      </c>
      <c r="K1486" t="n">
        <v>434</v>
      </c>
      <c r="L1486" t="n">
        <v>59</v>
      </c>
      <c r="M1486" t="n">
        <v>13.44</v>
      </c>
      <c r="N1486" t="n">
        <v>2832.1</v>
      </c>
      <c r="O1486" t="n">
        <v>3.88</v>
      </c>
      <c r="P1486" t="n">
        <v>8</v>
      </c>
      <c r="Q1486" t="n">
        <v>2</v>
      </c>
      <c r="R1486" t="n">
        <v>2021.5</v>
      </c>
      <c r="S1486" t="b">
        <v>0</v>
      </c>
      <c r="T1486" t="n">
        <v>1589578</v>
      </c>
      <c r="U1486" t="n">
        <v>2</v>
      </c>
      <c r="V1486" t="n">
        <v>0.0155</v>
      </c>
      <c r="W1486" t="n">
        <v>0.8</v>
      </c>
      <c r="X1486" t="n">
        <v>89.42</v>
      </c>
      <c r="Y1486">
        <f>VLOOKUP(D1486,$AB$2:$AC$7,2,FALSE)</f>
        <v/>
      </c>
      <c r="Z1486">
        <f>IF(A1486&lt;Y1486,"Yes","No")</f>
        <v/>
      </c>
    </row>
    <row r="1487">
      <c r="A1487" t="n">
        <v>2020</v>
      </c>
      <c r="B1487" t="inlineStr">
        <is>
          <t>Q4</t>
        </is>
      </c>
      <c r="C1487" t="inlineStr">
        <is>
          <t>Australia</t>
        </is>
      </c>
      <c r="D1487" t="inlineStr">
        <is>
          <t>Model X</t>
        </is>
      </c>
      <c r="E1487" t="n">
        <v>3784</v>
      </c>
      <c r="F1487" t="n">
        <v>95805.5</v>
      </c>
      <c r="G1487" t="n">
        <v>55</v>
      </c>
      <c r="H1487" t="inlineStr">
        <is>
          <t>Long Range</t>
        </is>
      </c>
      <c r="I1487" t="inlineStr">
        <is>
          <t>AWD</t>
        </is>
      </c>
      <c r="J1487" t="inlineStr">
        <is>
          <t>Red</t>
        </is>
      </c>
      <c r="K1487" t="n">
        <v>477</v>
      </c>
      <c r="L1487" t="n">
        <v>50</v>
      </c>
      <c r="M1487" t="n">
        <v>13.99</v>
      </c>
      <c r="N1487" t="n">
        <v>6239.35</v>
      </c>
      <c r="O1487" t="n">
        <v>4.36</v>
      </c>
      <c r="P1487" t="n">
        <v>6</v>
      </c>
      <c r="Q1487" t="n">
        <v>0</v>
      </c>
      <c r="R1487" t="n">
        <v>2022.7</v>
      </c>
      <c r="S1487" t="b">
        <v>0</v>
      </c>
      <c r="T1487" t="n">
        <v>949612</v>
      </c>
      <c r="U1487" t="n">
        <v>5</v>
      </c>
      <c r="V1487" t="n">
        <v>0.0301</v>
      </c>
      <c r="W1487" t="n">
        <v>2.26</v>
      </c>
      <c r="X1487" t="n">
        <v>76.42</v>
      </c>
      <c r="Y1487">
        <f>VLOOKUP(D1487,$AB$2:$AC$7,2,FALSE)</f>
        <v/>
      </c>
      <c r="Z1487">
        <f>IF(A1487&lt;Y1487,"Yes","No")</f>
        <v/>
      </c>
    </row>
    <row r="1488">
      <c r="A1488" t="n">
        <v>2012</v>
      </c>
      <c r="B1488" t="inlineStr">
        <is>
          <t>Q1</t>
        </is>
      </c>
      <c r="C1488" t="inlineStr">
        <is>
          <t>Asia</t>
        </is>
      </c>
      <c r="D1488" t="inlineStr">
        <is>
          <t>Model 3</t>
        </is>
      </c>
      <c r="E1488" t="n">
        <v>1570</v>
      </c>
      <c r="F1488" t="n">
        <v>105801.23</v>
      </c>
      <c r="G1488" t="n">
        <v>45</v>
      </c>
      <c r="H1488" t="inlineStr">
        <is>
          <t>Performance</t>
        </is>
      </c>
      <c r="I1488" t="inlineStr">
        <is>
          <t>RWD</t>
        </is>
      </c>
      <c r="J1488" t="inlineStr">
        <is>
          <t>Blue</t>
        </is>
      </c>
      <c r="K1488" t="n">
        <v>560</v>
      </c>
      <c r="L1488" t="n">
        <v>75</v>
      </c>
      <c r="M1488" t="n">
        <v>24.94</v>
      </c>
      <c r="N1488" t="n">
        <v>1369.56</v>
      </c>
      <c r="O1488" t="n">
        <v>4.23</v>
      </c>
      <c r="P1488" t="n">
        <v>4</v>
      </c>
      <c r="Q1488" t="n">
        <v>2</v>
      </c>
      <c r="R1488" t="n">
        <v>2021.4</v>
      </c>
      <c r="S1488" t="b">
        <v>1</v>
      </c>
      <c r="T1488" t="n">
        <v>4696682</v>
      </c>
      <c r="U1488" t="n">
        <v>3</v>
      </c>
      <c r="V1488" t="n">
        <v>0.0101</v>
      </c>
      <c r="W1488" t="n">
        <v>0.58</v>
      </c>
      <c r="X1488" t="n">
        <v>89.45</v>
      </c>
      <c r="Y1488">
        <f>VLOOKUP(D1488,$AB$2:$AC$7,2,FALSE)</f>
        <v/>
      </c>
      <c r="Z1488">
        <f>IF(A1488&lt;Y1488,"Yes","No")</f>
        <v/>
      </c>
    </row>
    <row r="1489">
      <c r="A1489" t="n">
        <v>2024</v>
      </c>
      <c r="B1489" t="inlineStr">
        <is>
          <t>Q1</t>
        </is>
      </c>
      <c r="C1489" t="inlineStr">
        <is>
          <t>Australia</t>
        </is>
      </c>
      <c r="D1489" t="inlineStr">
        <is>
          <t>Model S</t>
        </is>
      </c>
      <c r="E1489" t="n">
        <v>362</v>
      </c>
      <c r="F1489" t="n">
        <v>65908.58</v>
      </c>
      <c r="G1489" t="n">
        <v>8</v>
      </c>
      <c r="H1489" t="inlineStr">
        <is>
          <t>Performance</t>
        </is>
      </c>
      <c r="I1489" t="inlineStr">
        <is>
          <t>AWD</t>
        </is>
      </c>
      <c r="J1489" t="inlineStr">
        <is>
          <t>Silver</t>
        </is>
      </c>
      <c r="K1489" t="n">
        <v>486</v>
      </c>
      <c r="L1489" t="n">
        <v>52</v>
      </c>
      <c r="M1489" t="n">
        <v>18.51</v>
      </c>
      <c r="N1489" t="n">
        <v>788.14</v>
      </c>
      <c r="O1489" t="n">
        <v>4.67</v>
      </c>
      <c r="P1489" t="n">
        <v>6</v>
      </c>
      <c r="Q1489" t="n">
        <v>3</v>
      </c>
      <c r="R1489" t="n">
        <v>2022.1</v>
      </c>
      <c r="S1489" t="b">
        <v>1</v>
      </c>
      <c r="T1489" t="n">
        <v>2899717</v>
      </c>
      <c r="U1489" t="n">
        <v>4</v>
      </c>
      <c r="V1489" t="n">
        <v>0.0526</v>
      </c>
      <c r="W1489" t="n">
        <v>1.91</v>
      </c>
      <c r="X1489" t="n">
        <v>70.54000000000001</v>
      </c>
      <c r="Y1489">
        <f>VLOOKUP(D1489,$AB$2:$AC$7,2,FALSE)</f>
        <v/>
      </c>
      <c r="Z1489">
        <f>IF(A1489&lt;Y1489,"Yes","No")</f>
        <v/>
      </c>
    </row>
    <row r="1490">
      <c r="A1490" t="n">
        <v>2021</v>
      </c>
      <c r="B1490" t="inlineStr">
        <is>
          <t>Q4</t>
        </is>
      </c>
      <c r="C1490" t="inlineStr">
        <is>
          <t>North America</t>
        </is>
      </c>
      <c r="D1490" t="inlineStr">
        <is>
          <t>Model S</t>
        </is>
      </c>
      <c r="E1490" t="n">
        <v>2425</v>
      </c>
      <c r="F1490" t="n">
        <v>53323.35</v>
      </c>
      <c r="G1490" t="n">
        <v>57</v>
      </c>
      <c r="H1490" t="inlineStr">
        <is>
          <t>Performance</t>
        </is>
      </c>
      <c r="I1490" t="inlineStr">
        <is>
          <t>AWD</t>
        </is>
      </c>
      <c r="J1490" t="inlineStr">
        <is>
          <t>Red</t>
        </is>
      </c>
      <c r="K1490" t="n">
        <v>509</v>
      </c>
      <c r="L1490" t="n">
        <v>90</v>
      </c>
      <c r="M1490" t="n">
        <v>23.41</v>
      </c>
      <c r="N1490" t="n">
        <v>4255.93</v>
      </c>
      <c r="O1490" t="n">
        <v>4.22</v>
      </c>
      <c r="P1490" t="n">
        <v>6</v>
      </c>
      <c r="Q1490" t="n">
        <v>0</v>
      </c>
      <c r="R1490" t="n">
        <v>2021.1</v>
      </c>
      <c r="S1490" t="b">
        <v>0</v>
      </c>
      <c r="T1490" t="n">
        <v>744334</v>
      </c>
      <c r="U1490" t="n">
        <v>2</v>
      </c>
      <c r="V1490" t="n">
        <v>0.0636</v>
      </c>
      <c r="W1490" t="n">
        <v>0.8100000000000001</v>
      </c>
      <c r="X1490" t="n">
        <v>86.68000000000001</v>
      </c>
      <c r="Y1490">
        <f>VLOOKUP(D1490,$AB$2:$AC$7,2,FALSE)</f>
        <v/>
      </c>
      <c r="Z1490">
        <f>IF(A1490&lt;Y1490,"Yes","No")</f>
        <v/>
      </c>
    </row>
    <row r="1491">
      <c r="A1491" t="n">
        <v>2014</v>
      </c>
      <c r="B1491" t="inlineStr">
        <is>
          <t>Q1</t>
        </is>
      </c>
      <c r="C1491" t="inlineStr">
        <is>
          <t>Australia</t>
        </is>
      </c>
      <c r="D1491" t="inlineStr">
        <is>
          <t>Cybertruck</t>
        </is>
      </c>
      <c r="E1491" t="n">
        <v>4864</v>
      </c>
      <c r="F1491" t="n">
        <v>73740.82000000001</v>
      </c>
      <c r="G1491" t="n">
        <v>21</v>
      </c>
      <c r="H1491" t="inlineStr">
        <is>
          <t>Standard</t>
        </is>
      </c>
      <c r="I1491" t="inlineStr">
        <is>
          <t>RWD</t>
        </is>
      </c>
      <c r="J1491" t="inlineStr">
        <is>
          <t>Red</t>
        </is>
      </c>
      <c r="K1491" t="n">
        <v>494</v>
      </c>
      <c r="L1491" t="n">
        <v>58</v>
      </c>
      <c r="M1491" t="n">
        <v>15.87</v>
      </c>
      <c r="N1491" t="n">
        <v>10548.78</v>
      </c>
      <c r="O1491" t="n">
        <v>3.57</v>
      </c>
      <c r="P1491" t="n">
        <v>5</v>
      </c>
      <c r="Q1491" t="n">
        <v>0</v>
      </c>
      <c r="R1491" t="n">
        <v>2024.3</v>
      </c>
      <c r="S1491" t="b">
        <v>0</v>
      </c>
      <c r="T1491" t="n">
        <v>2465619</v>
      </c>
      <c r="U1491" t="n">
        <v>5</v>
      </c>
      <c r="V1491" t="n">
        <v>0.082</v>
      </c>
      <c r="W1491" t="n">
        <v>0.86</v>
      </c>
      <c r="X1491" t="n">
        <v>72.75</v>
      </c>
      <c r="Y1491">
        <f>VLOOKUP(D1491,$AB$2:$AC$7,2,FALSE)</f>
        <v/>
      </c>
      <c r="Z1491">
        <f>IF(A1491&lt;Y1491,"Yes","No")</f>
        <v/>
      </c>
    </row>
    <row r="1492">
      <c r="A1492" t="n">
        <v>2017</v>
      </c>
      <c r="B1492" t="inlineStr">
        <is>
          <t>Q4</t>
        </is>
      </c>
      <c r="C1492" t="inlineStr">
        <is>
          <t>North America</t>
        </is>
      </c>
      <c r="D1492" t="inlineStr">
        <is>
          <t>Model 3</t>
        </is>
      </c>
      <c r="E1492" t="n">
        <v>1865</v>
      </c>
      <c r="F1492" t="n">
        <v>52105.94</v>
      </c>
      <c r="G1492" t="n">
        <v>5</v>
      </c>
      <c r="H1492" t="inlineStr">
        <is>
          <t>Long Range</t>
        </is>
      </c>
      <c r="I1492" t="inlineStr">
        <is>
          <t>RWD</t>
        </is>
      </c>
      <c r="J1492" t="inlineStr">
        <is>
          <t>White</t>
        </is>
      </c>
      <c r="K1492" t="n">
        <v>611</v>
      </c>
      <c r="L1492" t="n">
        <v>31</v>
      </c>
      <c r="M1492" t="n">
        <v>18.02</v>
      </c>
      <c r="N1492" t="n">
        <v>1475.39</v>
      </c>
      <c r="O1492" t="n">
        <v>4.18</v>
      </c>
      <c r="P1492" t="n">
        <v>6</v>
      </c>
      <c r="Q1492" t="n">
        <v>2</v>
      </c>
      <c r="R1492" t="n">
        <v>2021.7</v>
      </c>
      <c r="S1492" t="b">
        <v>0</v>
      </c>
      <c r="T1492" t="n">
        <v>1264723</v>
      </c>
      <c r="U1492" t="n">
        <v>2</v>
      </c>
      <c r="V1492" t="n">
        <v>0.0707</v>
      </c>
      <c r="W1492" t="n">
        <v>1.31</v>
      </c>
      <c r="X1492" t="n">
        <v>86.75</v>
      </c>
      <c r="Y1492">
        <f>VLOOKUP(D1492,$AB$2:$AC$7,2,FALSE)</f>
        <v/>
      </c>
      <c r="Z1492">
        <f>IF(A1492&lt;Y1492,"Yes","No")</f>
        <v/>
      </c>
    </row>
    <row r="1493">
      <c r="A1493" t="n">
        <v>2023</v>
      </c>
      <c r="B1493" t="inlineStr">
        <is>
          <t>Q1</t>
        </is>
      </c>
      <c r="C1493" t="inlineStr">
        <is>
          <t>Europe</t>
        </is>
      </c>
      <c r="D1493" t="inlineStr">
        <is>
          <t>Model Y</t>
        </is>
      </c>
      <c r="E1493" t="n">
        <v>2622</v>
      </c>
      <c r="F1493" t="n">
        <v>44582.44</v>
      </c>
      <c r="G1493" t="n">
        <v>0</v>
      </c>
      <c r="H1493" t="inlineStr">
        <is>
          <t>Long Range</t>
        </is>
      </c>
      <c r="I1493" t="inlineStr">
        <is>
          <t>RWD</t>
        </is>
      </c>
      <c r="J1493" t="inlineStr">
        <is>
          <t>Silver</t>
        </is>
      </c>
      <c r="K1493" t="n">
        <v>599</v>
      </c>
      <c r="L1493" t="n">
        <v>32</v>
      </c>
      <c r="M1493" t="n">
        <v>18.12</v>
      </c>
      <c r="N1493" t="n">
        <v>1325.37</v>
      </c>
      <c r="O1493" t="n">
        <v>4.19</v>
      </c>
      <c r="P1493" t="n">
        <v>4</v>
      </c>
      <c r="Q1493" t="n">
        <v>0</v>
      </c>
      <c r="R1493" t="n">
        <v>2021.2</v>
      </c>
      <c r="S1493" t="b">
        <v>1</v>
      </c>
      <c r="T1493" t="n">
        <v>3313436</v>
      </c>
      <c r="U1493" t="n">
        <v>9</v>
      </c>
      <c r="V1493" t="n">
        <v>0.0883</v>
      </c>
      <c r="W1493" t="n">
        <v>1.7</v>
      </c>
      <c r="X1493" t="n">
        <v>84.31</v>
      </c>
      <c r="Y1493">
        <f>VLOOKUP(D1493,$AB$2:$AC$7,2,FALSE)</f>
        <v/>
      </c>
      <c r="Z1493">
        <f>IF(A1493&lt;Y1493,"Yes","No")</f>
        <v/>
      </c>
    </row>
    <row r="1494">
      <c r="A1494" t="n">
        <v>2015</v>
      </c>
      <c r="B1494" t="inlineStr">
        <is>
          <t>Q3</t>
        </is>
      </c>
      <c r="C1494" t="inlineStr">
        <is>
          <t>Europe</t>
        </is>
      </c>
      <c r="D1494" t="inlineStr">
        <is>
          <t>Cybertruck</t>
        </is>
      </c>
      <c r="E1494" t="n">
        <v>1931</v>
      </c>
      <c r="F1494" t="n">
        <v>99620.46000000001</v>
      </c>
      <c r="G1494" t="n">
        <v>58</v>
      </c>
      <c r="H1494" t="inlineStr">
        <is>
          <t>Standard</t>
        </is>
      </c>
      <c r="I1494" t="inlineStr">
        <is>
          <t>AWD</t>
        </is>
      </c>
      <c r="J1494" t="inlineStr">
        <is>
          <t>Green</t>
        </is>
      </c>
      <c r="K1494" t="n">
        <v>539</v>
      </c>
      <c r="L1494" t="n">
        <v>47</v>
      </c>
      <c r="M1494" t="n">
        <v>19.36</v>
      </c>
      <c r="N1494" t="n">
        <v>3800.5</v>
      </c>
      <c r="O1494" t="n">
        <v>4.55</v>
      </c>
      <c r="P1494" t="n">
        <v>4</v>
      </c>
      <c r="Q1494" t="n">
        <v>3</v>
      </c>
      <c r="R1494" t="n">
        <v>2022.8</v>
      </c>
      <c r="S1494" t="b">
        <v>1</v>
      </c>
      <c r="T1494" t="n">
        <v>3810793</v>
      </c>
      <c r="U1494" t="n">
        <v>11</v>
      </c>
      <c r="V1494" t="n">
        <v>0.0367</v>
      </c>
      <c r="W1494" t="n">
        <v>0.79</v>
      </c>
      <c r="X1494" t="n">
        <v>63.25</v>
      </c>
      <c r="Y1494">
        <f>VLOOKUP(D1494,$AB$2:$AC$7,2,FALSE)</f>
        <v/>
      </c>
      <c r="Z1494">
        <f>IF(A1494&lt;Y1494,"Yes","No")</f>
        <v/>
      </c>
    </row>
    <row r="1495">
      <c r="A1495" t="n">
        <v>2020</v>
      </c>
      <c r="B1495" t="inlineStr">
        <is>
          <t>Q2</t>
        </is>
      </c>
      <c r="C1495" t="inlineStr">
        <is>
          <t>North America</t>
        </is>
      </c>
      <c r="D1495" t="inlineStr">
        <is>
          <t>Model 3</t>
        </is>
      </c>
      <c r="E1495" t="n">
        <v>2273</v>
      </c>
      <c r="F1495" t="n">
        <v>50014.19</v>
      </c>
      <c r="G1495" t="n">
        <v>43</v>
      </c>
      <c r="H1495" t="inlineStr">
        <is>
          <t>Long Range</t>
        </is>
      </c>
      <c r="I1495" t="inlineStr">
        <is>
          <t>RWD</t>
        </is>
      </c>
      <c r="J1495" t="inlineStr">
        <is>
          <t>Green</t>
        </is>
      </c>
      <c r="K1495" t="n">
        <v>620</v>
      </c>
      <c r="L1495" t="n">
        <v>80</v>
      </c>
      <c r="M1495" t="n">
        <v>17.01</v>
      </c>
      <c r="N1495" t="n">
        <v>5359.07</v>
      </c>
      <c r="O1495" t="n">
        <v>4</v>
      </c>
      <c r="P1495" t="n">
        <v>4</v>
      </c>
      <c r="Q1495" t="n">
        <v>0</v>
      </c>
      <c r="R1495" t="n">
        <v>2021.12</v>
      </c>
      <c r="S1495" t="b">
        <v>1</v>
      </c>
      <c r="T1495" t="n">
        <v>2655062</v>
      </c>
      <c r="U1495" t="n">
        <v>3</v>
      </c>
      <c r="V1495" t="n">
        <v>0.0871</v>
      </c>
      <c r="W1495" t="n">
        <v>1.8</v>
      </c>
      <c r="X1495" t="n">
        <v>61.94</v>
      </c>
      <c r="Y1495">
        <f>VLOOKUP(D1495,$AB$2:$AC$7,2,FALSE)</f>
        <v/>
      </c>
      <c r="Z1495">
        <f>IF(A1495&lt;Y1495,"Yes","No")</f>
        <v/>
      </c>
    </row>
    <row r="1496">
      <c r="A1496" t="n">
        <v>2023</v>
      </c>
      <c r="B1496" t="inlineStr">
        <is>
          <t>Q3</t>
        </is>
      </c>
      <c r="C1496" t="inlineStr">
        <is>
          <t>South America</t>
        </is>
      </c>
      <c r="D1496" t="inlineStr">
        <is>
          <t>Cybertruck</t>
        </is>
      </c>
      <c r="E1496" t="n">
        <v>318</v>
      </c>
      <c r="F1496" t="n">
        <v>101219.92</v>
      </c>
      <c r="G1496" t="n">
        <v>6</v>
      </c>
      <c r="H1496" t="inlineStr">
        <is>
          <t>Standard</t>
        </is>
      </c>
      <c r="I1496" t="inlineStr">
        <is>
          <t>AWD</t>
        </is>
      </c>
      <c r="J1496" t="inlineStr">
        <is>
          <t>Black</t>
        </is>
      </c>
      <c r="K1496" t="n">
        <v>495</v>
      </c>
      <c r="L1496" t="n">
        <v>55</v>
      </c>
      <c r="M1496" t="n">
        <v>22.3</v>
      </c>
      <c r="N1496" t="n">
        <v>619.09</v>
      </c>
      <c r="O1496" t="n">
        <v>3.84</v>
      </c>
      <c r="P1496" t="n">
        <v>8</v>
      </c>
      <c r="Q1496" t="n">
        <v>1</v>
      </c>
      <c r="R1496" t="n">
        <v>2021.1</v>
      </c>
      <c r="S1496" t="b">
        <v>0</v>
      </c>
      <c r="T1496" t="n">
        <v>4143258</v>
      </c>
      <c r="U1496" t="n">
        <v>7</v>
      </c>
      <c r="V1496" t="n">
        <v>0.073</v>
      </c>
      <c r="W1496" t="n">
        <v>0.89</v>
      </c>
      <c r="X1496" t="n">
        <v>81.02</v>
      </c>
      <c r="Y1496">
        <f>VLOOKUP(D1496,$AB$2:$AC$7,2,FALSE)</f>
        <v/>
      </c>
      <c r="Z1496">
        <f>IF(A1496&lt;Y1496,"Yes","No")</f>
        <v/>
      </c>
    </row>
    <row r="1497">
      <c r="A1497" t="n">
        <v>2012</v>
      </c>
      <c r="B1497" t="inlineStr">
        <is>
          <t>Q1</t>
        </is>
      </c>
      <c r="C1497" t="inlineStr">
        <is>
          <t>South America</t>
        </is>
      </c>
      <c r="D1497" t="inlineStr">
        <is>
          <t>Cybertruck</t>
        </is>
      </c>
      <c r="E1497" t="n">
        <v>2358</v>
      </c>
      <c r="F1497" t="n">
        <v>45159.03</v>
      </c>
      <c r="G1497" t="n">
        <v>49</v>
      </c>
      <c r="H1497" t="inlineStr">
        <is>
          <t>Long Range</t>
        </is>
      </c>
      <c r="I1497" t="inlineStr">
        <is>
          <t>AWD</t>
        </is>
      </c>
      <c r="J1497" t="inlineStr">
        <is>
          <t>Blue</t>
        </is>
      </c>
      <c r="K1497" t="n">
        <v>579</v>
      </c>
      <c r="L1497" t="n">
        <v>32</v>
      </c>
      <c r="M1497" t="n">
        <v>20.68</v>
      </c>
      <c r="N1497" t="n">
        <v>1870.94</v>
      </c>
      <c r="O1497" t="n">
        <v>4.68</v>
      </c>
      <c r="P1497" t="n">
        <v>4</v>
      </c>
      <c r="Q1497" t="n">
        <v>2</v>
      </c>
      <c r="R1497" t="n">
        <v>2023.1</v>
      </c>
      <c r="S1497" t="b">
        <v>1</v>
      </c>
      <c r="T1497" t="n">
        <v>1642968</v>
      </c>
      <c r="U1497" t="n">
        <v>7</v>
      </c>
      <c r="V1497" t="n">
        <v>0.0733</v>
      </c>
      <c r="W1497" t="n">
        <v>2.25</v>
      </c>
      <c r="X1497" t="n">
        <v>65.09</v>
      </c>
      <c r="Y1497">
        <f>VLOOKUP(D1497,$AB$2:$AC$7,2,FALSE)</f>
        <v/>
      </c>
      <c r="Z1497">
        <f>IF(A1497&lt;Y1497,"Yes","No")</f>
        <v/>
      </c>
    </row>
    <row r="1498">
      <c r="A1498" t="n">
        <v>2022</v>
      </c>
      <c r="B1498" t="inlineStr">
        <is>
          <t>Q2</t>
        </is>
      </c>
      <c r="C1498" t="inlineStr">
        <is>
          <t>Europe</t>
        </is>
      </c>
      <c r="D1498" t="inlineStr">
        <is>
          <t>Semi</t>
        </is>
      </c>
      <c r="E1498" t="n">
        <v>4681</v>
      </c>
      <c r="F1498" t="n">
        <v>98312.25</v>
      </c>
      <c r="G1498" t="n">
        <v>5</v>
      </c>
      <c r="H1498" t="inlineStr">
        <is>
          <t>Long Range</t>
        </is>
      </c>
      <c r="I1498" t="inlineStr">
        <is>
          <t>RWD</t>
        </is>
      </c>
      <c r="J1498" t="inlineStr">
        <is>
          <t>Blue</t>
        </is>
      </c>
      <c r="K1498" t="n">
        <v>620</v>
      </c>
      <c r="L1498" t="n">
        <v>36</v>
      </c>
      <c r="M1498" t="n">
        <v>18.45</v>
      </c>
      <c r="N1498" t="n">
        <v>8005.73</v>
      </c>
      <c r="O1498" t="n">
        <v>4.06</v>
      </c>
      <c r="P1498" t="n">
        <v>6</v>
      </c>
      <c r="Q1498" t="n">
        <v>0</v>
      </c>
      <c r="R1498" t="n">
        <v>2023.12</v>
      </c>
      <c r="S1498" t="b">
        <v>1</v>
      </c>
      <c r="T1498" t="n">
        <v>4821145</v>
      </c>
      <c r="U1498" t="n">
        <v>5</v>
      </c>
      <c r="V1498" t="n">
        <v>0.0127</v>
      </c>
      <c r="W1498" t="n">
        <v>1.9</v>
      </c>
      <c r="X1498" t="n">
        <v>89.43000000000001</v>
      </c>
      <c r="Y1498">
        <f>VLOOKUP(D1498,$AB$2:$AC$7,2,FALSE)</f>
        <v/>
      </c>
      <c r="Z1498">
        <f>IF(A1498&lt;Y1498,"Yes","No")</f>
        <v/>
      </c>
    </row>
    <row r="1499">
      <c r="A1499" t="n">
        <v>2022</v>
      </c>
      <c r="B1499" t="inlineStr">
        <is>
          <t>Q3</t>
        </is>
      </c>
      <c r="C1499" t="inlineStr">
        <is>
          <t>Asia</t>
        </is>
      </c>
      <c r="D1499" t="inlineStr">
        <is>
          <t>Cybertruck</t>
        </is>
      </c>
      <c r="E1499" t="n">
        <v>737</v>
      </c>
      <c r="F1499" t="n">
        <v>100828.42</v>
      </c>
      <c r="G1499" t="n">
        <v>38</v>
      </c>
      <c r="H1499" t="inlineStr">
        <is>
          <t>Performance</t>
        </is>
      </c>
      <c r="I1499" t="inlineStr">
        <is>
          <t>AWD</t>
        </is>
      </c>
      <c r="J1499" t="inlineStr">
        <is>
          <t>Black</t>
        </is>
      </c>
      <c r="K1499" t="n">
        <v>683</v>
      </c>
      <c r="L1499" t="n">
        <v>34</v>
      </c>
      <c r="M1499" t="n">
        <v>18.86</v>
      </c>
      <c r="N1499" t="n">
        <v>680.8099999999999</v>
      </c>
      <c r="O1499" t="n">
        <v>4.83</v>
      </c>
      <c r="P1499" t="n">
        <v>6</v>
      </c>
      <c r="Q1499" t="n">
        <v>3</v>
      </c>
      <c r="R1499" t="n">
        <v>2020.9</v>
      </c>
      <c r="S1499" t="b">
        <v>0</v>
      </c>
      <c r="T1499" t="n">
        <v>2616393</v>
      </c>
      <c r="U1499" t="n">
        <v>2</v>
      </c>
      <c r="V1499" t="n">
        <v>0.0447</v>
      </c>
      <c r="W1499" t="n">
        <v>1.91</v>
      </c>
      <c r="X1499" t="n">
        <v>84.04000000000001</v>
      </c>
      <c r="Y1499">
        <f>VLOOKUP(D1499,$AB$2:$AC$7,2,FALSE)</f>
        <v/>
      </c>
      <c r="Z1499">
        <f>IF(A1499&lt;Y1499,"Yes","No")</f>
        <v/>
      </c>
    </row>
    <row r="1500">
      <c r="A1500" t="n">
        <v>2016</v>
      </c>
      <c r="B1500" t="inlineStr">
        <is>
          <t>Q3</t>
        </is>
      </c>
      <c r="C1500" t="inlineStr">
        <is>
          <t>Europe</t>
        </is>
      </c>
      <c r="D1500" t="inlineStr">
        <is>
          <t>Semi</t>
        </is>
      </c>
      <c r="E1500" t="n">
        <v>2786</v>
      </c>
      <c r="F1500" t="n">
        <v>83529.38</v>
      </c>
      <c r="G1500" t="n">
        <v>59</v>
      </c>
      <c r="H1500" t="inlineStr">
        <is>
          <t>Long Range</t>
        </is>
      </c>
      <c r="I1500" t="inlineStr">
        <is>
          <t>RWD</t>
        </is>
      </c>
      <c r="J1500" t="inlineStr">
        <is>
          <t>Red</t>
        </is>
      </c>
      <c r="K1500" t="n">
        <v>689</v>
      </c>
      <c r="L1500" t="n">
        <v>61</v>
      </c>
      <c r="M1500" t="n">
        <v>23.23</v>
      </c>
      <c r="N1500" t="n">
        <v>6911.9</v>
      </c>
      <c r="O1500" t="n">
        <v>4.8</v>
      </c>
      <c r="P1500" t="n">
        <v>4</v>
      </c>
      <c r="Q1500" t="n">
        <v>2</v>
      </c>
      <c r="R1500" t="n">
        <v>2023.3</v>
      </c>
      <c r="S1500" t="b">
        <v>1</v>
      </c>
      <c r="T1500" t="n">
        <v>4034037</v>
      </c>
      <c r="U1500" t="n">
        <v>10</v>
      </c>
      <c r="V1500" t="n">
        <v>0.0893</v>
      </c>
      <c r="W1500" t="n">
        <v>1.14</v>
      </c>
      <c r="X1500" t="n">
        <v>64.42</v>
      </c>
      <c r="Y1500">
        <f>VLOOKUP(D1500,$AB$2:$AC$7,2,FALSE)</f>
        <v/>
      </c>
      <c r="Z1500">
        <f>IF(A1500&lt;Y1500,"Yes","No")</f>
        <v/>
      </c>
    </row>
    <row r="1501">
      <c r="A1501" t="n">
        <v>2023</v>
      </c>
      <c r="B1501" t="inlineStr">
        <is>
          <t>Q2</t>
        </is>
      </c>
      <c r="C1501" t="inlineStr">
        <is>
          <t>Australia</t>
        </is>
      </c>
      <c r="D1501" t="inlineStr">
        <is>
          <t>Model S</t>
        </is>
      </c>
      <c r="E1501" t="n">
        <v>4809</v>
      </c>
      <c r="F1501" t="n">
        <v>91239.23</v>
      </c>
      <c r="G1501" t="n">
        <v>10</v>
      </c>
      <c r="H1501" t="inlineStr">
        <is>
          <t>Long Range</t>
        </is>
      </c>
      <c r="I1501" t="inlineStr">
        <is>
          <t>AWD</t>
        </is>
      </c>
      <c r="J1501" t="inlineStr">
        <is>
          <t>Black</t>
        </is>
      </c>
      <c r="K1501" t="n">
        <v>673</v>
      </c>
      <c r="L1501" t="n">
        <v>72</v>
      </c>
      <c r="M1501" t="n">
        <v>17.6</v>
      </c>
      <c r="N1501" t="n">
        <v>9518.129999999999</v>
      </c>
      <c r="O1501" t="n">
        <v>4.94</v>
      </c>
      <c r="P1501" t="n">
        <v>4</v>
      </c>
      <c r="Q1501" t="n">
        <v>3</v>
      </c>
      <c r="R1501" t="n">
        <v>2024.1</v>
      </c>
      <c r="S1501" t="b">
        <v>1</v>
      </c>
      <c r="T1501" t="n">
        <v>321371</v>
      </c>
      <c r="U1501" t="n">
        <v>11</v>
      </c>
      <c r="V1501" t="n">
        <v>0.0898</v>
      </c>
      <c r="W1501" t="n">
        <v>2.08</v>
      </c>
      <c r="X1501" t="n">
        <v>73.08</v>
      </c>
      <c r="Y1501">
        <f>VLOOKUP(D1501,$AB$2:$AC$7,2,FALSE)</f>
        <v/>
      </c>
      <c r="Z1501">
        <f>IF(A1501&lt;Y1501,"Yes","No")</f>
        <v/>
      </c>
    </row>
    <row r="1502">
      <c r="A1502" t="n">
        <v>2012</v>
      </c>
      <c r="B1502" t="inlineStr">
        <is>
          <t>Q1</t>
        </is>
      </c>
      <c r="C1502" t="inlineStr">
        <is>
          <t>South America</t>
        </is>
      </c>
      <c r="D1502" t="inlineStr">
        <is>
          <t>Model X</t>
        </is>
      </c>
      <c r="E1502" t="n">
        <v>4733</v>
      </c>
      <c r="F1502" t="n">
        <v>35296.49</v>
      </c>
      <c r="G1502" t="n">
        <v>35</v>
      </c>
      <c r="H1502" t="inlineStr">
        <is>
          <t>Standard</t>
        </is>
      </c>
      <c r="I1502" t="inlineStr">
        <is>
          <t>RWD</t>
        </is>
      </c>
      <c r="J1502" t="inlineStr">
        <is>
          <t>Red</t>
        </is>
      </c>
      <c r="K1502" t="n">
        <v>375</v>
      </c>
      <c r="L1502" t="n">
        <v>85</v>
      </c>
      <c r="M1502" t="n">
        <v>15.36</v>
      </c>
      <c r="N1502" t="n">
        <v>3653.25</v>
      </c>
      <c r="O1502" t="n">
        <v>4.54</v>
      </c>
      <c r="P1502" t="n">
        <v>5</v>
      </c>
      <c r="Q1502" t="n">
        <v>0</v>
      </c>
      <c r="R1502" t="n">
        <v>2022.11</v>
      </c>
      <c r="S1502" t="b">
        <v>0</v>
      </c>
      <c r="T1502" t="n">
        <v>4000192</v>
      </c>
      <c r="U1502" t="n">
        <v>9</v>
      </c>
      <c r="V1502" t="n">
        <v>0.0866</v>
      </c>
      <c r="W1502" t="n">
        <v>2.07</v>
      </c>
      <c r="X1502" t="n">
        <v>62.54</v>
      </c>
      <c r="Y1502">
        <f>VLOOKUP(D1502,$AB$2:$AC$7,2,FALSE)</f>
        <v/>
      </c>
      <c r="Z1502">
        <f>IF(A1502&lt;Y1502,"Yes","No")</f>
        <v/>
      </c>
    </row>
    <row r="1503">
      <c r="A1503" t="n">
        <v>2022</v>
      </c>
      <c r="B1503" t="inlineStr">
        <is>
          <t>Q4</t>
        </is>
      </c>
      <c r="C1503" t="inlineStr">
        <is>
          <t>Europe</t>
        </is>
      </c>
      <c r="D1503" t="inlineStr">
        <is>
          <t>Semi</t>
        </is>
      </c>
      <c r="E1503" t="n">
        <v>3209</v>
      </c>
      <c r="F1503" t="n">
        <v>78054.24000000001</v>
      </c>
      <c r="G1503" t="n">
        <v>56</v>
      </c>
      <c r="H1503" t="inlineStr">
        <is>
          <t>Standard</t>
        </is>
      </c>
      <c r="I1503" t="inlineStr">
        <is>
          <t>AWD</t>
        </is>
      </c>
      <c r="J1503" t="inlineStr">
        <is>
          <t>Silver</t>
        </is>
      </c>
      <c r="K1503" t="n">
        <v>521</v>
      </c>
      <c r="L1503" t="n">
        <v>57</v>
      </c>
      <c r="M1503" t="n">
        <v>20.77</v>
      </c>
      <c r="N1503" t="n">
        <v>6565.03</v>
      </c>
      <c r="O1503" t="n">
        <v>4.4</v>
      </c>
      <c r="P1503" t="n">
        <v>8</v>
      </c>
      <c r="Q1503" t="n">
        <v>2</v>
      </c>
      <c r="R1503" t="n">
        <v>2023.1</v>
      </c>
      <c r="S1503" t="b">
        <v>0</v>
      </c>
      <c r="T1503" t="n">
        <v>3871502</v>
      </c>
      <c r="U1503" t="n">
        <v>5</v>
      </c>
      <c r="V1503" t="n">
        <v>0.0672</v>
      </c>
      <c r="W1503" t="n">
        <v>2.42</v>
      </c>
      <c r="X1503" t="n">
        <v>70.86</v>
      </c>
      <c r="Y1503">
        <f>VLOOKUP(D1503,$AB$2:$AC$7,2,FALSE)</f>
        <v/>
      </c>
      <c r="Z1503">
        <f>IF(A1503&lt;Y1503,"Yes","No")</f>
        <v/>
      </c>
    </row>
    <row r="1504">
      <c r="A1504" t="n">
        <v>2023</v>
      </c>
      <c r="B1504" t="inlineStr">
        <is>
          <t>Q1</t>
        </is>
      </c>
      <c r="C1504" t="inlineStr">
        <is>
          <t>South America</t>
        </is>
      </c>
      <c r="D1504" t="inlineStr">
        <is>
          <t>Model 3</t>
        </is>
      </c>
      <c r="E1504" t="n">
        <v>1273</v>
      </c>
      <c r="F1504" t="n">
        <v>38138.1</v>
      </c>
      <c r="G1504" t="n">
        <v>55</v>
      </c>
      <c r="H1504" t="inlineStr">
        <is>
          <t>Standard</t>
        </is>
      </c>
      <c r="I1504" t="inlineStr">
        <is>
          <t>AWD</t>
        </is>
      </c>
      <c r="J1504" t="inlineStr">
        <is>
          <t>White</t>
        </is>
      </c>
      <c r="K1504" t="n">
        <v>555</v>
      </c>
      <c r="L1504" t="n">
        <v>45</v>
      </c>
      <c r="M1504" t="n">
        <v>23.27</v>
      </c>
      <c r="N1504" t="n">
        <v>2493.38</v>
      </c>
      <c r="O1504" t="n">
        <v>4.35</v>
      </c>
      <c r="P1504" t="n">
        <v>8</v>
      </c>
      <c r="Q1504" t="n">
        <v>2</v>
      </c>
      <c r="R1504" t="n">
        <v>2024.11</v>
      </c>
      <c r="S1504" t="b">
        <v>1</v>
      </c>
      <c r="T1504" t="n">
        <v>3050322</v>
      </c>
      <c r="U1504" t="n">
        <v>2</v>
      </c>
      <c r="V1504" t="n">
        <v>0.0144</v>
      </c>
      <c r="W1504" t="n">
        <v>1.21</v>
      </c>
      <c r="X1504" t="n">
        <v>72.73</v>
      </c>
      <c r="Y1504">
        <f>VLOOKUP(D1504,$AB$2:$AC$7,2,FALSE)</f>
        <v/>
      </c>
      <c r="Z1504">
        <f>IF(A1504&lt;Y1504,"Yes","No")</f>
        <v/>
      </c>
    </row>
    <row r="1505">
      <c r="A1505" t="n">
        <v>2023</v>
      </c>
      <c r="B1505" t="inlineStr">
        <is>
          <t>Q3</t>
        </is>
      </c>
      <c r="C1505" t="inlineStr">
        <is>
          <t>South America</t>
        </is>
      </c>
      <c r="D1505" t="inlineStr">
        <is>
          <t>Model Y</t>
        </is>
      </c>
      <c r="E1505" t="n">
        <v>3923</v>
      </c>
      <c r="F1505" t="n">
        <v>51076.62</v>
      </c>
      <c r="G1505" t="n">
        <v>34</v>
      </c>
      <c r="H1505" t="inlineStr">
        <is>
          <t>Standard</t>
        </is>
      </c>
      <c r="I1505" t="inlineStr">
        <is>
          <t>AWD</t>
        </is>
      </c>
      <c r="J1505" t="inlineStr">
        <is>
          <t>Green</t>
        </is>
      </c>
      <c r="K1505" t="n">
        <v>407</v>
      </c>
      <c r="L1505" t="n">
        <v>61</v>
      </c>
      <c r="M1505" t="n">
        <v>21.72</v>
      </c>
      <c r="N1505" t="n">
        <v>4018.25</v>
      </c>
      <c r="O1505" t="n">
        <v>4.17</v>
      </c>
      <c r="P1505" t="n">
        <v>6</v>
      </c>
      <c r="Q1505" t="n">
        <v>3</v>
      </c>
      <c r="R1505" t="n">
        <v>2023.1</v>
      </c>
      <c r="S1505" t="b">
        <v>1</v>
      </c>
      <c r="T1505" t="n">
        <v>3235795</v>
      </c>
      <c r="U1505" t="n">
        <v>11</v>
      </c>
      <c r="V1505" t="n">
        <v>0.0936</v>
      </c>
      <c r="W1505" t="n">
        <v>1.83</v>
      </c>
      <c r="X1505" t="n">
        <v>88.34999999999999</v>
      </c>
      <c r="Y1505">
        <f>VLOOKUP(D1505,$AB$2:$AC$7,2,FALSE)</f>
        <v/>
      </c>
      <c r="Z1505">
        <f>IF(A1505&lt;Y1505,"Yes","No")</f>
        <v/>
      </c>
    </row>
    <row r="1506">
      <c r="A1506" t="n">
        <v>2022</v>
      </c>
      <c r="B1506" t="inlineStr">
        <is>
          <t>Q3</t>
        </is>
      </c>
      <c r="C1506" t="inlineStr">
        <is>
          <t>Europe</t>
        </is>
      </c>
      <c r="D1506" t="inlineStr">
        <is>
          <t>Cybertruck</t>
        </is>
      </c>
      <c r="E1506" t="n">
        <v>1976</v>
      </c>
      <c r="F1506" t="n">
        <v>66691.72</v>
      </c>
      <c r="G1506" t="n">
        <v>38</v>
      </c>
      <c r="H1506" t="inlineStr">
        <is>
          <t>Performance</t>
        </is>
      </c>
      <c r="I1506" t="inlineStr">
        <is>
          <t>RWD</t>
        </is>
      </c>
      <c r="J1506" t="inlineStr">
        <is>
          <t>Red</t>
        </is>
      </c>
      <c r="K1506" t="n">
        <v>440</v>
      </c>
      <c r="L1506" t="n">
        <v>52</v>
      </c>
      <c r="M1506" t="n">
        <v>14.74</v>
      </c>
      <c r="N1506" t="n">
        <v>1130.65</v>
      </c>
      <c r="O1506" t="n">
        <v>3.62</v>
      </c>
      <c r="P1506" t="n">
        <v>5</v>
      </c>
      <c r="Q1506" t="n">
        <v>0</v>
      </c>
      <c r="R1506" t="n">
        <v>2023.5</v>
      </c>
      <c r="S1506" t="b">
        <v>0</v>
      </c>
      <c r="T1506" t="n">
        <v>4948027</v>
      </c>
      <c r="U1506" t="n">
        <v>3</v>
      </c>
      <c r="V1506" t="n">
        <v>0.0234</v>
      </c>
      <c r="W1506" t="n">
        <v>2.12</v>
      </c>
      <c r="X1506" t="n">
        <v>63.36</v>
      </c>
      <c r="Y1506">
        <f>VLOOKUP(D1506,$AB$2:$AC$7,2,FALSE)</f>
        <v/>
      </c>
      <c r="Z1506">
        <f>IF(A1506&lt;Y1506,"Yes","No")</f>
        <v/>
      </c>
    </row>
    <row r="1507">
      <c r="A1507" t="n">
        <v>2013</v>
      </c>
      <c r="B1507" t="inlineStr">
        <is>
          <t>Q4</t>
        </is>
      </c>
      <c r="C1507" t="inlineStr">
        <is>
          <t>South America</t>
        </is>
      </c>
      <c r="D1507" t="inlineStr">
        <is>
          <t>Cybertruck</t>
        </is>
      </c>
      <c r="E1507" t="n">
        <v>1599</v>
      </c>
      <c r="F1507" t="n">
        <v>52919.6</v>
      </c>
      <c r="G1507" t="n">
        <v>15</v>
      </c>
      <c r="H1507" t="inlineStr">
        <is>
          <t>Performance</t>
        </is>
      </c>
      <c r="I1507" t="inlineStr">
        <is>
          <t>AWD</t>
        </is>
      </c>
      <c r="J1507" t="inlineStr">
        <is>
          <t>Black</t>
        </is>
      </c>
      <c r="K1507" t="n">
        <v>671</v>
      </c>
      <c r="L1507" t="n">
        <v>34</v>
      </c>
      <c r="M1507" t="n">
        <v>15.94</v>
      </c>
      <c r="N1507" t="n">
        <v>2574.75</v>
      </c>
      <c r="O1507" t="n">
        <v>4.34</v>
      </c>
      <c r="P1507" t="n">
        <v>4</v>
      </c>
      <c r="Q1507" t="n">
        <v>2</v>
      </c>
      <c r="R1507" t="n">
        <v>2023.9</v>
      </c>
      <c r="S1507" t="b">
        <v>1</v>
      </c>
      <c r="T1507" t="n">
        <v>4425162</v>
      </c>
      <c r="U1507" t="n">
        <v>9</v>
      </c>
      <c r="V1507" t="n">
        <v>0.0437</v>
      </c>
      <c r="W1507" t="n">
        <v>0.97</v>
      </c>
      <c r="X1507" t="n">
        <v>85.29000000000001</v>
      </c>
      <c r="Y1507">
        <f>VLOOKUP(D1507,$AB$2:$AC$7,2,FALSE)</f>
        <v/>
      </c>
      <c r="Z1507">
        <f>IF(A1507&lt;Y1507,"Yes","No")</f>
        <v/>
      </c>
    </row>
    <row r="1508">
      <c r="A1508" t="n">
        <v>2014</v>
      </c>
      <c r="B1508" t="inlineStr">
        <is>
          <t>Q4</t>
        </is>
      </c>
      <c r="C1508" t="inlineStr">
        <is>
          <t>Europe</t>
        </is>
      </c>
      <c r="D1508" t="inlineStr">
        <is>
          <t>Model S</t>
        </is>
      </c>
      <c r="E1508" t="n">
        <v>1162</v>
      </c>
      <c r="F1508" t="n">
        <v>85848.95</v>
      </c>
      <c r="G1508" t="n">
        <v>17</v>
      </c>
      <c r="H1508" t="inlineStr">
        <is>
          <t>Performance</t>
        </is>
      </c>
      <c r="I1508" t="inlineStr">
        <is>
          <t>RWD</t>
        </is>
      </c>
      <c r="J1508" t="inlineStr">
        <is>
          <t>White</t>
        </is>
      </c>
      <c r="K1508" t="n">
        <v>595</v>
      </c>
      <c r="L1508" t="n">
        <v>62</v>
      </c>
      <c r="M1508" t="n">
        <v>14.49</v>
      </c>
      <c r="N1508" t="n">
        <v>1013.95</v>
      </c>
      <c r="O1508" t="n">
        <v>3.74</v>
      </c>
      <c r="P1508" t="n">
        <v>5</v>
      </c>
      <c r="Q1508" t="n">
        <v>2</v>
      </c>
      <c r="R1508" t="n">
        <v>2022.2</v>
      </c>
      <c r="S1508" t="b">
        <v>0</v>
      </c>
      <c r="T1508" t="n">
        <v>2035740</v>
      </c>
      <c r="U1508" t="n">
        <v>11</v>
      </c>
      <c r="V1508" t="n">
        <v>0.09760000000000001</v>
      </c>
      <c r="W1508" t="n">
        <v>2.1</v>
      </c>
      <c r="X1508" t="n">
        <v>64.12</v>
      </c>
      <c r="Y1508">
        <f>VLOOKUP(D1508,$AB$2:$AC$7,2,FALSE)</f>
        <v/>
      </c>
      <c r="Z1508">
        <f>IF(A1508&lt;Y1508,"Yes","No")</f>
        <v/>
      </c>
    </row>
    <row r="1509">
      <c r="A1509" t="n">
        <v>2015</v>
      </c>
      <c r="B1509" t="inlineStr">
        <is>
          <t>Q1</t>
        </is>
      </c>
      <c r="C1509" t="inlineStr">
        <is>
          <t>Australia</t>
        </is>
      </c>
      <c r="D1509" t="inlineStr">
        <is>
          <t>Semi</t>
        </is>
      </c>
      <c r="E1509" t="n">
        <v>3819</v>
      </c>
      <c r="F1509" t="n">
        <v>78408.07000000001</v>
      </c>
      <c r="G1509" t="n">
        <v>21</v>
      </c>
      <c r="H1509" t="inlineStr">
        <is>
          <t>Standard</t>
        </is>
      </c>
      <c r="I1509" t="inlineStr">
        <is>
          <t>AWD</t>
        </is>
      </c>
      <c r="J1509" t="inlineStr">
        <is>
          <t>Silver</t>
        </is>
      </c>
      <c r="K1509" t="n">
        <v>683</v>
      </c>
      <c r="L1509" t="n">
        <v>47</v>
      </c>
      <c r="M1509" t="n">
        <v>21.23</v>
      </c>
      <c r="N1509" t="n">
        <v>8104.81</v>
      </c>
      <c r="O1509" t="n">
        <v>4.16</v>
      </c>
      <c r="P1509" t="n">
        <v>4</v>
      </c>
      <c r="Q1509" t="n">
        <v>2</v>
      </c>
      <c r="R1509" t="n">
        <v>2022.8</v>
      </c>
      <c r="S1509" t="b">
        <v>0</v>
      </c>
      <c r="T1509" t="n">
        <v>4147636</v>
      </c>
      <c r="U1509" t="n">
        <v>11</v>
      </c>
      <c r="V1509" t="n">
        <v>0.0171</v>
      </c>
      <c r="W1509" t="n">
        <v>1.1</v>
      </c>
      <c r="X1509" t="n">
        <v>62.22</v>
      </c>
      <c r="Y1509">
        <f>VLOOKUP(D1509,$AB$2:$AC$7,2,FALSE)</f>
        <v/>
      </c>
      <c r="Z1509">
        <f>IF(A1509&lt;Y1509,"Yes","No")</f>
        <v/>
      </c>
    </row>
    <row r="1510">
      <c r="A1510" t="n">
        <v>2014</v>
      </c>
      <c r="B1510" t="inlineStr">
        <is>
          <t>Q3</t>
        </is>
      </c>
      <c r="C1510" t="inlineStr">
        <is>
          <t>Europe</t>
        </is>
      </c>
      <c r="D1510" t="inlineStr">
        <is>
          <t>Model X</t>
        </is>
      </c>
      <c r="E1510" t="n">
        <v>2665</v>
      </c>
      <c r="F1510" t="n">
        <v>52543.65</v>
      </c>
      <c r="G1510" t="n">
        <v>15</v>
      </c>
      <c r="H1510" t="inlineStr">
        <is>
          <t>Performance</t>
        </is>
      </c>
      <c r="I1510" t="inlineStr">
        <is>
          <t>AWD</t>
        </is>
      </c>
      <c r="J1510" t="inlineStr">
        <is>
          <t>Red</t>
        </is>
      </c>
      <c r="K1510" t="n">
        <v>519</v>
      </c>
      <c r="L1510" t="n">
        <v>61</v>
      </c>
      <c r="M1510" t="n">
        <v>17.22</v>
      </c>
      <c r="N1510" t="n">
        <v>5900.57</v>
      </c>
      <c r="O1510" t="n">
        <v>3.71</v>
      </c>
      <c r="P1510" t="n">
        <v>8</v>
      </c>
      <c r="Q1510" t="n">
        <v>1</v>
      </c>
      <c r="R1510" t="n">
        <v>2020.1</v>
      </c>
      <c r="S1510" t="b">
        <v>0</v>
      </c>
      <c r="T1510" t="n">
        <v>4424908</v>
      </c>
      <c r="U1510" t="n">
        <v>2</v>
      </c>
      <c r="V1510" t="n">
        <v>0.076</v>
      </c>
      <c r="W1510" t="n">
        <v>0.88</v>
      </c>
      <c r="X1510" t="n">
        <v>77.75</v>
      </c>
      <c r="Y1510">
        <f>VLOOKUP(D1510,$AB$2:$AC$7,2,FALSE)</f>
        <v/>
      </c>
      <c r="Z1510">
        <f>IF(A1510&lt;Y1510,"Yes","No")</f>
        <v/>
      </c>
    </row>
    <row r="1511">
      <c r="A1511" t="n">
        <v>2017</v>
      </c>
      <c r="B1511" t="inlineStr">
        <is>
          <t>Q4</t>
        </is>
      </c>
      <c r="C1511" t="inlineStr">
        <is>
          <t>Asia</t>
        </is>
      </c>
      <c r="D1511" t="inlineStr">
        <is>
          <t>Model Y</t>
        </is>
      </c>
      <c r="E1511" t="n">
        <v>1577</v>
      </c>
      <c r="F1511" t="n">
        <v>109975.14</v>
      </c>
      <c r="G1511" t="n">
        <v>16</v>
      </c>
      <c r="H1511" t="inlineStr">
        <is>
          <t>Standard</t>
        </is>
      </c>
      <c r="I1511" t="inlineStr">
        <is>
          <t>AWD</t>
        </is>
      </c>
      <c r="J1511" t="inlineStr">
        <is>
          <t>Silver</t>
        </is>
      </c>
      <c r="K1511" t="n">
        <v>401</v>
      </c>
      <c r="L1511" t="n">
        <v>56</v>
      </c>
      <c r="M1511" t="n">
        <v>19.43</v>
      </c>
      <c r="N1511" t="n">
        <v>3595.28</v>
      </c>
      <c r="O1511" t="n">
        <v>4.69</v>
      </c>
      <c r="P1511" t="n">
        <v>4</v>
      </c>
      <c r="Q1511" t="n">
        <v>2</v>
      </c>
      <c r="R1511" t="n">
        <v>2022.1</v>
      </c>
      <c r="S1511" t="b">
        <v>0</v>
      </c>
      <c r="T1511" t="n">
        <v>4903569</v>
      </c>
      <c r="U1511" t="n">
        <v>6</v>
      </c>
      <c r="V1511" t="n">
        <v>0.0305</v>
      </c>
      <c r="W1511" t="n">
        <v>2.35</v>
      </c>
      <c r="X1511" t="n">
        <v>79.3</v>
      </c>
      <c r="Y1511">
        <f>VLOOKUP(D1511,$AB$2:$AC$7,2,FALSE)</f>
        <v/>
      </c>
      <c r="Z1511">
        <f>IF(A1511&lt;Y1511,"Yes","No")</f>
        <v/>
      </c>
    </row>
    <row r="1512">
      <c r="A1512" t="n">
        <v>2016</v>
      </c>
      <c r="B1512" t="inlineStr">
        <is>
          <t>Q3</t>
        </is>
      </c>
      <c r="C1512" t="inlineStr">
        <is>
          <t>North America</t>
        </is>
      </c>
      <c r="D1512" t="inlineStr">
        <is>
          <t>Model S</t>
        </is>
      </c>
      <c r="E1512" t="n">
        <v>602</v>
      </c>
      <c r="F1512" t="n">
        <v>36329.53</v>
      </c>
      <c r="G1512" t="n">
        <v>9</v>
      </c>
      <c r="H1512" t="inlineStr">
        <is>
          <t>Long Range</t>
        </is>
      </c>
      <c r="I1512" t="inlineStr">
        <is>
          <t>RWD</t>
        </is>
      </c>
      <c r="J1512" t="inlineStr">
        <is>
          <t>White</t>
        </is>
      </c>
      <c r="K1512" t="n">
        <v>668</v>
      </c>
      <c r="L1512" t="n">
        <v>42</v>
      </c>
      <c r="M1512" t="n">
        <v>17.19</v>
      </c>
      <c r="N1512" t="n">
        <v>1314.16</v>
      </c>
      <c r="O1512" t="n">
        <v>3.73</v>
      </c>
      <c r="P1512" t="n">
        <v>4</v>
      </c>
      <c r="Q1512" t="n">
        <v>0</v>
      </c>
      <c r="R1512" t="n">
        <v>2024.2</v>
      </c>
      <c r="S1512" t="b">
        <v>0</v>
      </c>
      <c r="T1512" t="n">
        <v>1053149</v>
      </c>
      <c r="U1512" t="n">
        <v>5</v>
      </c>
      <c r="V1512" t="n">
        <v>0.0963</v>
      </c>
      <c r="W1512" t="n">
        <v>2.03</v>
      </c>
      <c r="X1512" t="n">
        <v>85.88</v>
      </c>
      <c r="Y1512">
        <f>VLOOKUP(D1512,$AB$2:$AC$7,2,FALSE)</f>
        <v/>
      </c>
      <c r="Z1512">
        <f>IF(A1512&lt;Y1512,"Yes","No")</f>
        <v/>
      </c>
    </row>
    <row r="1513">
      <c r="A1513" t="n">
        <v>2021</v>
      </c>
      <c r="B1513" t="inlineStr">
        <is>
          <t>Q2</t>
        </is>
      </c>
      <c r="C1513" t="inlineStr">
        <is>
          <t>Asia</t>
        </is>
      </c>
      <c r="D1513" t="inlineStr">
        <is>
          <t>Model Y</t>
        </is>
      </c>
      <c r="E1513" t="n">
        <v>2679</v>
      </c>
      <c r="F1513" t="n">
        <v>52861.66</v>
      </c>
      <c r="G1513" t="n">
        <v>19</v>
      </c>
      <c r="H1513" t="inlineStr">
        <is>
          <t>Performance</t>
        </is>
      </c>
      <c r="I1513" t="inlineStr">
        <is>
          <t>AWD</t>
        </is>
      </c>
      <c r="J1513" t="inlineStr">
        <is>
          <t>Red</t>
        </is>
      </c>
      <c r="K1513" t="n">
        <v>395</v>
      </c>
      <c r="L1513" t="n">
        <v>50</v>
      </c>
      <c r="M1513" t="n">
        <v>21.6</v>
      </c>
      <c r="N1513" t="n">
        <v>1540.87</v>
      </c>
      <c r="O1513" t="n">
        <v>3.78</v>
      </c>
      <c r="P1513" t="n">
        <v>8</v>
      </c>
      <c r="Q1513" t="n">
        <v>2</v>
      </c>
      <c r="R1513" t="n">
        <v>2023.1</v>
      </c>
      <c r="S1513" t="b">
        <v>1</v>
      </c>
      <c r="T1513" t="n">
        <v>3556410</v>
      </c>
      <c r="U1513" t="n">
        <v>6</v>
      </c>
      <c r="V1513" t="n">
        <v>0.0857</v>
      </c>
      <c r="W1513" t="n">
        <v>2.26</v>
      </c>
      <c r="X1513" t="n">
        <v>64.84</v>
      </c>
      <c r="Y1513">
        <f>VLOOKUP(D1513,$AB$2:$AC$7,2,FALSE)</f>
        <v/>
      </c>
      <c r="Z1513">
        <f>IF(A1513&lt;Y1513,"Yes","No")</f>
        <v/>
      </c>
    </row>
    <row r="1514">
      <c r="A1514" t="n">
        <v>2014</v>
      </c>
      <c r="B1514" t="inlineStr">
        <is>
          <t>Q3</t>
        </is>
      </c>
      <c r="C1514" t="inlineStr">
        <is>
          <t>Asia</t>
        </is>
      </c>
      <c r="D1514" t="inlineStr">
        <is>
          <t>Model X</t>
        </is>
      </c>
      <c r="E1514" t="n">
        <v>2375</v>
      </c>
      <c r="F1514" t="n">
        <v>70379.2</v>
      </c>
      <c r="G1514" t="n">
        <v>10</v>
      </c>
      <c r="H1514" t="inlineStr">
        <is>
          <t>Standard</t>
        </is>
      </c>
      <c r="I1514" t="inlineStr">
        <is>
          <t>AWD</t>
        </is>
      </c>
      <c r="J1514" t="inlineStr">
        <is>
          <t>Red</t>
        </is>
      </c>
      <c r="K1514" t="n">
        <v>468</v>
      </c>
      <c r="L1514" t="n">
        <v>51</v>
      </c>
      <c r="M1514" t="n">
        <v>21.51</v>
      </c>
      <c r="N1514" t="n">
        <v>4954.47</v>
      </c>
      <c r="O1514" t="n">
        <v>4.43</v>
      </c>
      <c r="P1514" t="n">
        <v>5</v>
      </c>
      <c r="Q1514" t="n">
        <v>1</v>
      </c>
      <c r="R1514" t="n">
        <v>2021.1</v>
      </c>
      <c r="S1514" t="b">
        <v>0</v>
      </c>
      <c r="T1514" t="n">
        <v>133269</v>
      </c>
      <c r="U1514" t="n">
        <v>9</v>
      </c>
      <c r="V1514" t="n">
        <v>0.0853</v>
      </c>
      <c r="W1514" t="n">
        <v>0.67</v>
      </c>
      <c r="X1514" t="n">
        <v>73.34</v>
      </c>
      <c r="Y1514">
        <f>VLOOKUP(D1514,$AB$2:$AC$7,2,FALSE)</f>
        <v/>
      </c>
      <c r="Z1514">
        <f>IF(A1514&lt;Y1514,"Yes","No")</f>
        <v/>
      </c>
    </row>
    <row r="1515">
      <c r="A1515" t="n">
        <v>2022</v>
      </c>
      <c r="B1515" t="inlineStr">
        <is>
          <t>Q3</t>
        </is>
      </c>
      <c r="C1515" t="inlineStr">
        <is>
          <t>Europe</t>
        </is>
      </c>
      <c r="D1515" t="inlineStr">
        <is>
          <t>Model X</t>
        </is>
      </c>
      <c r="E1515" t="n">
        <v>3203</v>
      </c>
      <c r="F1515" t="n">
        <v>67557.12</v>
      </c>
      <c r="G1515" t="n">
        <v>3</v>
      </c>
      <c r="H1515" t="inlineStr">
        <is>
          <t>Performance</t>
        </is>
      </c>
      <c r="I1515" t="inlineStr">
        <is>
          <t>RWD</t>
        </is>
      </c>
      <c r="J1515" t="inlineStr">
        <is>
          <t>White</t>
        </is>
      </c>
      <c r="K1515" t="n">
        <v>591</v>
      </c>
      <c r="L1515" t="n">
        <v>73</v>
      </c>
      <c r="M1515" t="n">
        <v>13.6</v>
      </c>
      <c r="N1515" t="n">
        <v>5842.22</v>
      </c>
      <c r="O1515" t="n">
        <v>4.13</v>
      </c>
      <c r="P1515" t="n">
        <v>5</v>
      </c>
      <c r="Q1515" t="n">
        <v>0</v>
      </c>
      <c r="R1515" t="n">
        <v>2020.8</v>
      </c>
      <c r="S1515" t="b">
        <v>0</v>
      </c>
      <c r="T1515" t="n">
        <v>1008954</v>
      </c>
      <c r="U1515" t="n">
        <v>8</v>
      </c>
      <c r="V1515" t="n">
        <v>0.0271</v>
      </c>
      <c r="W1515" t="n">
        <v>0.77</v>
      </c>
      <c r="X1515" t="n">
        <v>67.79000000000001</v>
      </c>
      <c r="Y1515">
        <f>VLOOKUP(D1515,$AB$2:$AC$7,2,FALSE)</f>
        <v/>
      </c>
      <c r="Z1515">
        <f>IF(A1515&lt;Y1515,"Yes","No")</f>
        <v/>
      </c>
    </row>
    <row r="1516">
      <c r="A1516" t="n">
        <v>2024</v>
      </c>
      <c r="B1516" t="inlineStr">
        <is>
          <t>Q1</t>
        </is>
      </c>
      <c r="C1516" t="inlineStr">
        <is>
          <t>Europe</t>
        </is>
      </c>
      <c r="D1516" t="inlineStr">
        <is>
          <t>Model S</t>
        </is>
      </c>
      <c r="E1516" t="n">
        <v>1446</v>
      </c>
      <c r="F1516" t="n">
        <v>49063.92</v>
      </c>
      <c r="G1516" t="n">
        <v>40</v>
      </c>
      <c r="H1516" t="inlineStr">
        <is>
          <t>Standard</t>
        </is>
      </c>
      <c r="I1516" t="inlineStr">
        <is>
          <t>RWD</t>
        </is>
      </c>
      <c r="J1516" t="inlineStr">
        <is>
          <t>White</t>
        </is>
      </c>
      <c r="K1516" t="n">
        <v>554</v>
      </c>
      <c r="L1516" t="n">
        <v>34</v>
      </c>
      <c r="M1516" t="n">
        <v>17.6</v>
      </c>
      <c r="N1516" t="n">
        <v>843.3200000000001</v>
      </c>
      <c r="O1516" t="n">
        <v>4.41</v>
      </c>
      <c r="P1516" t="n">
        <v>8</v>
      </c>
      <c r="Q1516" t="n">
        <v>2</v>
      </c>
      <c r="R1516" t="n">
        <v>2020.9</v>
      </c>
      <c r="S1516" t="b">
        <v>0</v>
      </c>
      <c r="T1516" t="n">
        <v>2363352</v>
      </c>
      <c r="U1516" t="n">
        <v>3</v>
      </c>
      <c r="V1516" t="n">
        <v>0.0273</v>
      </c>
      <c r="W1516" t="n">
        <v>1.85</v>
      </c>
      <c r="X1516" t="n">
        <v>73.04000000000001</v>
      </c>
      <c r="Y1516">
        <f>VLOOKUP(D1516,$AB$2:$AC$7,2,FALSE)</f>
        <v/>
      </c>
      <c r="Z1516">
        <f>IF(A1516&lt;Y1516,"Yes","No")</f>
        <v/>
      </c>
    </row>
    <row r="1517">
      <c r="A1517" t="n">
        <v>2017</v>
      </c>
      <c r="B1517" t="inlineStr">
        <is>
          <t>Q1</t>
        </is>
      </c>
      <c r="C1517" t="inlineStr">
        <is>
          <t>Europe</t>
        </is>
      </c>
      <c r="D1517" t="inlineStr">
        <is>
          <t>Cybertruck</t>
        </is>
      </c>
      <c r="E1517" t="n">
        <v>2839</v>
      </c>
      <c r="F1517" t="n">
        <v>118344.53</v>
      </c>
      <c r="G1517" t="n">
        <v>38</v>
      </c>
      <c r="H1517" t="inlineStr">
        <is>
          <t>Standard</t>
        </is>
      </c>
      <c r="I1517" t="inlineStr">
        <is>
          <t>RWD</t>
        </is>
      </c>
      <c r="J1517" t="inlineStr">
        <is>
          <t>Blue</t>
        </is>
      </c>
      <c r="K1517" t="n">
        <v>513</v>
      </c>
      <c r="L1517" t="n">
        <v>65</v>
      </c>
      <c r="M1517" t="n">
        <v>14.4</v>
      </c>
      <c r="N1517" t="n">
        <v>5092.01</v>
      </c>
      <c r="O1517" t="n">
        <v>3.65</v>
      </c>
      <c r="P1517" t="n">
        <v>6</v>
      </c>
      <c r="Q1517" t="n">
        <v>3</v>
      </c>
      <c r="R1517" t="n">
        <v>2024.3</v>
      </c>
      <c r="S1517" t="b">
        <v>1</v>
      </c>
      <c r="T1517" t="n">
        <v>2861473</v>
      </c>
      <c r="U1517" t="n">
        <v>4</v>
      </c>
      <c r="V1517" t="n">
        <v>0.0764</v>
      </c>
      <c r="W1517" t="n">
        <v>1.11</v>
      </c>
      <c r="X1517" t="n">
        <v>65.34999999999999</v>
      </c>
      <c r="Y1517">
        <f>VLOOKUP(D1517,$AB$2:$AC$7,2,FALSE)</f>
        <v/>
      </c>
      <c r="Z1517">
        <f>IF(A1517&lt;Y1517,"Yes","No")</f>
        <v/>
      </c>
    </row>
    <row r="1518">
      <c r="A1518" t="n">
        <v>2013</v>
      </c>
      <c r="B1518" t="inlineStr">
        <is>
          <t>Q1</t>
        </is>
      </c>
      <c r="C1518" t="inlineStr">
        <is>
          <t>North America</t>
        </is>
      </c>
      <c r="D1518" t="inlineStr">
        <is>
          <t>Semi</t>
        </is>
      </c>
      <c r="E1518" t="n">
        <v>2369</v>
      </c>
      <c r="F1518" t="n">
        <v>48602.75</v>
      </c>
      <c r="G1518" t="n">
        <v>37</v>
      </c>
      <c r="H1518" t="inlineStr">
        <is>
          <t>Performance</t>
        </is>
      </c>
      <c r="I1518" t="inlineStr">
        <is>
          <t>RWD</t>
        </is>
      </c>
      <c r="J1518" t="inlineStr">
        <is>
          <t>Silver</t>
        </is>
      </c>
      <c r="K1518" t="n">
        <v>407</v>
      </c>
      <c r="L1518" t="n">
        <v>48</v>
      </c>
      <c r="M1518" t="n">
        <v>14.32</v>
      </c>
      <c r="N1518" t="n">
        <v>1216.91</v>
      </c>
      <c r="O1518" t="n">
        <v>3.63</v>
      </c>
      <c r="P1518" t="n">
        <v>6</v>
      </c>
      <c r="Q1518" t="n">
        <v>3</v>
      </c>
      <c r="R1518" t="n">
        <v>2024.1</v>
      </c>
      <c r="S1518" t="b">
        <v>1</v>
      </c>
      <c r="T1518" t="n">
        <v>4969484</v>
      </c>
      <c r="U1518" t="n">
        <v>3</v>
      </c>
      <c r="V1518" t="n">
        <v>0.0356</v>
      </c>
      <c r="W1518" t="n">
        <v>0.84</v>
      </c>
      <c r="X1518" t="n">
        <v>69.64</v>
      </c>
      <c r="Y1518">
        <f>VLOOKUP(D1518,$AB$2:$AC$7,2,FALSE)</f>
        <v/>
      </c>
      <c r="Z1518">
        <f>IF(A1518&lt;Y1518,"Yes","No")</f>
        <v/>
      </c>
    </row>
    <row r="1519">
      <c r="A1519" t="n">
        <v>2012</v>
      </c>
      <c r="B1519" t="inlineStr">
        <is>
          <t>Q1</t>
        </is>
      </c>
      <c r="C1519" t="inlineStr">
        <is>
          <t>Europe</t>
        </is>
      </c>
      <c r="D1519" t="inlineStr">
        <is>
          <t>Semi</t>
        </is>
      </c>
      <c r="E1519" t="n">
        <v>300</v>
      </c>
      <c r="F1519" t="n">
        <v>44186.17</v>
      </c>
      <c r="G1519" t="n">
        <v>19</v>
      </c>
      <c r="H1519" t="inlineStr">
        <is>
          <t>Standard</t>
        </is>
      </c>
      <c r="I1519" t="inlineStr">
        <is>
          <t>AWD</t>
        </is>
      </c>
      <c r="J1519" t="inlineStr">
        <is>
          <t>Red</t>
        </is>
      </c>
      <c r="K1519" t="n">
        <v>667</v>
      </c>
      <c r="L1519" t="n">
        <v>87</v>
      </c>
      <c r="M1519" t="n">
        <v>19.07</v>
      </c>
      <c r="N1519" t="n">
        <v>331.64</v>
      </c>
      <c r="O1519" t="n">
        <v>3.96</v>
      </c>
      <c r="P1519" t="n">
        <v>8</v>
      </c>
      <c r="Q1519" t="n">
        <v>3</v>
      </c>
      <c r="R1519" t="n">
        <v>2022.1</v>
      </c>
      <c r="S1519" t="b">
        <v>0</v>
      </c>
      <c r="T1519" t="n">
        <v>4661382</v>
      </c>
      <c r="U1519" t="n">
        <v>3</v>
      </c>
      <c r="V1519" t="n">
        <v>0.0722</v>
      </c>
      <c r="W1519" t="n">
        <v>0.79</v>
      </c>
      <c r="X1519" t="n">
        <v>65.59999999999999</v>
      </c>
      <c r="Y1519">
        <f>VLOOKUP(D1519,$AB$2:$AC$7,2,FALSE)</f>
        <v/>
      </c>
      <c r="Z1519">
        <f>IF(A1519&lt;Y1519,"Yes","No")</f>
        <v/>
      </c>
    </row>
    <row r="1520">
      <c r="A1520" t="n">
        <v>2024</v>
      </c>
      <c r="B1520" t="inlineStr">
        <is>
          <t>Q1</t>
        </is>
      </c>
      <c r="C1520" t="inlineStr">
        <is>
          <t>Europe</t>
        </is>
      </c>
      <c r="D1520" t="inlineStr">
        <is>
          <t>Semi</t>
        </is>
      </c>
      <c r="E1520" t="n">
        <v>3208</v>
      </c>
      <c r="F1520" t="n">
        <v>73850.28</v>
      </c>
      <c r="G1520" t="n">
        <v>42</v>
      </c>
      <c r="H1520" t="inlineStr">
        <is>
          <t>Long Range</t>
        </is>
      </c>
      <c r="I1520" t="inlineStr">
        <is>
          <t>AWD</t>
        </is>
      </c>
      <c r="J1520" t="inlineStr">
        <is>
          <t>Blue</t>
        </is>
      </c>
      <c r="K1520" t="n">
        <v>509</v>
      </c>
      <c r="L1520" t="n">
        <v>47</v>
      </c>
      <c r="M1520" t="n">
        <v>21.33</v>
      </c>
      <c r="N1520" t="n">
        <v>5304.2</v>
      </c>
      <c r="O1520" t="n">
        <v>4.99</v>
      </c>
      <c r="P1520" t="n">
        <v>6</v>
      </c>
      <c r="Q1520" t="n">
        <v>1</v>
      </c>
      <c r="R1520" t="n">
        <v>2021.12</v>
      </c>
      <c r="S1520" t="b">
        <v>1</v>
      </c>
      <c r="T1520" t="n">
        <v>4795493</v>
      </c>
      <c r="U1520" t="n">
        <v>12</v>
      </c>
      <c r="V1520" t="n">
        <v>0.0123</v>
      </c>
      <c r="W1520" t="n">
        <v>0.6899999999999999</v>
      </c>
      <c r="X1520" t="n">
        <v>65.72</v>
      </c>
      <c r="Y1520">
        <f>VLOOKUP(D1520,$AB$2:$AC$7,2,FALSE)</f>
        <v/>
      </c>
      <c r="Z1520">
        <f>IF(A1520&lt;Y1520,"Yes","No")</f>
        <v/>
      </c>
    </row>
    <row r="1521">
      <c r="A1521" t="n">
        <v>2020</v>
      </c>
      <c r="B1521" t="inlineStr">
        <is>
          <t>Q3</t>
        </is>
      </c>
      <c r="C1521" t="inlineStr">
        <is>
          <t>Europe</t>
        </is>
      </c>
      <c r="D1521" t="inlineStr">
        <is>
          <t>Model 3</t>
        </is>
      </c>
      <c r="E1521" t="n">
        <v>888</v>
      </c>
      <c r="F1521" t="n">
        <v>65540.83</v>
      </c>
      <c r="G1521" t="n">
        <v>53</v>
      </c>
      <c r="H1521" t="inlineStr">
        <is>
          <t>Performance</t>
        </is>
      </c>
      <c r="I1521" t="inlineStr">
        <is>
          <t>AWD</t>
        </is>
      </c>
      <c r="J1521" t="inlineStr">
        <is>
          <t>Black</t>
        </is>
      </c>
      <c r="K1521" t="n">
        <v>498</v>
      </c>
      <c r="L1521" t="n">
        <v>41</v>
      </c>
      <c r="M1521" t="n">
        <v>19.52</v>
      </c>
      <c r="N1521" t="n">
        <v>2102.94</v>
      </c>
      <c r="O1521" t="n">
        <v>4.96</v>
      </c>
      <c r="P1521" t="n">
        <v>5</v>
      </c>
      <c r="Q1521" t="n">
        <v>1</v>
      </c>
      <c r="R1521" t="n">
        <v>2022.7</v>
      </c>
      <c r="S1521" t="b">
        <v>1</v>
      </c>
      <c r="T1521" t="n">
        <v>3397273</v>
      </c>
      <c r="U1521" t="n">
        <v>9</v>
      </c>
      <c r="V1521" t="n">
        <v>0.08500000000000001</v>
      </c>
      <c r="W1521" t="n">
        <v>1.76</v>
      </c>
      <c r="X1521" t="n">
        <v>89.97</v>
      </c>
      <c r="Y1521">
        <f>VLOOKUP(D1521,$AB$2:$AC$7,2,FALSE)</f>
        <v/>
      </c>
      <c r="Z1521">
        <f>IF(A1521&lt;Y1521,"Yes","No")</f>
        <v/>
      </c>
    </row>
    <row r="1522">
      <c r="A1522" t="n">
        <v>2014</v>
      </c>
      <c r="B1522" t="inlineStr">
        <is>
          <t>Q1</t>
        </is>
      </c>
      <c r="C1522" t="inlineStr">
        <is>
          <t>Europe</t>
        </is>
      </c>
      <c r="D1522" t="inlineStr">
        <is>
          <t>Model X</t>
        </is>
      </c>
      <c r="E1522" t="n">
        <v>2072</v>
      </c>
      <c r="F1522" t="n">
        <v>114669.97</v>
      </c>
      <c r="G1522" t="n">
        <v>48</v>
      </c>
      <c r="H1522" t="inlineStr">
        <is>
          <t>Long Range</t>
        </is>
      </c>
      <c r="I1522" t="inlineStr">
        <is>
          <t>AWD</t>
        </is>
      </c>
      <c r="J1522" t="inlineStr">
        <is>
          <t>Black</t>
        </is>
      </c>
      <c r="K1522" t="n">
        <v>624</v>
      </c>
      <c r="L1522" t="n">
        <v>57</v>
      </c>
      <c r="M1522" t="n">
        <v>18.29</v>
      </c>
      <c r="N1522" t="n">
        <v>1199.09</v>
      </c>
      <c r="O1522" t="n">
        <v>4.17</v>
      </c>
      <c r="P1522" t="n">
        <v>8</v>
      </c>
      <c r="Q1522" t="n">
        <v>0</v>
      </c>
      <c r="R1522" t="n">
        <v>2022.3</v>
      </c>
      <c r="S1522" t="b">
        <v>1</v>
      </c>
      <c r="T1522" t="n">
        <v>4590111</v>
      </c>
      <c r="U1522" t="n">
        <v>9</v>
      </c>
      <c r="V1522" t="n">
        <v>0.06759999999999999</v>
      </c>
      <c r="W1522" t="n">
        <v>2.32</v>
      </c>
      <c r="X1522" t="n">
        <v>72.8</v>
      </c>
      <c r="Y1522">
        <f>VLOOKUP(D1522,$AB$2:$AC$7,2,FALSE)</f>
        <v/>
      </c>
      <c r="Z1522">
        <f>IF(A1522&lt;Y1522,"Yes","No")</f>
        <v/>
      </c>
    </row>
    <row r="1523">
      <c r="A1523" t="n">
        <v>2018</v>
      </c>
      <c r="B1523" t="inlineStr">
        <is>
          <t>Q4</t>
        </is>
      </c>
      <c r="C1523" t="inlineStr">
        <is>
          <t>Asia</t>
        </is>
      </c>
      <c r="D1523" t="inlineStr">
        <is>
          <t>Model S</t>
        </is>
      </c>
      <c r="E1523" t="n">
        <v>4466</v>
      </c>
      <c r="F1523" t="n">
        <v>94568</v>
      </c>
      <c r="G1523" t="n">
        <v>57</v>
      </c>
      <c r="H1523" t="inlineStr">
        <is>
          <t>Long Range</t>
        </is>
      </c>
      <c r="I1523" t="inlineStr">
        <is>
          <t>RWD</t>
        </is>
      </c>
      <c r="J1523" t="inlineStr">
        <is>
          <t>Black</t>
        </is>
      </c>
      <c r="K1523" t="n">
        <v>388</v>
      </c>
      <c r="L1523" t="n">
        <v>32</v>
      </c>
      <c r="M1523" t="n">
        <v>18.39</v>
      </c>
      <c r="N1523" t="n">
        <v>5252.38</v>
      </c>
      <c r="O1523" t="n">
        <v>4.69</v>
      </c>
      <c r="P1523" t="n">
        <v>4</v>
      </c>
      <c r="Q1523" t="n">
        <v>0</v>
      </c>
      <c r="R1523" t="n">
        <v>2021.4</v>
      </c>
      <c r="S1523" t="b">
        <v>1</v>
      </c>
      <c r="T1523" t="n">
        <v>3206896</v>
      </c>
      <c r="U1523" t="n">
        <v>3</v>
      </c>
      <c r="V1523" t="n">
        <v>0.0117</v>
      </c>
      <c r="W1523" t="n">
        <v>1.85</v>
      </c>
      <c r="X1523" t="n">
        <v>84.12</v>
      </c>
      <c r="Y1523">
        <f>VLOOKUP(D1523,$AB$2:$AC$7,2,FALSE)</f>
        <v/>
      </c>
      <c r="Z1523">
        <f>IF(A1523&lt;Y1523,"Yes","No")</f>
        <v/>
      </c>
    </row>
    <row r="1524">
      <c r="A1524" t="n">
        <v>2021</v>
      </c>
      <c r="B1524" t="inlineStr">
        <is>
          <t>Q4</t>
        </is>
      </c>
      <c r="C1524" t="inlineStr">
        <is>
          <t>Europe</t>
        </is>
      </c>
      <c r="D1524" t="inlineStr">
        <is>
          <t>Model X</t>
        </is>
      </c>
      <c r="E1524" t="n">
        <v>3834</v>
      </c>
      <c r="F1524" t="n">
        <v>103367.79</v>
      </c>
      <c r="G1524" t="n">
        <v>8</v>
      </c>
      <c r="H1524" t="inlineStr">
        <is>
          <t>Long Range</t>
        </is>
      </c>
      <c r="I1524" t="inlineStr">
        <is>
          <t>RWD</t>
        </is>
      </c>
      <c r="J1524" t="inlineStr">
        <is>
          <t>Black</t>
        </is>
      </c>
      <c r="K1524" t="n">
        <v>571</v>
      </c>
      <c r="L1524" t="n">
        <v>52</v>
      </c>
      <c r="M1524" t="n">
        <v>16.47</v>
      </c>
      <c r="N1524" t="n">
        <v>2413.36</v>
      </c>
      <c r="O1524" t="n">
        <v>4.62</v>
      </c>
      <c r="P1524" t="n">
        <v>5</v>
      </c>
      <c r="Q1524" t="n">
        <v>1</v>
      </c>
      <c r="R1524" t="n">
        <v>2023.7</v>
      </c>
      <c r="S1524" t="b">
        <v>1</v>
      </c>
      <c r="T1524" t="n">
        <v>4973194</v>
      </c>
      <c r="U1524" t="n">
        <v>10</v>
      </c>
      <c r="V1524" t="n">
        <v>0.0387</v>
      </c>
      <c r="W1524" t="n">
        <v>0.87</v>
      </c>
      <c r="X1524" t="n">
        <v>76.67</v>
      </c>
      <c r="Y1524">
        <f>VLOOKUP(D1524,$AB$2:$AC$7,2,FALSE)</f>
        <v/>
      </c>
      <c r="Z1524">
        <f>IF(A1524&lt;Y1524,"Yes","No")</f>
        <v/>
      </c>
    </row>
    <row r="1525">
      <c r="A1525" t="n">
        <v>2013</v>
      </c>
      <c r="B1525" t="inlineStr">
        <is>
          <t>Q2</t>
        </is>
      </c>
      <c r="C1525" t="inlineStr">
        <is>
          <t>South America</t>
        </is>
      </c>
      <c r="D1525" t="inlineStr">
        <is>
          <t>Cybertruck</t>
        </is>
      </c>
      <c r="E1525" t="n">
        <v>1612</v>
      </c>
      <c r="F1525" t="n">
        <v>112166.03</v>
      </c>
      <c r="G1525" t="n">
        <v>41</v>
      </c>
      <c r="H1525" t="inlineStr">
        <is>
          <t>Standard</t>
        </is>
      </c>
      <c r="I1525" t="inlineStr">
        <is>
          <t>AWD</t>
        </is>
      </c>
      <c r="J1525" t="inlineStr">
        <is>
          <t>Blue</t>
        </is>
      </c>
      <c r="K1525" t="n">
        <v>631</v>
      </c>
      <c r="L1525" t="n">
        <v>71</v>
      </c>
      <c r="M1525" t="n">
        <v>18.12</v>
      </c>
      <c r="N1525" t="n">
        <v>874.8099999999999</v>
      </c>
      <c r="O1525" t="n">
        <v>4.83</v>
      </c>
      <c r="P1525" t="n">
        <v>4</v>
      </c>
      <c r="Q1525" t="n">
        <v>2</v>
      </c>
      <c r="R1525" t="n">
        <v>2021.11</v>
      </c>
      <c r="S1525" t="b">
        <v>1</v>
      </c>
      <c r="T1525" t="n">
        <v>3055153</v>
      </c>
      <c r="U1525" t="n">
        <v>9</v>
      </c>
      <c r="V1525" t="n">
        <v>0.0796</v>
      </c>
      <c r="W1525" t="n">
        <v>0.96</v>
      </c>
      <c r="X1525" t="n">
        <v>75.63</v>
      </c>
      <c r="Y1525">
        <f>VLOOKUP(D1525,$AB$2:$AC$7,2,FALSE)</f>
        <v/>
      </c>
      <c r="Z1525">
        <f>IF(A1525&lt;Y1525,"Yes","No")</f>
        <v/>
      </c>
    </row>
    <row r="1526">
      <c r="A1526" t="n">
        <v>2021</v>
      </c>
      <c r="B1526" t="inlineStr">
        <is>
          <t>Q3</t>
        </is>
      </c>
      <c r="C1526" t="inlineStr">
        <is>
          <t>South America</t>
        </is>
      </c>
      <c r="D1526" t="inlineStr">
        <is>
          <t>Model 3</t>
        </is>
      </c>
      <c r="E1526" t="n">
        <v>629</v>
      </c>
      <c r="F1526" t="n">
        <v>104752.58</v>
      </c>
      <c r="G1526" t="n">
        <v>46</v>
      </c>
      <c r="H1526" t="inlineStr">
        <is>
          <t>Long Range</t>
        </is>
      </c>
      <c r="I1526" t="inlineStr">
        <is>
          <t>AWD</t>
        </is>
      </c>
      <c r="J1526" t="inlineStr">
        <is>
          <t>Green</t>
        </is>
      </c>
      <c r="K1526" t="n">
        <v>391</v>
      </c>
      <c r="L1526" t="n">
        <v>71</v>
      </c>
      <c r="M1526" t="n">
        <v>15.29</v>
      </c>
      <c r="N1526" t="n">
        <v>628.3</v>
      </c>
      <c r="O1526" t="n">
        <v>4.56</v>
      </c>
      <c r="P1526" t="n">
        <v>4</v>
      </c>
      <c r="Q1526" t="n">
        <v>2</v>
      </c>
      <c r="R1526" t="n">
        <v>2020.8</v>
      </c>
      <c r="S1526" t="b">
        <v>1</v>
      </c>
      <c r="T1526" t="n">
        <v>4257547</v>
      </c>
      <c r="U1526" t="n">
        <v>9</v>
      </c>
      <c r="V1526" t="n">
        <v>0.0437</v>
      </c>
      <c r="W1526" t="n">
        <v>1.95</v>
      </c>
      <c r="X1526" t="n">
        <v>76.55</v>
      </c>
      <c r="Y1526">
        <f>VLOOKUP(D1526,$AB$2:$AC$7,2,FALSE)</f>
        <v/>
      </c>
      <c r="Z1526">
        <f>IF(A1526&lt;Y1526,"Yes","No")</f>
        <v/>
      </c>
    </row>
    <row r="1527">
      <c r="A1527" t="n">
        <v>2024</v>
      </c>
      <c r="B1527" t="inlineStr">
        <is>
          <t>Q3</t>
        </is>
      </c>
      <c r="C1527" t="inlineStr">
        <is>
          <t>South America</t>
        </is>
      </c>
      <c r="D1527" t="inlineStr">
        <is>
          <t>Model X</t>
        </is>
      </c>
      <c r="E1527" t="n">
        <v>4783</v>
      </c>
      <c r="F1527" t="n">
        <v>86800.84</v>
      </c>
      <c r="G1527" t="n">
        <v>50</v>
      </c>
      <c r="H1527" t="inlineStr">
        <is>
          <t>Long Range</t>
        </is>
      </c>
      <c r="I1527" t="inlineStr">
        <is>
          <t>AWD</t>
        </is>
      </c>
      <c r="J1527" t="inlineStr">
        <is>
          <t>White</t>
        </is>
      </c>
      <c r="K1527" t="n">
        <v>583</v>
      </c>
      <c r="L1527" t="n">
        <v>54</v>
      </c>
      <c r="M1527" t="n">
        <v>19.05</v>
      </c>
      <c r="N1527" t="n">
        <v>9129.309999999999</v>
      </c>
      <c r="O1527" t="n">
        <v>4.12</v>
      </c>
      <c r="P1527" t="n">
        <v>4</v>
      </c>
      <c r="Q1527" t="n">
        <v>1</v>
      </c>
      <c r="R1527" t="n">
        <v>2024.1</v>
      </c>
      <c r="S1527" t="b">
        <v>0</v>
      </c>
      <c r="T1527" t="n">
        <v>4955334</v>
      </c>
      <c r="U1527" t="n">
        <v>7</v>
      </c>
      <c r="V1527" t="n">
        <v>0.0166</v>
      </c>
      <c r="W1527" t="n">
        <v>2.06</v>
      </c>
      <c r="X1527" t="n">
        <v>67.72</v>
      </c>
      <c r="Y1527">
        <f>VLOOKUP(D1527,$AB$2:$AC$7,2,FALSE)</f>
        <v/>
      </c>
      <c r="Z1527">
        <f>IF(A1527&lt;Y1527,"Yes","No")</f>
        <v/>
      </c>
    </row>
    <row r="1528">
      <c r="A1528" t="n">
        <v>2016</v>
      </c>
      <c r="B1528" t="inlineStr">
        <is>
          <t>Q3</t>
        </is>
      </c>
      <c r="C1528" t="inlineStr">
        <is>
          <t>Asia</t>
        </is>
      </c>
      <c r="D1528" t="inlineStr">
        <is>
          <t>Semi</t>
        </is>
      </c>
      <c r="E1528" t="n">
        <v>1453</v>
      </c>
      <c r="F1528" t="n">
        <v>48845.08</v>
      </c>
      <c r="G1528" t="n">
        <v>23</v>
      </c>
      <c r="H1528" t="inlineStr">
        <is>
          <t>Performance</t>
        </is>
      </c>
      <c r="I1528" t="inlineStr">
        <is>
          <t>RWD</t>
        </is>
      </c>
      <c r="J1528" t="inlineStr">
        <is>
          <t>White</t>
        </is>
      </c>
      <c r="K1528" t="n">
        <v>401</v>
      </c>
      <c r="L1528" t="n">
        <v>42</v>
      </c>
      <c r="M1528" t="n">
        <v>22.81</v>
      </c>
      <c r="N1528" t="n">
        <v>3122.4</v>
      </c>
      <c r="O1528" t="n">
        <v>4.56</v>
      </c>
      <c r="P1528" t="n">
        <v>6</v>
      </c>
      <c r="Q1528" t="n">
        <v>0</v>
      </c>
      <c r="R1528" t="n">
        <v>2022.5</v>
      </c>
      <c r="S1528" t="b">
        <v>1</v>
      </c>
      <c r="T1528" t="n">
        <v>4980786</v>
      </c>
      <c r="U1528" t="n">
        <v>8</v>
      </c>
      <c r="V1528" t="n">
        <v>0.0287</v>
      </c>
      <c r="W1528" t="n">
        <v>1.88</v>
      </c>
      <c r="X1528" t="n">
        <v>63.29</v>
      </c>
      <c r="Y1528">
        <f>VLOOKUP(D1528,$AB$2:$AC$7,2,FALSE)</f>
        <v/>
      </c>
      <c r="Z1528">
        <f>IF(A1528&lt;Y1528,"Yes","No")</f>
        <v/>
      </c>
    </row>
    <row r="1529">
      <c r="A1529" t="n">
        <v>2023</v>
      </c>
      <c r="B1529" t="inlineStr">
        <is>
          <t>Q1</t>
        </is>
      </c>
      <c r="C1529" t="inlineStr">
        <is>
          <t>North America</t>
        </is>
      </c>
      <c r="D1529" t="inlineStr">
        <is>
          <t>Cybertruck</t>
        </is>
      </c>
      <c r="E1529" t="n">
        <v>3414</v>
      </c>
      <c r="F1529" t="n">
        <v>77320.16</v>
      </c>
      <c r="G1529" t="n">
        <v>21</v>
      </c>
      <c r="H1529" t="inlineStr">
        <is>
          <t>Standard</t>
        </is>
      </c>
      <c r="I1529" t="inlineStr">
        <is>
          <t>AWD</t>
        </is>
      </c>
      <c r="J1529" t="inlineStr">
        <is>
          <t>Blue</t>
        </is>
      </c>
      <c r="K1529" t="n">
        <v>467</v>
      </c>
      <c r="L1529" t="n">
        <v>55</v>
      </c>
      <c r="M1529" t="n">
        <v>22.08</v>
      </c>
      <c r="N1529" t="n">
        <v>6719.67</v>
      </c>
      <c r="O1529" t="n">
        <v>3.51</v>
      </c>
      <c r="P1529" t="n">
        <v>6</v>
      </c>
      <c r="Q1529" t="n">
        <v>0</v>
      </c>
      <c r="R1529" t="n">
        <v>2022.2</v>
      </c>
      <c r="S1529" t="b">
        <v>0</v>
      </c>
      <c r="T1529" t="n">
        <v>2091044</v>
      </c>
      <c r="U1529" t="n">
        <v>9</v>
      </c>
      <c r="V1529" t="n">
        <v>0.0895</v>
      </c>
      <c r="W1529" t="n">
        <v>2.31</v>
      </c>
      <c r="X1529" t="n">
        <v>64.22</v>
      </c>
      <c r="Y1529">
        <f>VLOOKUP(D1529,$AB$2:$AC$7,2,FALSE)</f>
        <v/>
      </c>
      <c r="Z1529">
        <f>IF(A1529&lt;Y1529,"Yes","No")</f>
        <v/>
      </c>
    </row>
    <row r="1530">
      <c r="A1530" t="n">
        <v>2016</v>
      </c>
      <c r="B1530" t="inlineStr">
        <is>
          <t>Q2</t>
        </is>
      </c>
      <c r="C1530" t="inlineStr">
        <is>
          <t>Australia</t>
        </is>
      </c>
      <c r="D1530" t="inlineStr">
        <is>
          <t>Semi</t>
        </is>
      </c>
      <c r="E1530" t="n">
        <v>4038</v>
      </c>
      <c r="F1530" t="n">
        <v>106678.64</v>
      </c>
      <c r="G1530" t="n">
        <v>50</v>
      </c>
      <c r="H1530" t="inlineStr">
        <is>
          <t>Long Range</t>
        </is>
      </c>
      <c r="I1530" t="inlineStr">
        <is>
          <t>AWD</t>
        </is>
      </c>
      <c r="J1530" t="inlineStr">
        <is>
          <t>Green</t>
        </is>
      </c>
      <c r="K1530" t="n">
        <v>451</v>
      </c>
      <c r="L1530" t="n">
        <v>86</v>
      </c>
      <c r="M1530" t="n">
        <v>24.47</v>
      </c>
      <c r="N1530" t="n">
        <v>7498</v>
      </c>
      <c r="O1530" t="n">
        <v>3.82</v>
      </c>
      <c r="P1530" t="n">
        <v>4</v>
      </c>
      <c r="Q1530" t="n">
        <v>1</v>
      </c>
      <c r="R1530" t="n">
        <v>2024.2</v>
      </c>
      <c r="S1530" t="b">
        <v>0</v>
      </c>
      <c r="T1530" t="n">
        <v>629558</v>
      </c>
      <c r="U1530" t="n">
        <v>10</v>
      </c>
      <c r="V1530" t="n">
        <v>0.0834</v>
      </c>
      <c r="W1530" t="n">
        <v>1.81</v>
      </c>
      <c r="X1530" t="n">
        <v>77.11</v>
      </c>
      <c r="Y1530">
        <f>VLOOKUP(D1530,$AB$2:$AC$7,2,FALSE)</f>
        <v/>
      </c>
      <c r="Z1530">
        <f>IF(A1530&lt;Y1530,"Yes","No")</f>
        <v/>
      </c>
    </row>
    <row r="1531">
      <c r="A1531" t="n">
        <v>2015</v>
      </c>
      <c r="B1531" t="inlineStr">
        <is>
          <t>Q3</t>
        </is>
      </c>
      <c r="C1531" t="inlineStr">
        <is>
          <t>Asia</t>
        </is>
      </c>
      <c r="D1531" t="inlineStr">
        <is>
          <t>Semi</t>
        </is>
      </c>
      <c r="E1531" t="n">
        <v>3680</v>
      </c>
      <c r="F1531" t="n">
        <v>98046.5</v>
      </c>
      <c r="G1531" t="n">
        <v>54</v>
      </c>
      <c r="H1531" t="inlineStr">
        <is>
          <t>Performance</t>
        </is>
      </c>
      <c r="I1531" t="inlineStr">
        <is>
          <t>RWD</t>
        </is>
      </c>
      <c r="J1531" t="inlineStr">
        <is>
          <t>Black</t>
        </is>
      </c>
      <c r="K1531" t="n">
        <v>411</v>
      </c>
      <c r="L1531" t="n">
        <v>34</v>
      </c>
      <c r="M1531" t="n">
        <v>23.84</v>
      </c>
      <c r="N1531" t="n">
        <v>5087.5</v>
      </c>
      <c r="O1531" t="n">
        <v>3.98</v>
      </c>
      <c r="P1531" t="n">
        <v>8</v>
      </c>
      <c r="Q1531" t="n">
        <v>1</v>
      </c>
      <c r="R1531" t="n">
        <v>2023.4</v>
      </c>
      <c r="S1531" t="b">
        <v>1</v>
      </c>
      <c r="T1531" t="n">
        <v>835509</v>
      </c>
      <c r="U1531" t="n">
        <v>6</v>
      </c>
      <c r="V1531" t="n">
        <v>0.0646</v>
      </c>
      <c r="W1531" t="n">
        <v>2.41</v>
      </c>
      <c r="X1531" t="n">
        <v>67.16</v>
      </c>
      <c r="Y1531">
        <f>VLOOKUP(D1531,$AB$2:$AC$7,2,FALSE)</f>
        <v/>
      </c>
      <c r="Z1531">
        <f>IF(A1531&lt;Y1531,"Yes","No")</f>
        <v/>
      </c>
    </row>
    <row r="1532">
      <c r="A1532" t="n">
        <v>2013</v>
      </c>
      <c r="B1532" t="inlineStr">
        <is>
          <t>Q1</t>
        </is>
      </c>
      <c r="C1532" t="inlineStr">
        <is>
          <t>South America</t>
        </is>
      </c>
      <c r="D1532" t="inlineStr">
        <is>
          <t>Cybertruck</t>
        </is>
      </c>
      <c r="E1532" t="n">
        <v>3349</v>
      </c>
      <c r="F1532" t="n">
        <v>48767.78</v>
      </c>
      <c r="G1532" t="n">
        <v>15</v>
      </c>
      <c r="H1532" t="inlineStr">
        <is>
          <t>Standard</t>
        </is>
      </c>
      <c r="I1532" t="inlineStr">
        <is>
          <t>RWD</t>
        </is>
      </c>
      <c r="J1532" t="inlineStr">
        <is>
          <t>Green</t>
        </is>
      </c>
      <c r="K1532" t="n">
        <v>521</v>
      </c>
      <c r="L1532" t="n">
        <v>80</v>
      </c>
      <c r="M1532" t="n">
        <v>24.65</v>
      </c>
      <c r="N1532" t="n">
        <v>7626.48</v>
      </c>
      <c r="O1532" t="n">
        <v>4.51</v>
      </c>
      <c r="P1532" t="n">
        <v>4</v>
      </c>
      <c r="Q1532" t="n">
        <v>0</v>
      </c>
      <c r="R1532" t="n">
        <v>2021.9</v>
      </c>
      <c r="S1532" t="b">
        <v>1</v>
      </c>
      <c r="T1532" t="n">
        <v>4373419</v>
      </c>
      <c r="U1532" t="n">
        <v>2</v>
      </c>
      <c r="V1532" t="n">
        <v>0.0319</v>
      </c>
      <c r="W1532" t="n">
        <v>1.33</v>
      </c>
      <c r="X1532" t="n">
        <v>76.41</v>
      </c>
      <c r="Y1532">
        <f>VLOOKUP(D1532,$AB$2:$AC$7,2,FALSE)</f>
        <v/>
      </c>
      <c r="Z1532">
        <f>IF(A1532&lt;Y1532,"Yes","No")</f>
        <v/>
      </c>
    </row>
    <row r="1533">
      <c r="A1533" t="n">
        <v>2017</v>
      </c>
      <c r="B1533" t="inlineStr">
        <is>
          <t>Q1</t>
        </is>
      </c>
      <c r="C1533" t="inlineStr">
        <is>
          <t>North America</t>
        </is>
      </c>
      <c r="D1533" t="inlineStr">
        <is>
          <t>Model S</t>
        </is>
      </c>
      <c r="E1533" t="n">
        <v>1106</v>
      </c>
      <c r="F1533" t="n">
        <v>40756.39</v>
      </c>
      <c r="G1533" t="n">
        <v>9</v>
      </c>
      <c r="H1533" t="inlineStr">
        <is>
          <t>Long Range</t>
        </is>
      </c>
      <c r="I1533" t="inlineStr">
        <is>
          <t>AWD</t>
        </is>
      </c>
      <c r="J1533" t="inlineStr">
        <is>
          <t>Green</t>
        </is>
      </c>
      <c r="K1533" t="n">
        <v>479</v>
      </c>
      <c r="L1533" t="n">
        <v>31</v>
      </c>
      <c r="M1533" t="n">
        <v>19.53</v>
      </c>
      <c r="N1533" t="n">
        <v>1543.4</v>
      </c>
      <c r="O1533" t="n">
        <v>3.7</v>
      </c>
      <c r="P1533" t="n">
        <v>6</v>
      </c>
      <c r="Q1533" t="n">
        <v>3</v>
      </c>
      <c r="R1533" t="n">
        <v>2020.7</v>
      </c>
      <c r="S1533" t="b">
        <v>0</v>
      </c>
      <c r="T1533" t="n">
        <v>4570782</v>
      </c>
      <c r="U1533" t="n">
        <v>9</v>
      </c>
      <c r="V1533" t="n">
        <v>0.0677</v>
      </c>
      <c r="W1533" t="n">
        <v>1.76</v>
      </c>
      <c r="X1533" t="n">
        <v>65.51000000000001</v>
      </c>
      <c r="Y1533">
        <f>VLOOKUP(D1533,$AB$2:$AC$7,2,FALSE)</f>
        <v/>
      </c>
      <c r="Z1533">
        <f>IF(A1533&lt;Y1533,"Yes","No")</f>
        <v/>
      </c>
    </row>
    <row r="1534">
      <c r="A1534" t="n">
        <v>2013</v>
      </c>
      <c r="B1534" t="inlineStr">
        <is>
          <t>Q3</t>
        </is>
      </c>
      <c r="C1534" t="inlineStr">
        <is>
          <t>South America</t>
        </is>
      </c>
      <c r="D1534" t="inlineStr">
        <is>
          <t>Cybertruck</t>
        </is>
      </c>
      <c r="E1534" t="n">
        <v>4751</v>
      </c>
      <c r="F1534" t="n">
        <v>75651.02</v>
      </c>
      <c r="G1534" t="n">
        <v>58</v>
      </c>
      <c r="H1534" t="inlineStr">
        <is>
          <t>Standard</t>
        </is>
      </c>
      <c r="I1534" t="inlineStr">
        <is>
          <t>AWD</t>
        </is>
      </c>
      <c r="J1534" t="inlineStr">
        <is>
          <t>Green</t>
        </is>
      </c>
      <c r="K1534" t="n">
        <v>415</v>
      </c>
      <c r="L1534" t="n">
        <v>31</v>
      </c>
      <c r="M1534" t="n">
        <v>16.36</v>
      </c>
      <c r="N1534" t="n">
        <v>8496.950000000001</v>
      </c>
      <c r="O1534" t="n">
        <v>4.5</v>
      </c>
      <c r="P1534" t="n">
        <v>6</v>
      </c>
      <c r="Q1534" t="n">
        <v>1</v>
      </c>
      <c r="R1534" t="n">
        <v>2021.5</v>
      </c>
      <c r="S1534" t="b">
        <v>0</v>
      </c>
      <c r="T1534" t="n">
        <v>1188080</v>
      </c>
      <c r="U1534" t="n">
        <v>3</v>
      </c>
      <c r="V1534" t="n">
        <v>0.0139</v>
      </c>
      <c r="W1534" t="n">
        <v>1.22</v>
      </c>
      <c r="X1534" t="n">
        <v>86.12</v>
      </c>
      <c r="Y1534">
        <f>VLOOKUP(D1534,$AB$2:$AC$7,2,FALSE)</f>
        <v/>
      </c>
      <c r="Z1534">
        <f>IF(A1534&lt;Y1534,"Yes","No")</f>
        <v/>
      </c>
    </row>
    <row r="1535">
      <c r="A1535" t="n">
        <v>2024</v>
      </c>
      <c r="B1535" t="inlineStr">
        <is>
          <t>Q1</t>
        </is>
      </c>
      <c r="C1535" t="inlineStr">
        <is>
          <t>Asia</t>
        </is>
      </c>
      <c r="D1535" t="inlineStr">
        <is>
          <t>Model Y</t>
        </is>
      </c>
      <c r="E1535" t="n">
        <v>65</v>
      </c>
      <c r="F1535" t="n">
        <v>40579.04</v>
      </c>
      <c r="G1535" t="n">
        <v>40</v>
      </c>
      <c r="H1535" t="inlineStr">
        <is>
          <t>Long Range</t>
        </is>
      </c>
      <c r="I1535" t="inlineStr">
        <is>
          <t>AWD</t>
        </is>
      </c>
      <c r="J1535" t="inlineStr">
        <is>
          <t>Black</t>
        </is>
      </c>
      <c r="K1535" t="n">
        <v>412</v>
      </c>
      <c r="L1535" t="n">
        <v>45</v>
      </c>
      <c r="M1535" t="n">
        <v>17.03</v>
      </c>
      <c r="N1535" t="n">
        <v>75.91</v>
      </c>
      <c r="O1535" t="n">
        <v>4.62</v>
      </c>
      <c r="P1535" t="n">
        <v>6</v>
      </c>
      <c r="Q1535" t="n">
        <v>1</v>
      </c>
      <c r="R1535" t="n">
        <v>2020.12</v>
      </c>
      <c r="S1535" t="b">
        <v>0</v>
      </c>
      <c r="T1535" t="n">
        <v>1330954</v>
      </c>
      <c r="U1535" t="n">
        <v>12</v>
      </c>
      <c r="V1535" t="n">
        <v>0.0713</v>
      </c>
      <c r="W1535" t="n">
        <v>1.86</v>
      </c>
      <c r="X1535" t="n">
        <v>77.90000000000001</v>
      </c>
      <c r="Y1535">
        <f>VLOOKUP(D1535,$AB$2:$AC$7,2,FALSE)</f>
        <v/>
      </c>
      <c r="Z1535">
        <f>IF(A1535&lt;Y1535,"Yes","No")</f>
        <v/>
      </c>
    </row>
    <row r="1536">
      <c r="A1536" t="n">
        <v>2017</v>
      </c>
      <c r="B1536" t="inlineStr">
        <is>
          <t>Q4</t>
        </is>
      </c>
      <c r="C1536" t="inlineStr">
        <is>
          <t>Australia</t>
        </is>
      </c>
      <c r="D1536" t="inlineStr">
        <is>
          <t>Model 3</t>
        </is>
      </c>
      <c r="E1536" t="n">
        <v>747</v>
      </c>
      <c r="F1536" t="n">
        <v>76575.31</v>
      </c>
      <c r="G1536" t="n">
        <v>50</v>
      </c>
      <c r="H1536" t="inlineStr">
        <is>
          <t>Standard</t>
        </is>
      </c>
      <c r="I1536" t="inlineStr">
        <is>
          <t>RWD</t>
        </is>
      </c>
      <c r="J1536" t="inlineStr">
        <is>
          <t>Green</t>
        </is>
      </c>
      <c r="K1536" t="n">
        <v>633</v>
      </c>
      <c r="L1536" t="n">
        <v>87</v>
      </c>
      <c r="M1536" t="n">
        <v>23.19</v>
      </c>
      <c r="N1536" t="n">
        <v>1051.71</v>
      </c>
      <c r="O1536" t="n">
        <v>4.14</v>
      </c>
      <c r="P1536" t="n">
        <v>8</v>
      </c>
      <c r="Q1536" t="n">
        <v>2</v>
      </c>
      <c r="R1536" t="n">
        <v>2020.4</v>
      </c>
      <c r="S1536" t="b">
        <v>0</v>
      </c>
      <c r="T1536" t="n">
        <v>3998347</v>
      </c>
      <c r="U1536" t="n">
        <v>12</v>
      </c>
      <c r="V1536" t="n">
        <v>0.0169</v>
      </c>
      <c r="W1536" t="n">
        <v>2.08</v>
      </c>
      <c r="X1536" t="n">
        <v>78.19</v>
      </c>
      <c r="Y1536">
        <f>VLOOKUP(D1536,$AB$2:$AC$7,2,FALSE)</f>
        <v/>
      </c>
      <c r="Z1536">
        <f>IF(A1536&lt;Y1536,"Yes","No")</f>
        <v/>
      </c>
    </row>
    <row r="1537">
      <c r="A1537" t="n">
        <v>2013</v>
      </c>
      <c r="B1537" t="inlineStr">
        <is>
          <t>Q2</t>
        </is>
      </c>
      <c r="C1537" t="inlineStr">
        <is>
          <t>South America</t>
        </is>
      </c>
      <c r="D1537" t="inlineStr">
        <is>
          <t>Model Y</t>
        </is>
      </c>
      <c r="E1537" t="n">
        <v>1366</v>
      </c>
      <c r="F1537" t="n">
        <v>38546.18</v>
      </c>
      <c r="G1537" t="n">
        <v>32</v>
      </c>
      <c r="H1537" t="inlineStr">
        <is>
          <t>Long Range</t>
        </is>
      </c>
      <c r="I1537" t="inlineStr">
        <is>
          <t>AWD</t>
        </is>
      </c>
      <c r="J1537" t="inlineStr">
        <is>
          <t>Red</t>
        </is>
      </c>
      <c r="K1537" t="n">
        <v>490</v>
      </c>
      <c r="L1537" t="n">
        <v>53</v>
      </c>
      <c r="M1537" t="n">
        <v>14.4</v>
      </c>
      <c r="N1537" t="n">
        <v>1373.96</v>
      </c>
      <c r="O1537" t="n">
        <v>4.01</v>
      </c>
      <c r="P1537" t="n">
        <v>8</v>
      </c>
      <c r="Q1537" t="n">
        <v>0</v>
      </c>
      <c r="R1537" t="n">
        <v>2023.12</v>
      </c>
      <c r="S1537" t="b">
        <v>1</v>
      </c>
      <c r="T1537" t="n">
        <v>2453418</v>
      </c>
      <c r="U1537" t="n">
        <v>3</v>
      </c>
      <c r="V1537" t="n">
        <v>0.0585</v>
      </c>
      <c r="W1537" t="n">
        <v>2.3</v>
      </c>
      <c r="X1537" t="n">
        <v>60.92</v>
      </c>
      <c r="Y1537">
        <f>VLOOKUP(D1537,$AB$2:$AC$7,2,FALSE)</f>
        <v/>
      </c>
      <c r="Z1537">
        <f>IF(A1537&lt;Y1537,"Yes","No")</f>
        <v/>
      </c>
    </row>
    <row r="1538">
      <c r="A1538" t="n">
        <v>2021</v>
      </c>
      <c r="B1538" t="inlineStr">
        <is>
          <t>Q4</t>
        </is>
      </c>
      <c r="C1538" t="inlineStr">
        <is>
          <t>Asia</t>
        </is>
      </c>
      <c r="D1538" t="inlineStr">
        <is>
          <t>Semi</t>
        </is>
      </c>
      <c r="E1538" t="n">
        <v>378</v>
      </c>
      <c r="F1538" t="n">
        <v>56077.88</v>
      </c>
      <c r="G1538" t="n">
        <v>40</v>
      </c>
      <c r="H1538" t="inlineStr">
        <is>
          <t>Standard</t>
        </is>
      </c>
      <c r="I1538" t="inlineStr">
        <is>
          <t>RWD</t>
        </is>
      </c>
      <c r="J1538" t="inlineStr">
        <is>
          <t>Blue</t>
        </is>
      </c>
      <c r="K1538" t="n">
        <v>513</v>
      </c>
      <c r="L1538" t="n">
        <v>62</v>
      </c>
      <c r="M1538" t="n">
        <v>16.98</v>
      </c>
      <c r="N1538" t="n">
        <v>334.69</v>
      </c>
      <c r="O1538" t="n">
        <v>4.35</v>
      </c>
      <c r="P1538" t="n">
        <v>6</v>
      </c>
      <c r="Q1538" t="n">
        <v>1</v>
      </c>
      <c r="R1538" t="n">
        <v>2023.12</v>
      </c>
      <c r="S1538" t="b">
        <v>1</v>
      </c>
      <c r="T1538" t="n">
        <v>376557</v>
      </c>
      <c r="U1538" t="n">
        <v>7</v>
      </c>
      <c r="V1538" t="n">
        <v>0.091</v>
      </c>
      <c r="W1538" t="n">
        <v>2.15</v>
      </c>
      <c r="X1538" t="n">
        <v>78.03</v>
      </c>
      <c r="Y1538">
        <f>VLOOKUP(D1538,$AB$2:$AC$7,2,FALSE)</f>
        <v/>
      </c>
      <c r="Z1538">
        <f>IF(A1538&lt;Y1538,"Yes","No")</f>
        <v/>
      </c>
    </row>
    <row r="1539">
      <c r="A1539" t="n">
        <v>2024</v>
      </c>
      <c r="B1539" t="inlineStr">
        <is>
          <t>Q2</t>
        </is>
      </c>
      <c r="C1539" t="inlineStr">
        <is>
          <t>South America</t>
        </is>
      </c>
      <c r="D1539" t="inlineStr">
        <is>
          <t>Model 3</t>
        </is>
      </c>
      <c r="E1539" t="n">
        <v>3720</v>
      </c>
      <c r="F1539" t="n">
        <v>41897.77</v>
      </c>
      <c r="G1539" t="n">
        <v>36</v>
      </c>
      <c r="H1539" t="inlineStr">
        <is>
          <t>Long Range</t>
        </is>
      </c>
      <c r="I1539" t="inlineStr">
        <is>
          <t>RWD</t>
        </is>
      </c>
      <c r="J1539" t="inlineStr">
        <is>
          <t>Red</t>
        </is>
      </c>
      <c r="K1539" t="n">
        <v>560</v>
      </c>
      <c r="L1539" t="n">
        <v>44</v>
      </c>
      <c r="M1539" t="n">
        <v>19.2</v>
      </c>
      <c r="N1539" t="n">
        <v>8164.95</v>
      </c>
      <c r="O1539" t="n">
        <v>4.84</v>
      </c>
      <c r="P1539" t="n">
        <v>4</v>
      </c>
      <c r="Q1539" t="n">
        <v>1</v>
      </c>
      <c r="R1539" t="n">
        <v>2020.12</v>
      </c>
      <c r="S1539" t="b">
        <v>0</v>
      </c>
      <c r="T1539" t="n">
        <v>726657</v>
      </c>
      <c r="U1539" t="n">
        <v>7</v>
      </c>
      <c r="V1539" t="n">
        <v>0.0277</v>
      </c>
      <c r="W1539" t="n">
        <v>1.62</v>
      </c>
      <c r="X1539" t="n">
        <v>68.37</v>
      </c>
      <c r="Y1539">
        <f>VLOOKUP(D1539,$AB$2:$AC$7,2,FALSE)</f>
        <v/>
      </c>
      <c r="Z1539">
        <f>IF(A1539&lt;Y1539,"Yes","No")</f>
        <v/>
      </c>
    </row>
    <row r="1540">
      <c r="A1540" t="n">
        <v>2012</v>
      </c>
      <c r="B1540" t="inlineStr">
        <is>
          <t>Q3</t>
        </is>
      </c>
      <c r="C1540" t="inlineStr">
        <is>
          <t>Asia</t>
        </is>
      </c>
      <c r="D1540" t="inlineStr">
        <is>
          <t>Semi</t>
        </is>
      </c>
      <c r="E1540" t="n">
        <v>2902</v>
      </c>
      <c r="F1540" t="n">
        <v>96114.02</v>
      </c>
      <c r="G1540" t="n">
        <v>48</v>
      </c>
      <c r="H1540" t="inlineStr">
        <is>
          <t>Standard</t>
        </is>
      </c>
      <c r="I1540" t="inlineStr">
        <is>
          <t>RWD</t>
        </is>
      </c>
      <c r="J1540" t="inlineStr">
        <is>
          <t>White</t>
        </is>
      </c>
      <c r="K1540" t="n">
        <v>494</v>
      </c>
      <c r="L1540" t="n">
        <v>89</v>
      </c>
      <c r="M1540" t="n">
        <v>22.11</v>
      </c>
      <c r="N1540" t="n">
        <v>1660.01</v>
      </c>
      <c r="O1540" t="n">
        <v>4.64</v>
      </c>
      <c r="P1540" t="n">
        <v>8</v>
      </c>
      <c r="Q1540" t="n">
        <v>3</v>
      </c>
      <c r="R1540" t="n">
        <v>2023.12</v>
      </c>
      <c r="S1540" t="b">
        <v>1</v>
      </c>
      <c r="T1540" t="n">
        <v>1236020</v>
      </c>
      <c r="U1540" t="n">
        <v>3</v>
      </c>
      <c r="V1540" t="n">
        <v>0.0786</v>
      </c>
      <c r="W1540" t="n">
        <v>0.5600000000000001</v>
      </c>
      <c r="X1540" t="n">
        <v>61.16</v>
      </c>
      <c r="Y1540">
        <f>VLOOKUP(D1540,$AB$2:$AC$7,2,FALSE)</f>
        <v/>
      </c>
      <c r="Z1540">
        <f>IF(A1540&lt;Y1540,"Yes","No")</f>
        <v/>
      </c>
    </row>
    <row r="1541">
      <c r="A1541" t="n">
        <v>2024</v>
      </c>
      <c r="B1541" t="inlineStr">
        <is>
          <t>Q2</t>
        </is>
      </c>
      <c r="C1541" t="inlineStr">
        <is>
          <t>North America</t>
        </is>
      </c>
      <c r="D1541" t="inlineStr">
        <is>
          <t>Model X</t>
        </is>
      </c>
      <c r="E1541" t="n">
        <v>227</v>
      </c>
      <c r="F1541" t="n">
        <v>100367.42</v>
      </c>
      <c r="G1541" t="n">
        <v>39</v>
      </c>
      <c r="H1541" t="inlineStr">
        <is>
          <t>Long Range</t>
        </is>
      </c>
      <c r="I1541" t="inlineStr">
        <is>
          <t>RWD</t>
        </is>
      </c>
      <c r="J1541" t="inlineStr">
        <is>
          <t>Red</t>
        </is>
      </c>
      <c r="K1541" t="n">
        <v>413</v>
      </c>
      <c r="L1541" t="n">
        <v>80</v>
      </c>
      <c r="M1541" t="n">
        <v>15.09</v>
      </c>
      <c r="N1541" t="n">
        <v>296.25</v>
      </c>
      <c r="O1541" t="n">
        <v>4.53</v>
      </c>
      <c r="P1541" t="n">
        <v>6</v>
      </c>
      <c r="Q1541" t="n">
        <v>3</v>
      </c>
      <c r="R1541" t="n">
        <v>2024.12</v>
      </c>
      <c r="S1541" t="b">
        <v>1</v>
      </c>
      <c r="T1541" t="n">
        <v>2444520</v>
      </c>
      <c r="U1541" t="n">
        <v>3</v>
      </c>
      <c r="V1541" t="n">
        <v>0.0948</v>
      </c>
      <c r="W1541" t="n">
        <v>0.55</v>
      </c>
      <c r="X1541" t="n">
        <v>80.81999999999999</v>
      </c>
      <c r="Y1541">
        <f>VLOOKUP(D1541,$AB$2:$AC$7,2,FALSE)</f>
        <v/>
      </c>
      <c r="Z1541">
        <f>IF(A1541&lt;Y1541,"Yes","No")</f>
        <v/>
      </c>
    </row>
    <row r="1542">
      <c r="A1542" t="n">
        <v>2016</v>
      </c>
      <c r="B1542" t="inlineStr">
        <is>
          <t>Q4</t>
        </is>
      </c>
      <c r="C1542" t="inlineStr">
        <is>
          <t>Australia</t>
        </is>
      </c>
      <c r="D1542" t="inlineStr">
        <is>
          <t>Model Y</t>
        </is>
      </c>
      <c r="E1542" t="n">
        <v>720</v>
      </c>
      <c r="F1542" t="n">
        <v>79354.42</v>
      </c>
      <c r="G1542" t="n">
        <v>16</v>
      </c>
      <c r="H1542" t="inlineStr">
        <is>
          <t>Long Range</t>
        </is>
      </c>
      <c r="I1542" t="inlineStr">
        <is>
          <t>AWD</t>
        </is>
      </c>
      <c r="J1542" t="inlineStr">
        <is>
          <t>Blue</t>
        </is>
      </c>
      <c r="K1542" t="n">
        <v>414</v>
      </c>
      <c r="L1542" t="n">
        <v>79</v>
      </c>
      <c r="M1542" t="n">
        <v>16.51</v>
      </c>
      <c r="N1542" t="n">
        <v>1546.16</v>
      </c>
      <c r="O1542" t="n">
        <v>4.94</v>
      </c>
      <c r="P1542" t="n">
        <v>4</v>
      </c>
      <c r="Q1542" t="n">
        <v>2</v>
      </c>
      <c r="R1542" t="n">
        <v>2024.9</v>
      </c>
      <c r="S1542" t="b">
        <v>0</v>
      </c>
      <c r="T1542" t="n">
        <v>4042804</v>
      </c>
      <c r="U1542" t="n">
        <v>3</v>
      </c>
      <c r="V1542" t="n">
        <v>0.0203</v>
      </c>
      <c r="W1542" t="n">
        <v>0.53</v>
      </c>
      <c r="X1542" t="n">
        <v>63.52</v>
      </c>
      <c r="Y1542">
        <f>VLOOKUP(D1542,$AB$2:$AC$7,2,FALSE)</f>
        <v/>
      </c>
      <c r="Z1542">
        <f>IF(A1542&lt;Y1542,"Yes","No")</f>
        <v/>
      </c>
    </row>
    <row r="1543">
      <c r="A1543" t="n">
        <v>2019</v>
      </c>
      <c r="B1543" t="inlineStr">
        <is>
          <t>Q4</t>
        </is>
      </c>
      <c r="C1543" t="inlineStr">
        <is>
          <t>North America</t>
        </is>
      </c>
      <c r="D1543" t="inlineStr">
        <is>
          <t>Model 3</t>
        </is>
      </c>
      <c r="E1543" t="n">
        <v>2034</v>
      </c>
      <c r="F1543" t="n">
        <v>48347.56</v>
      </c>
      <c r="G1543" t="n">
        <v>29</v>
      </c>
      <c r="H1543" t="inlineStr">
        <is>
          <t>Standard</t>
        </is>
      </c>
      <c r="I1543" t="inlineStr">
        <is>
          <t>RWD</t>
        </is>
      </c>
      <c r="J1543" t="inlineStr">
        <is>
          <t>Green</t>
        </is>
      </c>
      <c r="K1543" t="n">
        <v>500</v>
      </c>
      <c r="L1543" t="n">
        <v>44</v>
      </c>
      <c r="M1543" t="n">
        <v>22.43</v>
      </c>
      <c r="N1543" t="n">
        <v>1135.58</v>
      </c>
      <c r="O1543" t="n">
        <v>3.87</v>
      </c>
      <c r="P1543" t="n">
        <v>6</v>
      </c>
      <c r="Q1543" t="n">
        <v>3</v>
      </c>
      <c r="R1543" t="n">
        <v>2023.9</v>
      </c>
      <c r="S1543" t="b">
        <v>0</v>
      </c>
      <c r="T1543" t="n">
        <v>2250562</v>
      </c>
      <c r="U1543" t="n">
        <v>11</v>
      </c>
      <c r="V1543" t="n">
        <v>0.083</v>
      </c>
      <c r="W1543" t="n">
        <v>1.86</v>
      </c>
      <c r="X1543" t="n">
        <v>82.64</v>
      </c>
      <c r="Y1543">
        <f>VLOOKUP(D1543,$AB$2:$AC$7,2,FALSE)</f>
        <v/>
      </c>
      <c r="Z1543">
        <f>IF(A1543&lt;Y1543,"Yes","No")</f>
        <v/>
      </c>
    </row>
    <row r="1544">
      <c r="A1544" t="n">
        <v>2022</v>
      </c>
      <c r="B1544" t="inlineStr">
        <is>
          <t>Q1</t>
        </is>
      </c>
      <c r="C1544" t="inlineStr">
        <is>
          <t>Asia</t>
        </is>
      </c>
      <c r="D1544" t="inlineStr">
        <is>
          <t>Model 3</t>
        </is>
      </c>
      <c r="E1544" t="n">
        <v>4255</v>
      </c>
      <c r="F1544" t="n">
        <v>118522.04</v>
      </c>
      <c r="G1544" t="n">
        <v>51</v>
      </c>
      <c r="H1544" t="inlineStr">
        <is>
          <t>Long Range</t>
        </is>
      </c>
      <c r="I1544" t="inlineStr">
        <is>
          <t>RWD</t>
        </is>
      </c>
      <c r="J1544" t="inlineStr">
        <is>
          <t>Silver</t>
        </is>
      </c>
      <c r="K1544" t="n">
        <v>654</v>
      </c>
      <c r="L1544" t="n">
        <v>86</v>
      </c>
      <c r="M1544" t="n">
        <v>21.89</v>
      </c>
      <c r="N1544" t="n">
        <v>10071.57</v>
      </c>
      <c r="O1544" t="n">
        <v>4.36</v>
      </c>
      <c r="P1544" t="n">
        <v>6</v>
      </c>
      <c r="Q1544" t="n">
        <v>3</v>
      </c>
      <c r="R1544" t="n">
        <v>2024.3</v>
      </c>
      <c r="S1544" t="b">
        <v>0</v>
      </c>
      <c r="T1544" t="n">
        <v>4018453</v>
      </c>
      <c r="U1544" t="n">
        <v>2</v>
      </c>
      <c r="V1544" t="n">
        <v>0.0354</v>
      </c>
      <c r="W1544" t="n">
        <v>1.55</v>
      </c>
      <c r="X1544" t="n">
        <v>63.16</v>
      </c>
      <c r="Y1544">
        <f>VLOOKUP(D1544,$AB$2:$AC$7,2,FALSE)</f>
        <v/>
      </c>
      <c r="Z1544">
        <f>IF(A1544&lt;Y1544,"Yes","No")</f>
        <v/>
      </c>
    </row>
    <row r="1545">
      <c r="A1545" t="n">
        <v>2022</v>
      </c>
      <c r="B1545" t="inlineStr">
        <is>
          <t>Q2</t>
        </is>
      </c>
      <c r="C1545" t="inlineStr">
        <is>
          <t>North America</t>
        </is>
      </c>
      <c r="D1545" t="inlineStr">
        <is>
          <t>Model S</t>
        </is>
      </c>
      <c r="E1545" t="n">
        <v>4241</v>
      </c>
      <c r="F1545" t="n">
        <v>71210.42999999999</v>
      </c>
      <c r="G1545" t="n">
        <v>18</v>
      </c>
      <c r="H1545" t="inlineStr">
        <is>
          <t>Standard</t>
        </is>
      </c>
      <c r="I1545" t="inlineStr">
        <is>
          <t>AWD</t>
        </is>
      </c>
      <c r="J1545" t="inlineStr">
        <is>
          <t>Black</t>
        </is>
      </c>
      <c r="K1545" t="n">
        <v>392</v>
      </c>
      <c r="L1545" t="n">
        <v>82</v>
      </c>
      <c r="M1545" t="n">
        <v>16.17</v>
      </c>
      <c r="N1545" t="n">
        <v>5150.89</v>
      </c>
      <c r="O1545" t="n">
        <v>4.07</v>
      </c>
      <c r="P1545" t="n">
        <v>6</v>
      </c>
      <c r="Q1545" t="n">
        <v>0</v>
      </c>
      <c r="R1545" t="n">
        <v>2024.2</v>
      </c>
      <c r="S1545" t="b">
        <v>1</v>
      </c>
      <c r="T1545" t="n">
        <v>3989935</v>
      </c>
      <c r="U1545" t="n">
        <v>7</v>
      </c>
      <c r="V1545" t="n">
        <v>0.0635</v>
      </c>
      <c r="W1545" t="n">
        <v>2.3</v>
      </c>
      <c r="X1545" t="n">
        <v>74.23999999999999</v>
      </c>
      <c r="Y1545">
        <f>VLOOKUP(D1545,$AB$2:$AC$7,2,FALSE)</f>
        <v/>
      </c>
      <c r="Z1545">
        <f>IF(A1545&lt;Y1545,"Yes","No")</f>
        <v/>
      </c>
    </row>
    <row r="1546">
      <c r="A1546" t="n">
        <v>2012</v>
      </c>
      <c r="B1546" t="inlineStr">
        <is>
          <t>Q2</t>
        </is>
      </c>
      <c r="C1546" t="inlineStr">
        <is>
          <t>Asia</t>
        </is>
      </c>
      <c r="D1546" t="inlineStr">
        <is>
          <t>Model 3</t>
        </is>
      </c>
      <c r="E1546" t="n">
        <v>3820</v>
      </c>
      <c r="F1546" t="n">
        <v>58019.01</v>
      </c>
      <c r="G1546" t="n">
        <v>46</v>
      </c>
      <c r="H1546" t="inlineStr">
        <is>
          <t>Standard</t>
        </is>
      </c>
      <c r="I1546" t="inlineStr">
        <is>
          <t>RWD</t>
        </is>
      </c>
      <c r="J1546" t="inlineStr">
        <is>
          <t>Blue</t>
        </is>
      </c>
      <c r="K1546" t="n">
        <v>699</v>
      </c>
      <c r="L1546" t="n">
        <v>60</v>
      </c>
      <c r="M1546" t="n">
        <v>16.55</v>
      </c>
      <c r="N1546" t="n">
        <v>9339.940000000001</v>
      </c>
      <c r="O1546" t="n">
        <v>4.69</v>
      </c>
      <c r="P1546" t="n">
        <v>6</v>
      </c>
      <c r="Q1546" t="n">
        <v>1</v>
      </c>
      <c r="R1546" t="n">
        <v>2023.3</v>
      </c>
      <c r="S1546" t="b">
        <v>0</v>
      </c>
      <c r="T1546" t="n">
        <v>866799</v>
      </c>
      <c r="U1546" t="n">
        <v>12</v>
      </c>
      <c r="V1546" t="n">
        <v>0.07049999999999999</v>
      </c>
      <c r="W1546" t="n">
        <v>0.91</v>
      </c>
      <c r="X1546" t="n">
        <v>62.19</v>
      </c>
      <c r="Y1546">
        <f>VLOOKUP(D1546,$AB$2:$AC$7,2,FALSE)</f>
        <v/>
      </c>
      <c r="Z1546">
        <f>IF(A1546&lt;Y1546,"Yes","No")</f>
        <v/>
      </c>
    </row>
    <row r="1547">
      <c r="A1547" t="n">
        <v>2017</v>
      </c>
      <c r="B1547" t="inlineStr">
        <is>
          <t>Q3</t>
        </is>
      </c>
      <c r="C1547" t="inlineStr">
        <is>
          <t>North America</t>
        </is>
      </c>
      <c r="D1547" t="inlineStr">
        <is>
          <t>Semi</t>
        </is>
      </c>
      <c r="E1547" t="n">
        <v>594</v>
      </c>
      <c r="F1547" t="n">
        <v>44651.12</v>
      </c>
      <c r="G1547" t="n">
        <v>53</v>
      </c>
      <c r="H1547" t="inlineStr">
        <is>
          <t>Standard</t>
        </is>
      </c>
      <c r="I1547" t="inlineStr">
        <is>
          <t>AWD</t>
        </is>
      </c>
      <c r="J1547" t="inlineStr">
        <is>
          <t>Red</t>
        </is>
      </c>
      <c r="K1547" t="n">
        <v>544</v>
      </c>
      <c r="L1547" t="n">
        <v>30</v>
      </c>
      <c r="M1547" t="n">
        <v>18.87</v>
      </c>
      <c r="N1547" t="n">
        <v>591.4400000000001</v>
      </c>
      <c r="O1547" t="n">
        <v>4.1</v>
      </c>
      <c r="P1547" t="n">
        <v>5</v>
      </c>
      <c r="Q1547" t="n">
        <v>0</v>
      </c>
      <c r="R1547" t="n">
        <v>2020.6</v>
      </c>
      <c r="S1547" t="b">
        <v>1</v>
      </c>
      <c r="T1547" t="n">
        <v>1580893</v>
      </c>
      <c r="U1547" t="n">
        <v>3</v>
      </c>
      <c r="V1547" t="n">
        <v>0.098</v>
      </c>
      <c r="W1547" t="n">
        <v>1.12</v>
      </c>
      <c r="X1547" t="n">
        <v>64.92</v>
      </c>
      <c r="Y1547">
        <f>VLOOKUP(D1547,$AB$2:$AC$7,2,FALSE)</f>
        <v/>
      </c>
      <c r="Z1547">
        <f>IF(A1547&lt;Y1547,"Yes","No")</f>
        <v/>
      </c>
    </row>
    <row r="1548">
      <c r="A1548" t="n">
        <v>2018</v>
      </c>
      <c r="B1548" t="inlineStr">
        <is>
          <t>Q4</t>
        </is>
      </c>
      <c r="C1548" t="inlineStr">
        <is>
          <t>Europe</t>
        </is>
      </c>
      <c r="D1548" t="inlineStr">
        <is>
          <t>Semi</t>
        </is>
      </c>
      <c r="E1548" t="n">
        <v>3044</v>
      </c>
      <c r="F1548" t="n">
        <v>104385.68</v>
      </c>
      <c r="G1548" t="n">
        <v>35</v>
      </c>
      <c r="H1548" t="inlineStr">
        <is>
          <t>Long Range</t>
        </is>
      </c>
      <c r="I1548" t="inlineStr">
        <is>
          <t>AWD</t>
        </is>
      </c>
      <c r="J1548" t="inlineStr">
        <is>
          <t>White</t>
        </is>
      </c>
      <c r="K1548" t="n">
        <v>567</v>
      </c>
      <c r="L1548" t="n">
        <v>37</v>
      </c>
      <c r="M1548" t="n">
        <v>14.48</v>
      </c>
      <c r="N1548" t="n">
        <v>4014.17</v>
      </c>
      <c r="O1548" t="n">
        <v>4.94</v>
      </c>
      <c r="P1548" t="n">
        <v>6</v>
      </c>
      <c r="Q1548" t="n">
        <v>2</v>
      </c>
      <c r="R1548" t="n">
        <v>2022.12</v>
      </c>
      <c r="S1548" t="b">
        <v>1</v>
      </c>
      <c r="T1548" t="n">
        <v>3565225</v>
      </c>
      <c r="U1548" t="n">
        <v>3</v>
      </c>
      <c r="V1548" t="n">
        <v>0.0581</v>
      </c>
      <c r="W1548" t="n">
        <v>2.2</v>
      </c>
      <c r="X1548" t="n">
        <v>69.88</v>
      </c>
      <c r="Y1548">
        <f>VLOOKUP(D1548,$AB$2:$AC$7,2,FALSE)</f>
        <v/>
      </c>
      <c r="Z1548">
        <f>IF(A1548&lt;Y1548,"Yes","No")</f>
        <v/>
      </c>
    </row>
    <row r="1549">
      <c r="A1549" t="n">
        <v>2015</v>
      </c>
      <c r="B1549" t="inlineStr">
        <is>
          <t>Q4</t>
        </is>
      </c>
      <c r="C1549" t="inlineStr">
        <is>
          <t>Asia</t>
        </is>
      </c>
      <c r="D1549" t="inlineStr">
        <is>
          <t>Cybertruck</t>
        </is>
      </c>
      <c r="E1549" t="n">
        <v>1313</v>
      </c>
      <c r="F1549" t="n">
        <v>69125.47</v>
      </c>
      <c r="G1549" t="n">
        <v>8</v>
      </c>
      <c r="H1549" t="inlineStr">
        <is>
          <t>Performance</t>
        </is>
      </c>
      <c r="I1549" t="inlineStr">
        <is>
          <t>RWD</t>
        </is>
      </c>
      <c r="J1549" t="inlineStr">
        <is>
          <t>Red</t>
        </is>
      </c>
      <c r="K1549" t="n">
        <v>623</v>
      </c>
      <c r="L1549" t="n">
        <v>36</v>
      </c>
      <c r="M1549" t="n">
        <v>16.24</v>
      </c>
      <c r="N1549" t="n">
        <v>2263.72</v>
      </c>
      <c r="O1549" t="n">
        <v>4.73</v>
      </c>
      <c r="P1549" t="n">
        <v>6</v>
      </c>
      <c r="Q1549" t="n">
        <v>0</v>
      </c>
      <c r="R1549" t="n">
        <v>2021.4</v>
      </c>
      <c r="S1549" t="b">
        <v>1</v>
      </c>
      <c r="T1549" t="n">
        <v>1734550</v>
      </c>
      <c r="U1549" t="n">
        <v>7</v>
      </c>
      <c r="V1549" t="n">
        <v>0.06</v>
      </c>
      <c r="W1549" t="n">
        <v>1.69</v>
      </c>
      <c r="X1549" t="n">
        <v>84.76000000000001</v>
      </c>
      <c r="Y1549">
        <f>VLOOKUP(D1549,$AB$2:$AC$7,2,FALSE)</f>
        <v/>
      </c>
      <c r="Z1549">
        <f>IF(A1549&lt;Y1549,"Yes","No")</f>
        <v/>
      </c>
    </row>
    <row r="1550">
      <c r="A1550" t="n">
        <v>2020</v>
      </c>
      <c r="B1550" t="inlineStr">
        <is>
          <t>Q1</t>
        </is>
      </c>
      <c r="C1550" t="inlineStr">
        <is>
          <t>Europe</t>
        </is>
      </c>
      <c r="D1550" t="inlineStr">
        <is>
          <t>Semi</t>
        </is>
      </c>
      <c r="E1550" t="n">
        <v>2780</v>
      </c>
      <c r="F1550" t="n">
        <v>109451.09</v>
      </c>
      <c r="G1550" t="n">
        <v>10</v>
      </c>
      <c r="H1550" t="inlineStr">
        <is>
          <t>Performance</t>
        </is>
      </c>
      <c r="I1550" t="inlineStr">
        <is>
          <t>AWD</t>
        </is>
      </c>
      <c r="J1550" t="inlineStr">
        <is>
          <t>White</t>
        </is>
      </c>
      <c r="K1550" t="n">
        <v>364</v>
      </c>
      <c r="L1550" t="n">
        <v>89</v>
      </c>
      <c r="M1550" t="n">
        <v>22.67</v>
      </c>
      <c r="N1550" t="n">
        <v>3147.81</v>
      </c>
      <c r="O1550" t="n">
        <v>4.81</v>
      </c>
      <c r="P1550" t="n">
        <v>4</v>
      </c>
      <c r="Q1550" t="n">
        <v>3</v>
      </c>
      <c r="R1550" t="n">
        <v>2021.6</v>
      </c>
      <c r="S1550" t="b">
        <v>0</v>
      </c>
      <c r="T1550" t="n">
        <v>2572041</v>
      </c>
      <c r="U1550" t="n">
        <v>4</v>
      </c>
      <c r="V1550" t="n">
        <v>0.0422</v>
      </c>
      <c r="W1550" t="n">
        <v>1.06</v>
      </c>
      <c r="X1550" t="n">
        <v>81.04000000000001</v>
      </c>
      <c r="Y1550">
        <f>VLOOKUP(D1550,$AB$2:$AC$7,2,FALSE)</f>
        <v/>
      </c>
      <c r="Z1550">
        <f>IF(A1550&lt;Y1550,"Yes","No")</f>
        <v/>
      </c>
    </row>
    <row r="1551">
      <c r="A1551" t="n">
        <v>2019</v>
      </c>
      <c r="B1551" t="inlineStr">
        <is>
          <t>Q4</t>
        </is>
      </c>
      <c r="C1551" t="inlineStr">
        <is>
          <t>Australia</t>
        </is>
      </c>
      <c r="D1551" t="inlineStr">
        <is>
          <t>Model X</t>
        </is>
      </c>
      <c r="E1551" t="n">
        <v>2386</v>
      </c>
      <c r="F1551" t="n">
        <v>101181.42</v>
      </c>
      <c r="G1551" t="n">
        <v>17</v>
      </c>
      <c r="H1551" t="inlineStr">
        <is>
          <t>Performance</t>
        </is>
      </c>
      <c r="I1551" t="inlineStr">
        <is>
          <t>RWD</t>
        </is>
      </c>
      <c r="J1551" t="inlineStr">
        <is>
          <t>White</t>
        </is>
      </c>
      <c r="K1551" t="n">
        <v>650</v>
      </c>
      <c r="L1551" t="n">
        <v>45</v>
      </c>
      <c r="M1551" t="n">
        <v>13.41</v>
      </c>
      <c r="N1551" t="n">
        <v>3231.3</v>
      </c>
      <c r="O1551" t="n">
        <v>4.71</v>
      </c>
      <c r="P1551" t="n">
        <v>4</v>
      </c>
      <c r="Q1551" t="n">
        <v>3</v>
      </c>
      <c r="R1551" t="n">
        <v>2020.7</v>
      </c>
      <c r="S1551" t="b">
        <v>1</v>
      </c>
      <c r="T1551" t="n">
        <v>3373021</v>
      </c>
      <c r="U1551" t="n">
        <v>6</v>
      </c>
      <c r="V1551" t="n">
        <v>0.0592</v>
      </c>
      <c r="W1551" t="n">
        <v>0.75</v>
      </c>
      <c r="X1551" t="n">
        <v>82.25</v>
      </c>
      <c r="Y1551">
        <f>VLOOKUP(D1551,$AB$2:$AC$7,2,FALSE)</f>
        <v/>
      </c>
      <c r="Z1551">
        <f>IF(A1551&lt;Y1551,"Yes","No")</f>
        <v/>
      </c>
    </row>
    <row r="1552">
      <c r="A1552" t="n">
        <v>2019</v>
      </c>
      <c r="B1552" t="inlineStr">
        <is>
          <t>Q3</t>
        </is>
      </c>
      <c r="C1552" t="inlineStr">
        <is>
          <t>Asia</t>
        </is>
      </c>
      <c r="D1552" t="inlineStr">
        <is>
          <t>Model 3</t>
        </is>
      </c>
      <c r="E1552" t="n">
        <v>4120</v>
      </c>
      <c r="F1552" t="n">
        <v>74324.14999999999</v>
      </c>
      <c r="G1552" t="n">
        <v>14</v>
      </c>
      <c r="H1552" t="inlineStr">
        <is>
          <t>Performance</t>
        </is>
      </c>
      <c r="I1552" t="inlineStr">
        <is>
          <t>RWD</t>
        </is>
      </c>
      <c r="J1552" t="inlineStr">
        <is>
          <t>Green</t>
        </is>
      </c>
      <c r="K1552" t="n">
        <v>498</v>
      </c>
      <c r="L1552" t="n">
        <v>71</v>
      </c>
      <c r="M1552" t="n">
        <v>22.65</v>
      </c>
      <c r="N1552" t="n">
        <v>2230.55</v>
      </c>
      <c r="O1552" t="n">
        <v>3.65</v>
      </c>
      <c r="P1552" t="n">
        <v>4</v>
      </c>
      <c r="Q1552" t="n">
        <v>0</v>
      </c>
      <c r="R1552" t="n">
        <v>2022.1</v>
      </c>
      <c r="S1552" t="b">
        <v>0</v>
      </c>
      <c r="T1552" t="n">
        <v>1418353</v>
      </c>
      <c r="U1552" t="n">
        <v>7</v>
      </c>
      <c r="V1552" t="n">
        <v>0.0328</v>
      </c>
      <c r="W1552" t="n">
        <v>2.46</v>
      </c>
      <c r="X1552" t="n">
        <v>81.93000000000001</v>
      </c>
      <c r="Y1552">
        <f>VLOOKUP(D1552,$AB$2:$AC$7,2,FALSE)</f>
        <v/>
      </c>
      <c r="Z1552">
        <f>IF(A1552&lt;Y1552,"Yes","No")</f>
        <v/>
      </c>
    </row>
    <row r="1553">
      <c r="A1553" t="n">
        <v>2021</v>
      </c>
      <c r="B1553" t="inlineStr">
        <is>
          <t>Q4</t>
        </is>
      </c>
      <c r="C1553" t="inlineStr">
        <is>
          <t>North America</t>
        </is>
      </c>
      <c r="D1553" t="inlineStr">
        <is>
          <t>Model S</t>
        </is>
      </c>
      <c r="E1553" t="n">
        <v>3606</v>
      </c>
      <c r="F1553" t="n">
        <v>40137.96</v>
      </c>
      <c r="G1553" t="n">
        <v>53</v>
      </c>
      <c r="H1553" t="inlineStr">
        <is>
          <t>Performance</t>
        </is>
      </c>
      <c r="I1553" t="inlineStr">
        <is>
          <t>AWD</t>
        </is>
      </c>
      <c r="J1553" t="inlineStr">
        <is>
          <t>Black</t>
        </is>
      </c>
      <c r="K1553" t="n">
        <v>673</v>
      </c>
      <c r="L1553" t="n">
        <v>77</v>
      </c>
      <c r="M1553" t="n">
        <v>16.03</v>
      </c>
      <c r="N1553" t="n">
        <v>2027.16</v>
      </c>
      <c r="O1553" t="n">
        <v>4.35</v>
      </c>
      <c r="P1553" t="n">
        <v>8</v>
      </c>
      <c r="Q1553" t="n">
        <v>1</v>
      </c>
      <c r="R1553" t="n">
        <v>2022.11</v>
      </c>
      <c r="S1553" t="b">
        <v>1</v>
      </c>
      <c r="T1553" t="n">
        <v>4100729</v>
      </c>
      <c r="U1553" t="n">
        <v>6</v>
      </c>
      <c r="V1553" t="n">
        <v>0.0281</v>
      </c>
      <c r="W1553" t="n">
        <v>1.87</v>
      </c>
      <c r="X1553" t="n">
        <v>83.22</v>
      </c>
      <c r="Y1553">
        <f>VLOOKUP(D1553,$AB$2:$AC$7,2,FALSE)</f>
        <v/>
      </c>
      <c r="Z1553">
        <f>IF(A1553&lt;Y1553,"Yes","No")</f>
        <v/>
      </c>
    </row>
    <row r="1554">
      <c r="A1554" t="n">
        <v>2015</v>
      </c>
      <c r="B1554" t="inlineStr">
        <is>
          <t>Q2</t>
        </is>
      </c>
      <c r="C1554" t="inlineStr">
        <is>
          <t>Asia</t>
        </is>
      </c>
      <c r="D1554" t="inlineStr">
        <is>
          <t>Model S</t>
        </is>
      </c>
      <c r="E1554" t="n">
        <v>1943</v>
      </c>
      <c r="F1554" t="n">
        <v>98709.14999999999</v>
      </c>
      <c r="G1554" t="n">
        <v>44</v>
      </c>
      <c r="H1554" t="inlineStr">
        <is>
          <t>Performance</t>
        </is>
      </c>
      <c r="I1554" t="inlineStr">
        <is>
          <t>RWD</t>
        </is>
      </c>
      <c r="J1554" t="inlineStr">
        <is>
          <t>Black</t>
        </is>
      </c>
      <c r="K1554" t="n">
        <v>695</v>
      </c>
      <c r="L1554" t="n">
        <v>70</v>
      </c>
      <c r="M1554" t="n">
        <v>20.17</v>
      </c>
      <c r="N1554" t="n">
        <v>4602.66</v>
      </c>
      <c r="O1554" t="n">
        <v>3.89</v>
      </c>
      <c r="P1554" t="n">
        <v>6</v>
      </c>
      <c r="Q1554" t="n">
        <v>1</v>
      </c>
      <c r="R1554" t="n">
        <v>2023.9</v>
      </c>
      <c r="S1554" t="b">
        <v>0</v>
      </c>
      <c r="T1554" t="n">
        <v>1402701</v>
      </c>
      <c r="U1554" t="n">
        <v>12</v>
      </c>
      <c r="V1554" t="n">
        <v>0.09320000000000001</v>
      </c>
      <c r="W1554" t="n">
        <v>1.35</v>
      </c>
      <c r="X1554" t="n">
        <v>83.59</v>
      </c>
      <c r="Y1554">
        <f>VLOOKUP(D1554,$AB$2:$AC$7,2,FALSE)</f>
        <v/>
      </c>
      <c r="Z1554">
        <f>IF(A1554&lt;Y1554,"Yes","No")</f>
        <v/>
      </c>
    </row>
    <row r="1555">
      <c r="A1555" t="n">
        <v>2019</v>
      </c>
      <c r="B1555" t="inlineStr">
        <is>
          <t>Q3</t>
        </is>
      </c>
      <c r="C1555" t="inlineStr">
        <is>
          <t>South America</t>
        </is>
      </c>
      <c r="D1555" t="inlineStr">
        <is>
          <t>Model Y</t>
        </is>
      </c>
      <c r="E1555" t="n">
        <v>2200</v>
      </c>
      <c r="F1555" t="n">
        <v>63570.48</v>
      </c>
      <c r="G1555" t="n">
        <v>51</v>
      </c>
      <c r="H1555" t="inlineStr">
        <is>
          <t>Long Range</t>
        </is>
      </c>
      <c r="I1555" t="inlineStr">
        <is>
          <t>RWD</t>
        </is>
      </c>
      <c r="J1555" t="inlineStr">
        <is>
          <t>Green</t>
        </is>
      </c>
      <c r="K1555" t="n">
        <v>669</v>
      </c>
      <c r="L1555" t="n">
        <v>52</v>
      </c>
      <c r="M1555" t="n">
        <v>23.11</v>
      </c>
      <c r="N1555" t="n">
        <v>4325.4</v>
      </c>
      <c r="O1555" t="n">
        <v>4.81</v>
      </c>
      <c r="P1555" t="n">
        <v>5</v>
      </c>
      <c r="Q1555" t="n">
        <v>3</v>
      </c>
      <c r="R1555" t="n">
        <v>2021.12</v>
      </c>
      <c r="S1555" t="b">
        <v>1</v>
      </c>
      <c r="T1555" t="n">
        <v>4235680</v>
      </c>
      <c r="U1555" t="n">
        <v>6</v>
      </c>
      <c r="V1555" t="n">
        <v>0.0713</v>
      </c>
      <c r="W1555" t="n">
        <v>2.23</v>
      </c>
      <c r="X1555" t="n">
        <v>84.03</v>
      </c>
      <c r="Y1555">
        <f>VLOOKUP(D1555,$AB$2:$AC$7,2,FALSE)</f>
        <v/>
      </c>
      <c r="Z1555">
        <f>IF(A1555&lt;Y1555,"Yes","No")</f>
        <v/>
      </c>
    </row>
    <row r="1556">
      <c r="A1556" t="n">
        <v>2019</v>
      </c>
      <c r="B1556" t="inlineStr">
        <is>
          <t>Q1</t>
        </is>
      </c>
      <c r="C1556" t="inlineStr">
        <is>
          <t>South America</t>
        </is>
      </c>
      <c r="D1556" t="inlineStr">
        <is>
          <t>Model 3</t>
        </is>
      </c>
      <c r="E1556" t="n">
        <v>1137</v>
      </c>
      <c r="F1556" t="n">
        <v>107250.55</v>
      </c>
      <c r="G1556" t="n">
        <v>59</v>
      </c>
      <c r="H1556" t="inlineStr">
        <is>
          <t>Performance</t>
        </is>
      </c>
      <c r="I1556" t="inlineStr">
        <is>
          <t>RWD</t>
        </is>
      </c>
      <c r="J1556" t="inlineStr">
        <is>
          <t>Red</t>
        </is>
      </c>
      <c r="K1556" t="n">
        <v>432</v>
      </c>
      <c r="L1556" t="n">
        <v>43</v>
      </c>
      <c r="M1556" t="n">
        <v>20.2</v>
      </c>
      <c r="N1556" t="n">
        <v>1043.01</v>
      </c>
      <c r="O1556" t="n">
        <v>4.79</v>
      </c>
      <c r="P1556" t="n">
        <v>5</v>
      </c>
      <c r="Q1556" t="n">
        <v>3</v>
      </c>
      <c r="R1556" t="n">
        <v>2023.2</v>
      </c>
      <c r="S1556" t="b">
        <v>0</v>
      </c>
      <c r="T1556" t="n">
        <v>3528046</v>
      </c>
      <c r="U1556" t="n">
        <v>6</v>
      </c>
      <c r="V1556" t="n">
        <v>0.07389999999999999</v>
      </c>
      <c r="W1556" t="n">
        <v>2.03</v>
      </c>
      <c r="X1556" t="n">
        <v>68.3</v>
      </c>
      <c r="Y1556">
        <f>VLOOKUP(D1556,$AB$2:$AC$7,2,FALSE)</f>
        <v/>
      </c>
      <c r="Z1556">
        <f>IF(A1556&lt;Y1556,"Yes","No")</f>
        <v/>
      </c>
    </row>
    <row r="1557">
      <c r="A1557" t="n">
        <v>2012</v>
      </c>
      <c r="B1557" t="inlineStr">
        <is>
          <t>Q3</t>
        </is>
      </c>
      <c r="C1557" t="inlineStr">
        <is>
          <t>Australia</t>
        </is>
      </c>
      <c r="D1557" t="inlineStr">
        <is>
          <t>Model X</t>
        </is>
      </c>
      <c r="E1557" t="n">
        <v>3053</v>
      </c>
      <c r="F1557" t="n">
        <v>43440.43</v>
      </c>
      <c r="G1557" t="n">
        <v>10</v>
      </c>
      <c r="H1557" t="inlineStr">
        <is>
          <t>Performance</t>
        </is>
      </c>
      <c r="I1557" t="inlineStr">
        <is>
          <t>RWD</t>
        </is>
      </c>
      <c r="J1557" t="inlineStr">
        <is>
          <t>Black</t>
        </is>
      </c>
      <c r="K1557" t="n">
        <v>608</v>
      </c>
      <c r="L1557" t="n">
        <v>35</v>
      </c>
      <c r="M1557" t="n">
        <v>24.48</v>
      </c>
      <c r="N1557" t="n">
        <v>7417.71</v>
      </c>
      <c r="O1557" t="n">
        <v>4.03</v>
      </c>
      <c r="P1557" t="n">
        <v>5</v>
      </c>
      <c r="Q1557" t="n">
        <v>1</v>
      </c>
      <c r="R1557" t="n">
        <v>2024.12</v>
      </c>
      <c r="S1557" t="b">
        <v>1</v>
      </c>
      <c r="T1557" t="n">
        <v>417601</v>
      </c>
      <c r="U1557" t="n">
        <v>9</v>
      </c>
      <c r="V1557" t="n">
        <v>0.07969999999999999</v>
      </c>
      <c r="W1557" t="n">
        <v>1.08</v>
      </c>
      <c r="X1557" t="n">
        <v>79.09</v>
      </c>
      <c r="Y1557">
        <f>VLOOKUP(D1557,$AB$2:$AC$7,2,FALSE)</f>
        <v/>
      </c>
      <c r="Z1557">
        <f>IF(A1557&lt;Y1557,"Yes","No")</f>
        <v/>
      </c>
    </row>
    <row r="1558">
      <c r="A1558" t="n">
        <v>2021</v>
      </c>
      <c r="B1558" t="inlineStr">
        <is>
          <t>Q3</t>
        </is>
      </c>
      <c r="C1558" t="inlineStr">
        <is>
          <t>Europe</t>
        </is>
      </c>
      <c r="D1558" t="inlineStr">
        <is>
          <t>Cybertruck</t>
        </is>
      </c>
      <c r="E1558" t="n">
        <v>1154</v>
      </c>
      <c r="F1558" t="n">
        <v>72600.03999999999</v>
      </c>
      <c r="G1558" t="n">
        <v>59</v>
      </c>
      <c r="H1558" t="inlineStr">
        <is>
          <t>Long Range</t>
        </is>
      </c>
      <c r="I1558" t="inlineStr">
        <is>
          <t>RWD</t>
        </is>
      </c>
      <c r="J1558" t="inlineStr">
        <is>
          <t>Blue</t>
        </is>
      </c>
      <c r="K1558" t="n">
        <v>489</v>
      </c>
      <c r="L1558" t="n">
        <v>41</v>
      </c>
      <c r="M1558" t="n">
        <v>15.48</v>
      </c>
      <c r="N1558" t="n">
        <v>1062.13</v>
      </c>
      <c r="O1558" t="n">
        <v>4.55</v>
      </c>
      <c r="P1558" t="n">
        <v>5</v>
      </c>
      <c r="Q1558" t="n">
        <v>1</v>
      </c>
      <c r="R1558" t="n">
        <v>2023.4</v>
      </c>
      <c r="S1558" t="b">
        <v>1</v>
      </c>
      <c r="T1558" t="n">
        <v>3794895</v>
      </c>
      <c r="U1558" t="n">
        <v>10</v>
      </c>
      <c r="V1558" t="n">
        <v>0.09669999999999999</v>
      </c>
      <c r="W1558" t="n">
        <v>1.72</v>
      </c>
      <c r="X1558" t="n">
        <v>83.09</v>
      </c>
      <c r="Y1558">
        <f>VLOOKUP(D1558,$AB$2:$AC$7,2,FALSE)</f>
        <v/>
      </c>
      <c r="Z1558">
        <f>IF(A1558&lt;Y1558,"Yes","No")</f>
        <v/>
      </c>
    </row>
    <row r="1559">
      <c r="A1559" t="n">
        <v>2021</v>
      </c>
      <c r="B1559" t="inlineStr">
        <is>
          <t>Q2</t>
        </is>
      </c>
      <c r="C1559" t="inlineStr">
        <is>
          <t>North America</t>
        </is>
      </c>
      <c r="D1559" t="inlineStr">
        <is>
          <t>Model X</t>
        </is>
      </c>
      <c r="E1559" t="n">
        <v>1030</v>
      </c>
      <c r="F1559" t="n">
        <v>38490.47</v>
      </c>
      <c r="G1559" t="n">
        <v>8</v>
      </c>
      <c r="H1559" t="inlineStr">
        <is>
          <t>Long Range</t>
        </is>
      </c>
      <c r="I1559" t="inlineStr">
        <is>
          <t>AWD</t>
        </is>
      </c>
      <c r="J1559" t="inlineStr">
        <is>
          <t>Blue</t>
        </is>
      </c>
      <c r="K1559" t="n">
        <v>575</v>
      </c>
      <c r="L1559" t="n">
        <v>78</v>
      </c>
      <c r="M1559" t="n">
        <v>14.98</v>
      </c>
      <c r="N1559" t="n">
        <v>1045.37</v>
      </c>
      <c r="O1559" t="n">
        <v>4.84</v>
      </c>
      <c r="P1559" t="n">
        <v>6</v>
      </c>
      <c r="Q1559" t="n">
        <v>3</v>
      </c>
      <c r="R1559" t="n">
        <v>2024.11</v>
      </c>
      <c r="S1559" t="b">
        <v>0</v>
      </c>
      <c r="T1559" t="n">
        <v>2979526</v>
      </c>
      <c r="U1559" t="n">
        <v>5</v>
      </c>
      <c r="V1559" t="n">
        <v>0.0887</v>
      </c>
      <c r="W1559" t="n">
        <v>0.64</v>
      </c>
      <c r="X1559" t="n">
        <v>87.08</v>
      </c>
      <c r="Y1559">
        <f>VLOOKUP(D1559,$AB$2:$AC$7,2,FALSE)</f>
        <v/>
      </c>
      <c r="Z1559">
        <f>IF(A1559&lt;Y1559,"Yes","No")</f>
        <v/>
      </c>
    </row>
    <row r="1560">
      <c r="A1560" t="n">
        <v>2019</v>
      </c>
      <c r="B1560" t="inlineStr">
        <is>
          <t>Q2</t>
        </is>
      </c>
      <c r="C1560" t="inlineStr">
        <is>
          <t>North America</t>
        </is>
      </c>
      <c r="D1560" t="inlineStr">
        <is>
          <t>Model S</t>
        </is>
      </c>
      <c r="E1560" t="n">
        <v>2967</v>
      </c>
      <c r="F1560" t="n">
        <v>50428.79</v>
      </c>
      <c r="G1560" t="n">
        <v>35</v>
      </c>
      <c r="H1560" t="inlineStr">
        <is>
          <t>Performance</t>
        </is>
      </c>
      <c r="I1560" t="inlineStr">
        <is>
          <t>AWD</t>
        </is>
      </c>
      <c r="J1560" t="inlineStr">
        <is>
          <t>Red</t>
        </is>
      </c>
      <c r="K1560" t="n">
        <v>634</v>
      </c>
      <c r="L1560" t="n">
        <v>59</v>
      </c>
      <c r="M1560" t="n">
        <v>15.66</v>
      </c>
      <c r="N1560" t="n">
        <v>5431.19</v>
      </c>
      <c r="O1560" t="n">
        <v>4.35</v>
      </c>
      <c r="P1560" t="n">
        <v>6</v>
      </c>
      <c r="Q1560" t="n">
        <v>0</v>
      </c>
      <c r="R1560" t="n">
        <v>2023.1</v>
      </c>
      <c r="S1560" t="b">
        <v>1</v>
      </c>
      <c r="T1560" t="n">
        <v>2054032</v>
      </c>
      <c r="U1560" t="n">
        <v>9</v>
      </c>
      <c r="V1560" t="n">
        <v>0.0504</v>
      </c>
      <c r="W1560" t="n">
        <v>2.16</v>
      </c>
      <c r="X1560" t="n">
        <v>66.83</v>
      </c>
      <c r="Y1560">
        <f>VLOOKUP(D1560,$AB$2:$AC$7,2,FALSE)</f>
        <v/>
      </c>
      <c r="Z1560">
        <f>IF(A1560&lt;Y1560,"Yes","No")</f>
        <v/>
      </c>
    </row>
    <row r="1561">
      <c r="A1561" t="n">
        <v>2014</v>
      </c>
      <c r="B1561" t="inlineStr">
        <is>
          <t>Q4</t>
        </is>
      </c>
      <c r="C1561" t="inlineStr">
        <is>
          <t>Europe</t>
        </is>
      </c>
      <c r="D1561" t="inlineStr">
        <is>
          <t>Model X</t>
        </is>
      </c>
      <c r="E1561" t="n">
        <v>751</v>
      </c>
      <c r="F1561" t="n">
        <v>98076.53</v>
      </c>
      <c r="G1561" t="n">
        <v>33</v>
      </c>
      <c r="H1561" t="inlineStr">
        <is>
          <t>Long Range</t>
        </is>
      </c>
      <c r="I1561" t="inlineStr">
        <is>
          <t>AWD</t>
        </is>
      </c>
      <c r="J1561" t="inlineStr">
        <is>
          <t>Black</t>
        </is>
      </c>
      <c r="K1561" t="n">
        <v>700</v>
      </c>
      <c r="L1561" t="n">
        <v>74</v>
      </c>
      <c r="M1561" t="n">
        <v>18.45</v>
      </c>
      <c r="N1561" t="n">
        <v>1746</v>
      </c>
      <c r="O1561" t="n">
        <v>4.06</v>
      </c>
      <c r="P1561" t="n">
        <v>4</v>
      </c>
      <c r="Q1561" t="n">
        <v>1</v>
      </c>
      <c r="R1561" t="n">
        <v>2023.9</v>
      </c>
      <c r="S1561" t="b">
        <v>1</v>
      </c>
      <c r="T1561" t="n">
        <v>102170</v>
      </c>
      <c r="U1561" t="n">
        <v>11</v>
      </c>
      <c r="V1561" t="n">
        <v>0.0153</v>
      </c>
      <c r="W1561" t="n">
        <v>0.8</v>
      </c>
      <c r="X1561" t="n">
        <v>60.83</v>
      </c>
      <c r="Y1561">
        <f>VLOOKUP(D1561,$AB$2:$AC$7,2,FALSE)</f>
        <v/>
      </c>
      <c r="Z1561">
        <f>IF(A1561&lt;Y1561,"Yes","No")</f>
        <v/>
      </c>
    </row>
    <row r="1562">
      <c r="A1562" t="n">
        <v>2022</v>
      </c>
      <c r="B1562" t="inlineStr">
        <is>
          <t>Q4</t>
        </is>
      </c>
      <c r="C1562" t="inlineStr">
        <is>
          <t>North America</t>
        </is>
      </c>
      <c r="D1562" t="inlineStr">
        <is>
          <t>Model 3</t>
        </is>
      </c>
      <c r="E1562" t="n">
        <v>1043</v>
      </c>
      <c r="F1562" t="n">
        <v>79407.97</v>
      </c>
      <c r="G1562" t="n">
        <v>54</v>
      </c>
      <c r="H1562" t="inlineStr">
        <is>
          <t>Long Range</t>
        </is>
      </c>
      <c r="I1562" t="inlineStr">
        <is>
          <t>RWD</t>
        </is>
      </c>
      <c r="J1562" t="inlineStr">
        <is>
          <t>Black</t>
        </is>
      </c>
      <c r="K1562" t="n">
        <v>475</v>
      </c>
      <c r="L1562" t="n">
        <v>68</v>
      </c>
      <c r="M1562" t="n">
        <v>24.95</v>
      </c>
      <c r="N1562" t="n">
        <v>1981.02</v>
      </c>
      <c r="O1562" t="n">
        <v>4.36</v>
      </c>
      <c r="P1562" t="n">
        <v>4</v>
      </c>
      <c r="Q1562" t="n">
        <v>1</v>
      </c>
      <c r="R1562" t="n">
        <v>2021.4</v>
      </c>
      <c r="S1562" t="b">
        <v>1</v>
      </c>
      <c r="T1562" t="n">
        <v>2850226</v>
      </c>
      <c r="U1562" t="n">
        <v>11</v>
      </c>
      <c r="V1562" t="n">
        <v>0.0916</v>
      </c>
      <c r="W1562" t="n">
        <v>2.29</v>
      </c>
      <c r="X1562" t="n">
        <v>75.48</v>
      </c>
      <c r="Y1562">
        <f>VLOOKUP(D1562,$AB$2:$AC$7,2,FALSE)</f>
        <v/>
      </c>
      <c r="Z1562">
        <f>IF(A1562&lt;Y1562,"Yes","No")</f>
        <v/>
      </c>
    </row>
    <row r="1563">
      <c r="A1563" t="n">
        <v>2019</v>
      </c>
      <c r="B1563" t="inlineStr">
        <is>
          <t>Q3</t>
        </is>
      </c>
      <c r="C1563" t="inlineStr">
        <is>
          <t>North America</t>
        </is>
      </c>
      <c r="D1563" t="inlineStr">
        <is>
          <t>Model Y</t>
        </is>
      </c>
      <c r="E1563" t="n">
        <v>3005</v>
      </c>
      <c r="F1563" t="n">
        <v>72865.78</v>
      </c>
      <c r="G1563" t="n">
        <v>39</v>
      </c>
      <c r="H1563" t="inlineStr">
        <is>
          <t>Standard</t>
        </is>
      </c>
      <c r="I1563" t="inlineStr">
        <is>
          <t>AWD</t>
        </is>
      </c>
      <c r="J1563" t="inlineStr">
        <is>
          <t>Black</t>
        </is>
      </c>
      <c r="K1563" t="n">
        <v>450</v>
      </c>
      <c r="L1563" t="n">
        <v>30</v>
      </c>
      <c r="M1563" t="n">
        <v>22.83</v>
      </c>
      <c r="N1563" t="n">
        <v>4812.8</v>
      </c>
      <c r="O1563" t="n">
        <v>4.31</v>
      </c>
      <c r="P1563" t="n">
        <v>8</v>
      </c>
      <c r="Q1563" t="n">
        <v>0</v>
      </c>
      <c r="R1563" t="n">
        <v>2024.5</v>
      </c>
      <c r="S1563" t="b">
        <v>1</v>
      </c>
      <c r="T1563" t="n">
        <v>3999502</v>
      </c>
      <c r="U1563" t="n">
        <v>7</v>
      </c>
      <c r="V1563" t="n">
        <v>0.0111</v>
      </c>
      <c r="W1563" t="n">
        <v>2.41</v>
      </c>
      <c r="X1563" t="n">
        <v>82.03</v>
      </c>
      <c r="Y1563">
        <f>VLOOKUP(D1563,$AB$2:$AC$7,2,FALSE)</f>
        <v/>
      </c>
      <c r="Z1563">
        <f>IF(A1563&lt;Y1563,"Yes","No")</f>
        <v/>
      </c>
    </row>
    <row r="1564">
      <c r="A1564" t="n">
        <v>2013</v>
      </c>
      <c r="B1564" t="inlineStr">
        <is>
          <t>Q2</t>
        </is>
      </c>
      <c r="C1564" t="inlineStr">
        <is>
          <t>North America</t>
        </is>
      </c>
      <c r="D1564" t="inlineStr">
        <is>
          <t>Model S</t>
        </is>
      </c>
      <c r="E1564" t="n">
        <v>3684</v>
      </c>
      <c r="F1564" t="n">
        <v>78625.13</v>
      </c>
      <c r="G1564" t="n">
        <v>34</v>
      </c>
      <c r="H1564" t="inlineStr">
        <is>
          <t>Long Range</t>
        </is>
      </c>
      <c r="I1564" t="inlineStr">
        <is>
          <t>RWD</t>
        </is>
      </c>
      <c r="J1564" t="inlineStr">
        <is>
          <t>Green</t>
        </is>
      </c>
      <c r="K1564" t="n">
        <v>528</v>
      </c>
      <c r="L1564" t="n">
        <v>63</v>
      </c>
      <c r="M1564" t="n">
        <v>21.41</v>
      </c>
      <c r="N1564" t="n">
        <v>5412.49</v>
      </c>
      <c r="O1564" t="n">
        <v>4.01</v>
      </c>
      <c r="P1564" t="n">
        <v>6</v>
      </c>
      <c r="Q1564" t="n">
        <v>0</v>
      </c>
      <c r="R1564" t="n">
        <v>2024.6</v>
      </c>
      <c r="S1564" t="b">
        <v>1</v>
      </c>
      <c r="T1564" t="n">
        <v>2647291</v>
      </c>
      <c r="U1564" t="n">
        <v>7</v>
      </c>
      <c r="V1564" t="n">
        <v>0.0139</v>
      </c>
      <c r="W1564" t="n">
        <v>1.74</v>
      </c>
      <c r="X1564" t="n">
        <v>87.26000000000001</v>
      </c>
      <c r="Y1564">
        <f>VLOOKUP(D1564,$AB$2:$AC$7,2,FALSE)</f>
        <v/>
      </c>
      <c r="Z1564">
        <f>IF(A1564&lt;Y1564,"Yes","No")</f>
        <v/>
      </c>
    </row>
    <row r="1565">
      <c r="A1565" t="n">
        <v>2014</v>
      </c>
      <c r="B1565" t="inlineStr">
        <is>
          <t>Q2</t>
        </is>
      </c>
      <c r="C1565" t="inlineStr">
        <is>
          <t>Australia</t>
        </is>
      </c>
      <c r="D1565" t="inlineStr">
        <is>
          <t>Model Y</t>
        </is>
      </c>
      <c r="E1565" t="n">
        <v>2436</v>
      </c>
      <c r="F1565" t="n">
        <v>92558.14</v>
      </c>
      <c r="G1565" t="n">
        <v>8</v>
      </c>
      <c r="H1565" t="inlineStr">
        <is>
          <t>Long Range</t>
        </is>
      </c>
      <c r="I1565" t="inlineStr">
        <is>
          <t>AWD</t>
        </is>
      </c>
      <c r="J1565" t="inlineStr">
        <is>
          <t>Silver</t>
        </is>
      </c>
      <c r="K1565" t="n">
        <v>569</v>
      </c>
      <c r="L1565" t="n">
        <v>51</v>
      </c>
      <c r="M1565" t="n">
        <v>14.25</v>
      </c>
      <c r="N1565" t="n">
        <v>5657.72</v>
      </c>
      <c r="O1565" t="n">
        <v>3.93</v>
      </c>
      <c r="P1565" t="n">
        <v>5</v>
      </c>
      <c r="Q1565" t="n">
        <v>0</v>
      </c>
      <c r="R1565" t="n">
        <v>2022.4</v>
      </c>
      <c r="S1565" t="b">
        <v>0</v>
      </c>
      <c r="T1565" t="n">
        <v>2817512</v>
      </c>
      <c r="U1565" t="n">
        <v>2</v>
      </c>
      <c r="V1565" t="n">
        <v>0.07140000000000001</v>
      </c>
      <c r="W1565" t="n">
        <v>1.88</v>
      </c>
      <c r="X1565" t="n">
        <v>87.2</v>
      </c>
      <c r="Y1565">
        <f>VLOOKUP(D1565,$AB$2:$AC$7,2,FALSE)</f>
        <v/>
      </c>
      <c r="Z1565">
        <f>IF(A1565&lt;Y1565,"Yes","No")</f>
        <v/>
      </c>
    </row>
    <row r="1566">
      <c r="A1566" t="n">
        <v>2014</v>
      </c>
      <c r="B1566" t="inlineStr">
        <is>
          <t>Q1</t>
        </is>
      </c>
      <c r="C1566" t="inlineStr">
        <is>
          <t>Australia</t>
        </is>
      </c>
      <c r="D1566" t="inlineStr">
        <is>
          <t>Model Y</t>
        </is>
      </c>
      <c r="E1566" t="n">
        <v>2186</v>
      </c>
      <c r="F1566" t="n">
        <v>91303.92</v>
      </c>
      <c r="G1566" t="n">
        <v>59</v>
      </c>
      <c r="H1566" t="inlineStr">
        <is>
          <t>Long Range</t>
        </is>
      </c>
      <c r="I1566" t="inlineStr">
        <is>
          <t>AWD</t>
        </is>
      </c>
      <c r="J1566" t="inlineStr">
        <is>
          <t>Silver</t>
        </is>
      </c>
      <c r="K1566" t="n">
        <v>496</v>
      </c>
      <c r="L1566" t="n">
        <v>36</v>
      </c>
      <c r="M1566" t="n">
        <v>18.11</v>
      </c>
      <c r="N1566" t="n">
        <v>4935.2</v>
      </c>
      <c r="O1566" t="n">
        <v>4.92</v>
      </c>
      <c r="P1566" t="n">
        <v>8</v>
      </c>
      <c r="Q1566" t="n">
        <v>3</v>
      </c>
      <c r="R1566" t="n">
        <v>2022.1</v>
      </c>
      <c r="S1566" t="b">
        <v>0</v>
      </c>
      <c r="T1566" t="n">
        <v>4763334</v>
      </c>
      <c r="U1566" t="n">
        <v>12</v>
      </c>
      <c r="V1566" t="n">
        <v>0.0604</v>
      </c>
      <c r="W1566" t="n">
        <v>2.25</v>
      </c>
      <c r="X1566" t="n">
        <v>72.58</v>
      </c>
      <c r="Y1566">
        <f>VLOOKUP(D1566,$AB$2:$AC$7,2,FALSE)</f>
        <v/>
      </c>
      <c r="Z1566">
        <f>IF(A1566&lt;Y1566,"Yes","No")</f>
        <v/>
      </c>
    </row>
    <row r="1567">
      <c r="A1567" t="n">
        <v>2020</v>
      </c>
      <c r="B1567" t="inlineStr">
        <is>
          <t>Q3</t>
        </is>
      </c>
      <c r="C1567" t="inlineStr">
        <is>
          <t>South America</t>
        </is>
      </c>
      <c r="D1567" t="inlineStr">
        <is>
          <t>Model X</t>
        </is>
      </c>
      <c r="E1567" t="n">
        <v>3707</v>
      </c>
      <c r="F1567" t="n">
        <v>58012.31</v>
      </c>
      <c r="G1567" t="n">
        <v>4</v>
      </c>
      <c r="H1567" t="inlineStr">
        <is>
          <t>Standard</t>
        </is>
      </c>
      <c r="I1567" t="inlineStr">
        <is>
          <t>AWD</t>
        </is>
      </c>
      <c r="J1567" t="inlineStr">
        <is>
          <t>Blue</t>
        </is>
      </c>
      <c r="K1567" t="n">
        <v>680</v>
      </c>
      <c r="L1567" t="n">
        <v>81</v>
      </c>
      <c r="M1567" t="n">
        <v>24.25</v>
      </c>
      <c r="N1567" t="n">
        <v>5247.11</v>
      </c>
      <c r="O1567" t="n">
        <v>3.73</v>
      </c>
      <c r="P1567" t="n">
        <v>8</v>
      </c>
      <c r="Q1567" t="n">
        <v>2</v>
      </c>
      <c r="R1567" t="n">
        <v>2020.9</v>
      </c>
      <c r="S1567" t="b">
        <v>0</v>
      </c>
      <c r="T1567" t="n">
        <v>2080970</v>
      </c>
      <c r="U1567" t="n">
        <v>12</v>
      </c>
      <c r="V1567" t="n">
        <v>0.0621</v>
      </c>
      <c r="W1567" t="n">
        <v>1.58</v>
      </c>
      <c r="X1567" t="n">
        <v>86.78</v>
      </c>
      <c r="Y1567">
        <f>VLOOKUP(D1567,$AB$2:$AC$7,2,FALSE)</f>
        <v/>
      </c>
      <c r="Z1567">
        <f>IF(A1567&lt;Y1567,"Yes","No")</f>
        <v/>
      </c>
    </row>
    <row r="1568">
      <c r="A1568" t="n">
        <v>2015</v>
      </c>
      <c r="B1568" t="inlineStr">
        <is>
          <t>Q4</t>
        </is>
      </c>
      <c r="C1568" t="inlineStr">
        <is>
          <t>Australia</t>
        </is>
      </c>
      <c r="D1568" t="inlineStr">
        <is>
          <t>Model S</t>
        </is>
      </c>
      <c r="E1568" t="n">
        <v>643</v>
      </c>
      <c r="F1568" t="n">
        <v>117196.3</v>
      </c>
      <c r="G1568" t="n">
        <v>17</v>
      </c>
      <c r="H1568" t="inlineStr">
        <is>
          <t>Performance</t>
        </is>
      </c>
      <c r="I1568" t="inlineStr">
        <is>
          <t>AWD</t>
        </is>
      </c>
      <c r="J1568" t="inlineStr">
        <is>
          <t>Red</t>
        </is>
      </c>
      <c r="K1568" t="n">
        <v>570</v>
      </c>
      <c r="L1568" t="n">
        <v>77</v>
      </c>
      <c r="M1568" t="n">
        <v>16.19</v>
      </c>
      <c r="N1568" t="n">
        <v>1190.56</v>
      </c>
      <c r="O1568" t="n">
        <v>4.4</v>
      </c>
      <c r="P1568" t="n">
        <v>5</v>
      </c>
      <c r="Q1568" t="n">
        <v>2</v>
      </c>
      <c r="R1568" t="n">
        <v>2021.8</v>
      </c>
      <c r="S1568" t="b">
        <v>1</v>
      </c>
      <c r="T1568" t="n">
        <v>2368340</v>
      </c>
      <c r="U1568" t="n">
        <v>9</v>
      </c>
      <c r="V1568" t="n">
        <v>0.0102</v>
      </c>
      <c r="W1568" t="n">
        <v>0.58</v>
      </c>
      <c r="X1568" t="n">
        <v>78.84999999999999</v>
      </c>
      <c r="Y1568">
        <f>VLOOKUP(D1568,$AB$2:$AC$7,2,FALSE)</f>
        <v/>
      </c>
      <c r="Z1568">
        <f>IF(A1568&lt;Y1568,"Yes","No")</f>
        <v/>
      </c>
    </row>
    <row r="1569">
      <c r="A1569" t="n">
        <v>2015</v>
      </c>
      <c r="B1569" t="inlineStr">
        <is>
          <t>Q4</t>
        </is>
      </c>
      <c r="C1569" t="inlineStr">
        <is>
          <t>Asia</t>
        </is>
      </c>
      <c r="D1569" t="inlineStr">
        <is>
          <t>Model S</t>
        </is>
      </c>
      <c r="E1569" t="n">
        <v>4219</v>
      </c>
      <c r="F1569" t="n">
        <v>106230.24</v>
      </c>
      <c r="G1569" t="n">
        <v>23</v>
      </c>
      <c r="H1569" t="inlineStr">
        <is>
          <t>Long Range</t>
        </is>
      </c>
      <c r="I1569" t="inlineStr">
        <is>
          <t>AWD</t>
        </is>
      </c>
      <c r="J1569" t="inlineStr">
        <is>
          <t>Blue</t>
        </is>
      </c>
      <c r="K1569" t="n">
        <v>651</v>
      </c>
      <c r="L1569" t="n">
        <v>38</v>
      </c>
      <c r="M1569" t="n">
        <v>22.08</v>
      </c>
      <c r="N1569" t="n">
        <v>9144.09</v>
      </c>
      <c r="O1569" t="n">
        <v>4.66</v>
      </c>
      <c r="P1569" t="n">
        <v>5</v>
      </c>
      <c r="Q1569" t="n">
        <v>1</v>
      </c>
      <c r="R1569" t="n">
        <v>2023.4</v>
      </c>
      <c r="S1569" t="b">
        <v>0</v>
      </c>
      <c r="T1569" t="n">
        <v>4263403</v>
      </c>
      <c r="U1569" t="n">
        <v>3</v>
      </c>
      <c r="V1569" t="n">
        <v>0.0227</v>
      </c>
      <c r="W1569" t="n">
        <v>1.28</v>
      </c>
      <c r="X1569" t="n">
        <v>74.51000000000001</v>
      </c>
      <c r="Y1569">
        <f>VLOOKUP(D1569,$AB$2:$AC$7,2,FALSE)</f>
        <v/>
      </c>
      <c r="Z1569">
        <f>IF(A1569&lt;Y1569,"Yes","No")</f>
        <v/>
      </c>
    </row>
    <row r="1570">
      <c r="A1570" t="n">
        <v>2014</v>
      </c>
      <c r="B1570" t="inlineStr">
        <is>
          <t>Q1</t>
        </is>
      </c>
      <c r="C1570" t="inlineStr">
        <is>
          <t>Europe</t>
        </is>
      </c>
      <c r="D1570" t="inlineStr">
        <is>
          <t>Model 3</t>
        </is>
      </c>
      <c r="E1570" t="n">
        <v>89</v>
      </c>
      <c r="F1570" t="n">
        <v>37283.43</v>
      </c>
      <c r="G1570" t="n">
        <v>49</v>
      </c>
      <c r="H1570" t="inlineStr">
        <is>
          <t>Long Range</t>
        </is>
      </c>
      <c r="I1570" t="inlineStr">
        <is>
          <t>RWD</t>
        </is>
      </c>
      <c r="J1570" t="inlineStr">
        <is>
          <t>Green</t>
        </is>
      </c>
      <c r="K1570" t="n">
        <v>609</v>
      </c>
      <c r="L1570" t="n">
        <v>85</v>
      </c>
      <c r="M1570" t="n">
        <v>19.91</v>
      </c>
      <c r="N1570" t="n">
        <v>184.71</v>
      </c>
      <c r="O1570" t="n">
        <v>3.67</v>
      </c>
      <c r="P1570" t="n">
        <v>5</v>
      </c>
      <c r="Q1570" t="n">
        <v>1</v>
      </c>
      <c r="R1570" t="n">
        <v>2022.3</v>
      </c>
      <c r="S1570" t="b">
        <v>0</v>
      </c>
      <c r="T1570" t="n">
        <v>3357799</v>
      </c>
      <c r="U1570" t="n">
        <v>8</v>
      </c>
      <c r="V1570" t="n">
        <v>0.0118</v>
      </c>
      <c r="W1570" t="n">
        <v>1.66</v>
      </c>
      <c r="X1570" t="n">
        <v>83.53</v>
      </c>
      <c r="Y1570">
        <f>VLOOKUP(D1570,$AB$2:$AC$7,2,FALSE)</f>
        <v/>
      </c>
      <c r="Z1570">
        <f>IF(A1570&lt;Y1570,"Yes","No")</f>
        <v/>
      </c>
    </row>
    <row r="1571">
      <c r="A1571" t="n">
        <v>2012</v>
      </c>
      <c r="B1571" t="inlineStr">
        <is>
          <t>Q3</t>
        </is>
      </c>
      <c r="C1571" t="inlineStr">
        <is>
          <t>Australia</t>
        </is>
      </c>
      <c r="D1571" t="inlineStr">
        <is>
          <t>Cybertruck</t>
        </is>
      </c>
      <c r="E1571" t="n">
        <v>1793</v>
      </c>
      <c r="F1571" t="n">
        <v>69617.47</v>
      </c>
      <c r="G1571" t="n">
        <v>38</v>
      </c>
      <c r="H1571" t="inlineStr">
        <is>
          <t>Standard</t>
        </is>
      </c>
      <c r="I1571" t="inlineStr">
        <is>
          <t>AWD</t>
        </is>
      </c>
      <c r="J1571" t="inlineStr">
        <is>
          <t>Red</t>
        </is>
      </c>
      <c r="K1571" t="n">
        <v>453</v>
      </c>
      <c r="L1571" t="n">
        <v>87</v>
      </c>
      <c r="M1571" t="n">
        <v>23.92</v>
      </c>
      <c r="N1571" t="n">
        <v>1158.9</v>
      </c>
      <c r="O1571" t="n">
        <v>4.87</v>
      </c>
      <c r="P1571" t="n">
        <v>5</v>
      </c>
      <c r="Q1571" t="n">
        <v>3</v>
      </c>
      <c r="R1571" t="n">
        <v>2022.11</v>
      </c>
      <c r="S1571" t="b">
        <v>1</v>
      </c>
      <c r="T1571" t="n">
        <v>1148658</v>
      </c>
      <c r="U1571" t="n">
        <v>11</v>
      </c>
      <c r="V1571" t="n">
        <v>0.0564</v>
      </c>
      <c r="W1571" t="n">
        <v>1.37</v>
      </c>
      <c r="X1571" t="n">
        <v>88.09</v>
      </c>
      <c r="Y1571">
        <f>VLOOKUP(D1571,$AB$2:$AC$7,2,FALSE)</f>
        <v/>
      </c>
      <c r="Z1571">
        <f>IF(A1571&lt;Y1571,"Yes","No")</f>
        <v/>
      </c>
    </row>
    <row r="1572">
      <c r="A1572" t="n">
        <v>2016</v>
      </c>
      <c r="B1572" t="inlineStr">
        <is>
          <t>Q4</t>
        </is>
      </c>
      <c r="C1572" t="inlineStr">
        <is>
          <t>Australia</t>
        </is>
      </c>
      <c r="D1572" t="inlineStr">
        <is>
          <t>Model S</t>
        </is>
      </c>
      <c r="E1572" t="n">
        <v>4132</v>
      </c>
      <c r="F1572" t="n">
        <v>103107.79</v>
      </c>
      <c r="G1572" t="n">
        <v>27</v>
      </c>
      <c r="H1572" t="inlineStr">
        <is>
          <t>Standard</t>
        </is>
      </c>
      <c r="I1572" t="inlineStr">
        <is>
          <t>AWD</t>
        </is>
      </c>
      <c r="J1572" t="inlineStr">
        <is>
          <t>Blue</t>
        </is>
      </c>
      <c r="K1572" t="n">
        <v>489</v>
      </c>
      <c r="L1572" t="n">
        <v>90</v>
      </c>
      <c r="M1572" t="n">
        <v>17.53</v>
      </c>
      <c r="N1572" t="n">
        <v>8938.059999999999</v>
      </c>
      <c r="O1572" t="n">
        <v>4.68</v>
      </c>
      <c r="P1572" t="n">
        <v>5</v>
      </c>
      <c r="Q1572" t="n">
        <v>3</v>
      </c>
      <c r="R1572" t="n">
        <v>2020.1</v>
      </c>
      <c r="S1572" t="b">
        <v>0</v>
      </c>
      <c r="T1572" t="n">
        <v>765592</v>
      </c>
      <c r="U1572" t="n">
        <v>12</v>
      </c>
      <c r="V1572" t="n">
        <v>0.0539</v>
      </c>
      <c r="W1572" t="n">
        <v>1.12</v>
      </c>
      <c r="X1572" t="n">
        <v>88.5</v>
      </c>
      <c r="Y1572">
        <f>VLOOKUP(D1572,$AB$2:$AC$7,2,FALSE)</f>
        <v/>
      </c>
      <c r="Z1572">
        <f>IF(A1572&lt;Y1572,"Yes","No")</f>
        <v/>
      </c>
    </row>
    <row r="1573">
      <c r="A1573" t="n">
        <v>2015</v>
      </c>
      <c r="B1573" t="inlineStr">
        <is>
          <t>Q4</t>
        </is>
      </c>
      <c r="C1573" t="inlineStr">
        <is>
          <t>South America</t>
        </is>
      </c>
      <c r="D1573" t="inlineStr">
        <is>
          <t>Model Y</t>
        </is>
      </c>
      <c r="E1573" t="n">
        <v>725</v>
      </c>
      <c r="F1573" t="n">
        <v>91126.99000000001</v>
      </c>
      <c r="G1573" t="n">
        <v>40</v>
      </c>
      <c r="H1573" t="inlineStr">
        <is>
          <t>Long Range</t>
        </is>
      </c>
      <c r="I1573" t="inlineStr">
        <is>
          <t>AWD</t>
        </is>
      </c>
      <c r="J1573" t="inlineStr">
        <is>
          <t>Silver</t>
        </is>
      </c>
      <c r="K1573" t="n">
        <v>584</v>
      </c>
      <c r="L1573" t="n">
        <v>57</v>
      </c>
      <c r="M1573" t="n">
        <v>15.24</v>
      </c>
      <c r="N1573" t="n">
        <v>477.54</v>
      </c>
      <c r="O1573" t="n">
        <v>4.04</v>
      </c>
      <c r="P1573" t="n">
        <v>8</v>
      </c>
      <c r="Q1573" t="n">
        <v>3</v>
      </c>
      <c r="R1573" t="n">
        <v>2022.1</v>
      </c>
      <c r="S1573" t="b">
        <v>0</v>
      </c>
      <c r="T1573" t="n">
        <v>2238815</v>
      </c>
      <c r="U1573" t="n">
        <v>7</v>
      </c>
      <c r="V1573" t="n">
        <v>0.08500000000000001</v>
      </c>
      <c r="W1573" t="n">
        <v>1.37</v>
      </c>
      <c r="X1573" t="n">
        <v>63.66</v>
      </c>
      <c r="Y1573">
        <f>VLOOKUP(D1573,$AB$2:$AC$7,2,FALSE)</f>
        <v/>
      </c>
      <c r="Z1573">
        <f>IF(A1573&lt;Y1573,"Yes","No")</f>
        <v/>
      </c>
    </row>
    <row r="1574">
      <c r="A1574" t="n">
        <v>2014</v>
      </c>
      <c r="B1574" t="inlineStr">
        <is>
          <t>Q3</t>
        </is>
      </c>
      <c r="C1574" t="inlineStr">
        <is>
          <t>South America</t>
        </is>
      </c>
      <c r="D1574" t="inlineStr">
        <is>
          <t>Semi</t>
        </is>
      </c>
      <c r="E1574" t="n">
        <v>4141</v>
      </c>
      <c r="F1574" t="n">
        <v>61146.52</v>
      </c>
      <c r="G1574" t="n">
        <v>17</v>
      </c>
      <c r="H1574" t="inlineStr">
        <is>
          <t>Standard</t>
        </is>
      </c>
      <c r="I1574" t="inlineStr">
        <is>
          <t>RWD</t>
        </is>
      </c>
      <c r="J1574" t="inlineStr">
        <is>
          <t>Silver</t>
        </is>
      </c>
      <c r="K1574" t="n">
        <v>535</v>
      </c>
      <c r="L1574" t="n">
        <v>86</v>
      </c>
      <c r="M1574" t="n">
        <v>15.81</v>
      </c>
      <c r="N1574" t="n">
        <v>2596.57</v>
      </c>
      <c r="O1574" t="n">
        <v>3.66</v>
      </c>
      <c r="P1574" t="n">
        <v>8</v>
      </c>
      <c r="Q1574" t="n">
        <v>1</v>
      </c>
      <c r="R1574" t="n">
        <v>2023.4</v>
      </c>
      <c r="S1574" t="b">
        <v>0</v>
      </c>
      <c r="T1574" t="n">
        <v>4897893</v>
      </c>
      <c r="U1574" t="n">
        <v>4</v>
      </c>
      <c r="V1574" t="n">
        <v>0.0174</v>
      </c>
      <c r="W1574" t="n">
        <v>0.82</v>
      </c>
      <c r="X1574" t="n">
        <v>66.15000000000001</v>
      </c>
      <c r="Y1574">
        <f>VLOOKUP(D1574,$AB$2:$AC$7,2,FALSE)</f>
        <v/>
      </c>
      <c r="Z1574">
        <f>IF(A1574&lt;Y1574,"Yes","No")</f>
        <v/>
      </c>
    </row>
    <row r="1575">
      <c r="A1575" t="n">
        <v>2015</v>
      </c>
      <c r="B1575" t="inlineStr">
        <is>
          <t>Q2</t>
        </is>
      </c>
      <c r="C1575" t="inlineStr">
        <is>
          <t>North America</t>
        </is>
      </c>
      <c r="D1575" t="inlineStr">
        <is>
          <t>Model X</t>
        </is>
      </c>
      <c r="E1575" t="n">
        <v>4663</v>
      </c>
      <c r="F1575" t="n">
        <v>101765.84</v>
      </c>
      <c r="G1575" t="n">
        <v>0</v>
      </c>
      <c r="H1575" t="inlineStr">
        <is>
          <t>Long Range</t>
        </is>
      </c>
      <c r="I1575" t="inlineStr">
        <is>
          <t>AWD</t>
        </is>
      </c>
      <c r="J1575" t="inlineStr">
        <is>
          <t>Black</t>
        </is>
      </c>
      <c r="K1575" t="n">
        <v>420</v>
      </c>
      <c r="L1575" t="n">
        <v>72</v>
      </c>
      <c r="M1575" t="n">
        <v>21.35</v>
      </c>
      <c r="N1575" t="n">
        <v>5031.08</v>
      </c>
      <c r="O1575" t="n">
        <v>3.91</v>
      </c>
      <c r="P1575" t="n">
        <v>6</v>
      </c>
      <c r="Q1575" t="n">
        <v>2</v>
      </c>
      <c r="R1575" t="n">
        <v>2023.8</v>
      </c>
      <c r="S1575" t="b">
        <v>0</v>
      </c>
      <c r="T1575" t="n">
        <v>696188</v>
      </c>
      <c r="U1575" t="n">
        <v>7</v>
      </c>
      <c r="V1575" t="n">
        <v>0.0847</v>
      </c>
      <c r="W1575" t="n">
        <v>1.83</v>
      </c>
      <c r="X1575" t="n">
        <v>63.31</v>
      </c>
      <c r="Y1575">
        <f>VLOOKUP(D1575,$AB$2:$AC$7,2,FALSE)</f>
        <v/>
      </c>
      <c r="Z1575">
        <f>IF(A1575&lt;Y1575,"Yes","No")</f>
        <v/>
      </c>
    </row>
    <row r="1576">
      <c r="A1576" t="n">
        <v>2019</v>
      </c>
      <c r="B1576" t="inlineStr">
        <is>
          <t>Q4</t>
        </is>
      </c>
      <c r="C1576" t="inlineStr">
        <is>
          <t>Australia</t>
        </is>
      </c>
      <c r="D1576" t="inlineStr">
        <is>
          <t>Model S</t>
        </is>
      </c>
      <c r="E1576" t="n">
        <v>2480</v>
      </c>
      <c r="F1576" t="n">
        <v>61830.31</v>
      </c>
      <c r="G1576" t="n">
        <v>35</v>
      </c>
      <c r="H1576" t="inlineStr">
        <is>
          <t>Performance</t>
        </is>
      </c>
      <c r="I1576" t="inlineStr">
        <is>
          <t>AWD</t>
        </is>
      </c>
      <c r="J1576" t="inlineStr">
        <is>
          <t>Silver</t>
        </is>
      </c>
      <c r="K1576" t="n">
        <v>393</v>
      </c>
      <c r="L1576" t="n">
        <v>87</v>
      </c>
      <c r="M1576" t="n">
        <v>14.18</v>
      </c>
      <c r="N1576" t="n">
        <v>4640.69</v>
      </c>
      <c r="O1576" t="n">
        <v>4.61</v>
      </c>
      <c r="P1576" t="n">
        <v>6</v>
      </c>
      <c r="Q1576" t="n">
        <v>3</v>
      </c>
      <c r="R1576" t="n">
        <v>2023.8</v>
      </c>
      <c r="S1576" t="b">
        <v>0</v>
      </c>
      <c r="T1576" t="n">
        <v>3451236</v>
      </c>
      <c r="U1576" t="n">
        <v>7</v>
      </c>
      <c r="V1576" t="n">
        <v>0.0835</v>
      </c>
      <c r="W1576" t="n">
        <v>1.94</v>
      </c>
      <c r="X1576" t="n">
        <v>71.55</v>
      </c>
      <c r="Y1576">
        <f>VLOOKUP(D1576,$AB$2:$AC$7,2,FALSE)</f>
        <v/>
      </c>
      <c r="Z1576">
        <f>IF(A1576&lt;Y1576,"Yes","No")</f>
        <v/>
      </c>
    </row>
    <row r="1577">
      <c r="A1577" t="n">
        <v>2016</v>
      </c>
      <c r="B1577" t="inlineStr">
        <is>
          <t>Q4</t>
        </is>
      </c>
      <c r="C1577" t="inlineStr">
        <is>
          <t>Australia</t>
        </is>
      </c>
      <c r="D1577" t="inlineStr">
        <is>
          <t>Model S</t>
        </is>
      </c>
      <c r="E1577" t="n">
        <v>4655</v>
      </c>
      <c r="F1577" t="n">
        <v>64987.03</v>
      </c>
      <c r="G1577" t="n">
        <v>0</v>
      </c>
      <c r="H1577" t="inlineStr">
        <is>
          <t>Performance</t>
        </is>
      </c>
      <c r="I1577" t="inlineStr">
        <is>
          <t>RWD</t>
        </is>
      </c>
      <c r="J1577" t="inlineStr">
        <is>
          <t>Green</t>
        </is>
      </c>
      <c r="K1577" t="n">
        <v>421</v>
      </c>
      <c r="L1577" t="n">
        <v>67</v>
      </c>
      <c r="M1577" t="n">
        <v>18.23</v>
      </c>
      <c r="N1577" t="n">
        <v>5395.45</v>
      </c>
      <c r="O1577" t="n">
        <v>3.98</v>
      </c>
      <c r="P1577" t="n">
        <v>5</v>
      </c>
      <c r="Q1577" t="n">
        <v>0</v>
      </c>
      <c r="R1577" t="n">
        <v>2023.6</v>
      </c>
      <c r="S1577" t="b">
        <v>1</v>
      </c>
      <c r="T1577" t="n">
        <v>2511876</v>
      </c>
      <c r="U1577" t="n">
        <v>11</v>
      </c>
      <c r="V1577" t="n">
        <v>0.06610000000000001</v>
      </c>
      <c r="W1577" t="n">
        <v>1.54</v>
      </c>
      <c r="X1577" t="n">
        <v>75.88</v>
      </c>
      <c r="Y1577">
        <f>VLOOKUP(D1577,$AB$2:$AC$7,2,FALSE)</f>
        <v/>
      </c>
      <c r="Z1577">
        <f>IF(A1577&lt;Y1577,"Yes","No")</f>
        <v/>
      </c>
    </row>
    <row r="1578">
      <c r="A1578" t="n">
        <v>2021</v>
      </c>
      <c r="B1578" t="inlineStr">
        <is>
          <t>Q4</t>
        </is>
      </c>
      <c r="C1578" t="inlineStr">
        <is>
          <t>Europe</t>
        </is>
      </c>
      <c r="D1578" t="inlineStr">
        <is>
          <t>Model Y</t>
        </is>
      </c>
      <c r="E1578" t="n">
        <v>3003</v>
      </c>
      <c r="F1578" t="n">
        <v>60422.33</v>
      </c>
      <c r="G1578" t="n">
        <v>17</v>
      </c>
      <c r="H1578" t="inlineStr">
        <is>
          <t>Standard</t>
        </is>
      </c>
      <c r="I1578" t="inlineStr">
        <is>
          <t>AWD</t>
        </is>
      </c>
      <c r="J1578" t="inlineStr">
        <is>
          <t>Red</t>
        </is>
      </c>
      <c r="K1578" t="n">
        <v>570</v>
      </c>
      <c r="L1578" t="n">
        <v>34</v>
      </c>
      <c r="M1578" t="n">
        <v>21.24</v>
      </c>
      <c r="N1578" t="n">
        <v>4828.89</v>
      </c>
      <c r="O1578" t="n">
        <v>4.54</v>
      </c>
      <c r="P1578" t="n">
        <v>8</v>
      </c>
      <c r="Q1578" t="n">
        <v>1</v>
      </c>
      <c r="R1578" t="n">
        <v>2024.9</v>
      </c>
      <c r="S1578" t="b">
        <v>0</v>
      </c>
      <c r="T1578" t="n">
        <v>2047495</v>
      </c>
      <c r="U1578" t="n">
        <v>12</v>
      </c>
      <c r="V1578" t="n">
        <v>0.0574</v>
      </c>
      <c r="W1578" t="n">
        <v>2.07</v>
      </c>
      <c r="X1578" t="n">
        <v>68.27</v>
      </c>
      <c r="Y1578">
        <f>VLOOKUP(D1578,$AB$2:$AC$7,2,FALSE)</f>
        <v/>
      </c>
      <c r="Z1578">
        <f>IF(A1578&lt;Y1578,"Yes","No")</f>
        <v/>
      </c>
    </row>
    <row r="1579">
      <c r="A1579" t="n">
        <v>2012</v>
      </c>
      <c r="B1579" t="inlineStr">
        <is>
          <t>Q4</t>
        </is>
      </c>
      <c r="C1579" t="inlineStr">
        <is>
          <t>Australia</t>
        </is>
      </c>
      <c r="D1579" t="inlineStr">
        <is>
          <t>Model 3</t>
        </is>
      </c>
      <c r="E1579" t="n">
        <v>2550</v>
      </c>
      <c r="F1579" t="n">
        <v>70265.27</v>
      </c>
      <c r="G1579" t="n">
        <v>27</v>
      </c>
      <c r="H1579" t="inlineStr">
        <is>
          <t>Standard</t>
        </is>
      </c>
      <c r="I1579" t="inlineStr">
        <is>
          <t>AWD</t>
        </is>
      </c>
      <c r="J1579" t="inlineStr">
        <is>
          <t>Black</t>
        </is>
      </c>
      <c r="K1579" t="n">
        <v>433</v>
      </c>
      <c r="L1579" t="n">
        <v>81</v>
      </c>
      <c r="M1579" t="n">
        <v>23.4</v>
      </c>
      <c r="N1579" t="n">
        <v>2585.41</v>
      </c>
      <c r="O1579" t="n">
        <v>3.58</v>
      </c>
      <c r="P1579" t="n">
        <v>4</v>
      </c>
      <c r="Q1579" t="n">
        <v>1</v>
      </c>
      <c r="R1579" t="n">
        <v>2024.4</v>
      </c>
      <c r="S1579" t="b">
        <v>1</v>
      </c>
      <c r="T1579" t="n">
        <v>266247</v>
      </c>
      <c r="U1579" t="n">
        <v>3</v>
      </c>
      <c r="V1579" t="n">
        <v>0.0198</v>
      </c>
      <c r="W1579" t="n">
        <v>0.72</v>
      </c>
      <c r="X1579" t="n">
        <v>86.06999999999999</v>
      </c>
      <c r="Y1579">
        <f>VLOOKUP(D1579,$AB$2:$AC$7,2,FALSE)</f>
        <v/>
      </c>
      <c r="Z1579">
        <f>IF(A1579&lt;Y1579,"Yes","No")</f>
        <v/>
      </c>
    </row>
    <row r="1580">
      <c r="A1580" t="n">
        <v>2016</v>
      </c>
      <c r="B1580" t="inlineStr">
        <is>
          <t>Q1</t>
        </is>
      </c>
      <c r="C1580" t="inlineStr">
        <is>
          <t>Australia</t>
        </is>
      </c>
      <c r="D1580" t="inlineStr">
        <is>
          <t>Model X</t>
        </is>
      </c>
      <c r="E1580" t="n">
        <v>2111</v>
      </c>
      <c r="F1580" t="n">
        <v>77650.24000000001</v>
      </c>
      <c r="G1580" t="n">
        <v>20</v>
      </c>
      <c r="H1580" t="inlineStr">
        <is>
          <t>Long Range</t>
        </is>
      </c>
      <c r="I1580" t="inlineStr">
        <is>
          <t>RWD</t>
        </is>
      </c>
      <c r="J1580" t="inlineStr">
        <is>
          <t>White</t>
        </is>
      </c>
      <c r="K1580" t="n">
        <v>540</v>
      </c>
      <c r="L1580" t="n">
        <v>38</v>
      </c>
      <c r="M1580" t="n">
        <v>21.36</v>
      </c>
      <c r="N1580" t="n">
        <v>2556.33</v>
      </c>
      <c r="O1580" t="n">
        <v>4.35</v>
      </c>
      <c r="P1580" t="n">
        <v>4</v>
      </c>
      <c r="Q1580" t="n">
        <v>2</v>
      </c>
      <c r="R1580" t="n">
        <v>2020.5</v>
      </c>
      <c r="S1580" t="b">
        <v>1</v>
      </c>
      <c r="T1580" t="n">
        <v>3556678</v>
      </c>
      <c r="U1580" t="n">
        <v>11</v>
      </c>
      <c r="V1580" t="n">
        <v>0.0512</v>
      </c>
      <c r="W1580" t="n">
        <v>1.01</v>
      </c>
      <c r="X1580" t="n">
        <v>73.64</v>
      </c>
      <c r="Y1580">
        <f>VLOOKUP(D1580,$AB$2:$AC$7,2,FALSE)</f>
        <v/>
      </c>
      <c r="Z1580">
        <f>IF(A1580&lt;Y1580,"Yes","No")</f>
        <v/>
      </c>
    </row>
    <row r="1581">
      <c r="A1581" t="n">
        <v>2020</v>
      </c>
      <c r="B1581" t="inlineStr">
        <is>
          <t>Q2</t>
        </is>
      </c>
      <c r="C1581" t="inlineStr">
        <is>
          <t>Asia</t>
        </is>
      </c>
      <c r="D1581" t="inlineStr">
        <is>
          <t>Model S</t>
        </is>
      </c>
      <c r="E1581" t="n">
        <v>3761</v>
      </c>
      <c r="F1581" t="n">
        <v>116399.9</v>
      </c>
      <c r="G1581" t="n">
        <v>56</v>
      </c>
      <c r="H1581" t="inlineStr">
        <is>
          <t>Performance</t>
        </is>
      </c>
      <c r="I1581" t="inlineStr">
        <is>
          <t>AWD</t>
        </is>
      </c>
      <c r="J1581" t="inlineStr">
        <is>
          <t>Green</t>
        </is>
      </c>
      <c r="K1581" t="n">
        <v>606</v>
      </c>
      <c r="L1581" t="n">
        <v>59</v>
      </c>
      <c r="M1581" t="n">
        <v>21.55</v>
      </c>
      <c r="N1581" t="n">
        <v>2549.9</v>
      </c>
      <c r="O1581" t="n">
        <v>3.86</v>
      </c>
      <c r="P1581" t="n">
        <v>6</v>
      </c>
      <c r="Q1581" t="n">
        <v>3</v>
      </c>
      <c r="R1581" t="n">
        <v>2023.1</v>
      </c>
      <c r="S1581" t="b">
        <v>0</v>
      </c>
      <c r="T1581" t="n">
        <v>2175700</v>
      </c>
      <c r="U1581" t="n">
        <v>12</v>
      </c>
      <c r="V1581" t="n">
        <v>0.0988</v>
      </c>
      <c r="W1581" t="n">
        <v>2.12</v>
      </c>
      <c r="X1581" t="n">
        <v>76.28</v>
      </c>
      <c r="Y1581">
        <f>VLOOKUP(D1581,$AB$2:$AC$7,2,FALSE)</f>
        <v/>
      </c>
      <c r="Z1581">
        <f>IF(A1581&lt;Y1581,"Yes","No")</f>
        <v/>
      </c>
    </row>
    <row r="1582">
      <c r="A1582" t="n">
        <v>2024</v>
      </c>
      <c r="B1582" t="inlineStr">
        <is>
          <t>Q3</t>
        </is>
      </c>
      <c r="C1582" t="inlineStr">
        <is>
          <t>South America</t>
        </is>
      </c>
      <c r="D1582" t="inlineStr">
        <is>
          <t>Model Y</t>
        </is>
      </c>
      <c r="E1582" t="n">
        <v>2100</v>
      </c>
      <c r="F1582" t="n">
        <v>40804.8</v>
      </c>
      <c r="G1582" t="n">
        <v>41</v>
      </c>
      <c r="H1582" t="inlineStr">
        <is>
          <t>Performance</t>
        </is>
      </c>
      <c r="I1582" t="inlineStr">
        <is>
          <t>AWD</t>
        </is>
      </c>
      <c r="J1582" t="inlineStr">
        <is>
          <t>White</t>
        </is>
      </c>
      <c r="K1582" t="n">
        <v>699</v>
      </c>
      <c r="L1582" t="n">
        <v>54</v>
      </c>
      <c r="M1582" t="n">
        <v>23.85</v>
      </c>
      <c r="N1582" t="n">
        <v>3958.5</v>
      </c>
      <c r="O1582" t="n">
        <v>4.4</v>
      </c>
      <c r="P1582" t="n">
        <v>4</v>
      </c>
      <c r="Q1582" t="n">
        <v>3</v>
      </c>
      <c r="R1582" t="n">
        <v>2021.5</v>
      </c>
      <c r="S1582" t="b">
        <v>0</v>
      </c>
      <c r="T1582" t="n">
        <v>2671266</v>
      </c>
      <c r="U1582" t="n">
        <v>12</v>
      </c>
      <c r="V1582" t="n">
        <v>0.0523</v>
      </c>
      <c r="W1582" t="n">
        <v>1.91</v>
      </c>
      <c r="X1582" t="n">
        <v>65.04000000000001</v>
      </c>
      <c r="Y1582">
        <f>VLOOKUP(D1582,$AB$2:$AC$7,2,FALSE)</f>
        <v/>
      </c>
      <c r="Z1582">
        <f>IF(A1582&lt;Y1582,"Yes","No")</f>
        <v/>
      </c>
    </row>
    <row r="1583">
      <c r="A1583" t="n">
        <v>2015</v>
      </c>
      <c r="B1583" t="inlineStr">
        <is>
          <t>Q4</t>
        </is>
      </c>
      <c r="C1583" t="inlineStr">
        <is>
          <t>South America</t>
        </is>
      </c>
      <c r="D1583" t="inlineStr">
        <is>
          <t>Model X</t>
        </is>
      </c>
      <c r="E1583" t="n">
        <v>1175</v>
      </c>
      <c r="F1583" t="n">
        <v>71687.21000000001</v>
      </c>
      <c r="G1583" t="n">
        <v>55</v>
      </c>
      <c r="H1583" t="inlineStr">
        <is>
          <t>Long Range</t>
        </is>
      </c>
      <c r="I1583" t="inlineStr">
        <is>
          <t>AWD</t>
        </is>
      </c>
      <c r="J1583" t="inlineStr">
        <is>
          <t>Blue</t>
        </is>
      </c>
      <c r="K1583" t="n">
        <v>652</v>
      </c>
      <c r="L1583" t="n">
        <v>59</v>
      </c>
      <c r="M1583" t="n">
        <v>15.29</v>
      </c>
      <c r="N1583" t="n">
        <v>1718.76</v>
      </c>
      <c r="O1583" t="n">
        <v>4.59</v>
      </c>
      <c r="P1583" t="n">
        <v>4</v>
      </c>
      <c r="Q1583" t="n">
        <v>0</v>
      </c>
      <c r="R1583" t="n">
        <v>2020.3</v>
      </c>
      <c r="S1583" t="b">
        <v>0</v>
      </c>
      <c r="T1583" t="n">
        <v>746579</v>
      </c>
      <c r="U1583" t="n">
        <v>11</v>
      </c>
      <c r="V1583" t="n">
        <v>0.07829999999999999</v>
      </c>
      <c r="W1583" t="n">
        <v>1.86</v>
      </c>
      <c r="X1583" t="n">
        <v>89.90000000000001</v>
      </c>
      <c r="Y1583">
        <f>VLOOKUP(D1583,$AB$2:$AC$7,2,FALSE)</f>
        <v/>
      </c>
      <c r="Z1583">
        <f>IF(A1583&lt;Y1583,"Yes","No")</f>
        <v/>
      </c>
    </row>
    <row r="1584">
      <c r="A1584" t="n">
        <v>2017</v>
      </c>
      <c r="B1584" t="inlineStr">
        <is>
          <t>Q2</t>
        </is>
      </c>
      <c r="C1584" t="inlineStr">
        <is>
          <t>North America</t>
        </is>
      </c>
      <c r="D1584" t="inlineStr">
        <is>
          <t>Model 3</t>
        </is>
      </c>
      <c r="E1584" t="n">
        <v>4473</v>
      </c>
      <c r="F1584" t="n">
        <v>116184.14</v>
      </c>
      <c r="G1584" t="n">
        <v>29</v>
      </c>
      <c r="H1584" t="inlineStr">
        <is>
          <t>Standard</t>
        </is>
      </c>
      <c r="I1584" t="inlineStr">
        <is>
          <t>AWD</t>
        </is>
      </c>
      <c r="J1584" t="inlineStr">
        <is>
          <t>Black</t>
        </is>
      </c>
      <c r="K1584" t="n">
        <v>413</v>
      </c>
      <c r="L1584" t="n">
        <v>79</v>
      </c>
      <c r="M1584" t="n">
        <v>23.33</v>
      </c>
      <c r="N1584" t="n">
        <v>5504.75</v>
      </c>
      <c r="O1584" t="n">
        <v>3.61</v>
      </c>
      <c r="P1584" t="n">
        <v>4</v>
      </c>
      <c r="Q1584" t="n">
        <v>2</v>
      </c>
      <c r="R1584" t="n">
        <v>2022.12</v>
      </c>
      <c r="S1584" t="b">
        <v>0</v>
      </c>
      <c r="T1584" t="n">
        <v>1538829</v>
      </c>
      <c r="U1584" t="n">
        <v>6</v>
      </c>
      <c r="V1584" t="n">
        <v>0.0834</v>
      </c>
      <c r="W1584" t="n">
        <v>1.95</v>
      </c>
      <c r="X1584" t="n">
        <v>72.51000000000001</v>
      </c>
      <c r="Y1584">
        <f>VLOOKUP(D1584,$AB$2:$AC$7,2,FALSE)</f>
        <v/>
      </c>
      <c r="Z1584">
        <f>IF(A1584&lt;Y1584,"Yes","No")</f>
        <v/>
      </c>
    </row>
    <row r="1585">
      <c r="A1585" t="n">
        <v>2014</v>
      </c>
      <c r="B1585" t="inlineStr">
        <is>
          <t>Q2</t>
        </is>
      </c>
      <c r="C1585" t="inlineStr">
        <is>
          <t>North America</t>
        </is>
      </c>
      <c r="D1585" t="inlineStr">
        <is>
          <t>Model S</t>
        </is>
      </c>
      <c r="E1585" t="n">
        <v>3250</v>
      </c>
      <c r="F1585" t="n">
        <v>63609.44</v>
      </c>
      <c r="G1585" t="n">
        <v>26</v>
      </c>
      <c r="H1585" t="inlineStr">
        <is>
          <t>Standard</t>
        </is>
      </c>
      <c r="I1585" t="inlineStr">
        <is>
          <t>AWD</t>
        </is>
      </c>
      <c r="J1585" t="inlineStr">
        <is>
          <t>Silver</t>
        </is>
      </c>
      <c r="K1585" t="n">
        <v>458</v>
      </c>
      <c r="L1585" t="n">
        <v>73</v>
      </c>
      <c r="M1585" t="n">
        <v>17.23</v>
      </c>
      <c r="N1585" t="n">
        <v>5017.5</v>
      </c>
      <c r="O1585" t="n">
        <v>3.93</v>
      </c>
      <c r="P1585" t="n">
        <v>5</v>
      </c>
      <c r="Q1585" t="n">
        <v>3</v>
      </c>
      <c r="R1585" t="n">
        <v>2021.6</v>
      </c>
      <c r="S1585" t="b">
        <v>1</v>
      </c>
      <c r="T1585" t="n">
        <v>4616929</v>
      </c>
      <c r="U1585" t="n">
        <v>3</v>
      </c>
      <c r="V1585" t="n">
        <v>0.0959</v>
      </c>
      <c r="W1585" t="n">
        <v>0.53</v>
      </c>
      <c r="X1585" t="n">
        <v>61.61</v>
      </c>
      <c r="Y1585">
        <f>VLOOKUP(D1585,$AB$2:$AC$7,2,FALSE)</f>
        <v/>
      </c>
      <c r="Z1585">
        <f>IF(A1585&lt;Y1585,"Yes","No")</f>
        <v/>
      </c>
    </row>
    <row r="1586">
      <c r="A1586" t="n">
        <v>2019</v>
      </c>
      <c r="B1586" t="inlineStr">
        <is>
          <t>Q3</t>
        </is>
      </c>
      <c r="C1586" t="inlineStr">
        <is>
          <t>Asia</t>
        </is>
      </c>
      <c r="D1586" t="inlineStr">
        <is>
          <t>Cybertruck</t>
        </is>
      </c>
      <c r="E1586" t="n">
        <v>4367</v>
      </c>
      <c r="F1586" t="n">
        <v>106245.65</v>
      </c>
      <c r="G1586" t="n">
        <v>4</v>
      </c>
      <c r="H1586" t="inlineStr">
        <is>
          <t>Performance</t>
        </is>
      </c>
      <c r="I1586" t="inlineStr">
        <is>
          <t>RWD</t>
        </is>
      </c>
      <c r="J1586" t="inlineStr">
        <is>
          <t>Black</t>
        </is>
      </c>
      <c r="K1586" t="n">
        <v>381</v>
      </c>
      <c r="L1586" t="n">
        <v>39</v>
      </c>
      <c r="M1586" t="n">
        <v>23.61</v>
      </c>
      <c r="N1586" t="n">
        <v>6805.7</v>
      </c>
      <c r="O1586" t="n">
        <v>3.78</v>
      </c>
      <c r="P1586" t="n">
        <v>6</v>
      </c>
      <c r="Q1586" t="n">
        <v>0</v>
      </c>
      <c r="R1586" t="n">
        <v>2023.5</v>
      </c>
      <c r="S1586" t="b">
        <v>0</v>
      </c>
      <c r="T1586" t="n">
        <v>221489</v>
      </c>
      <c r="U1586" t="n">
        <v>11</v>
      </c>
      <c r="V1586" t="n">
        <v>0.0291</v>
      </c>
      <c r="W1586" t="n">
        <v>2.23</v>
      </c>
      <c r="X1586" t="n">
        <v>88.25</v>
      </c>
      <c r="Y1586">
        <f>VLOOKUP(D1586,$AB$2:$AC$7,2,FALSE)</f>
        <v/>
      </c>
      <c r="Z1586">
        <f>IF(A1586&lt;Y1586,"Yes","No")</f>
        <v/>
      </c>
    </row>
    <row r="1587">
      <c r="A1587" t="n">
        <v>2020</v>
      </c>
      <c r="B1587" t="inlineStr">
        <is>
          <t>Q1</t>
        </is>
      </c>
      <c r="C1587" t="inlineStr">
        <is>
          <t>South America</t>
        </is>
      </c>
      <c r="D1587" t="inlineStr">
        <is>
          <t>Semi</t>
        </is>
      </c>
      <c r="E1587" t="n">
        <v>4678</v>
      </c>
      <c r="F1587" t="n">
        <v>86688.62</v>
      </c>
      <c r="G1587" t="n">
        <v>29</v>
      </c>
      <c r="H1587" t="inlineStr">
        <is>
          <t>Standard</t>
        </is>
      </c>
      <c r="I1587" t="inlineStr">
        <is>
          <t>AWD</t>
        </is>
      </c>
      <c r="J1587" t="inlineStr">
        <is>
          <t>White</t>
        </is>
      </c>
      <c r="K1587" t="n">
        <v>488</v>
      </c>
      <c r="L1587" t="n">
        <v>30</v>
      </c>
      <c r="M1587" t="n">
        <v>16.63</v>
      </c>
      <c r="N1587" t="n">
        <v>9709.049999999999</v>
      </c>
      <c r="O1587" t="n">
        <v>3.63</v>
      </c>
      <c r="P1587" t="n">
        <v>4</v>
      </c>
      <c r="Q1587" t="n">
        <v>3</v>
      </c>
      <c r="R1587" t="n">
        <v>2023.2</v>
      </c>
      <c r="S1587" t="b">
        <v>1</v>
      </c>
      <c r="T1587" t="n">
        <v>2076436</v>
      </c>
      <c r="U1587" t="n">
        <v>12</v>
      </c>
      <c r="V1587" t="n">
        <v>0.0396</v>
      </c>
      <c r="W1587" t="n">
        <v>1.88</v>
      </c>
      <c r="X1587" t="n">
        <v>88.16</v>
      </c>
      <c r="Y1587">
        <f>VLOOKUP(D1587,$AB$2:$AC$7,2,FALSE)</f>
        <v/>
      </c>
      <c r="Z1587">
        <f>IF(A1587&lt;Y1587,"Yes","No")</f>
        <v/>
      </c>
    </row>
    <row r="1588">
      <c r="A1588" t="n">
        <v>2014</v>
      </c>
      <c r="B1588" t="inlineStr">
        <is>
          <t>Q4</t>
        </is>
      </c>
      <c r="C1588" t="inlineStr">
        <is>
          <t>Australia</t>
        </is>
      </c>
      <c r="D1588" t="inlineStr">
        <is>
          <t>Semi</t>
        </is>
      </c>
      <c r="E1588" t="n">
        <v>1857</v>
      </c>
      <c r="F1588" t="n">
        <v>76609.10000000001</v>
      </c>
      <c r="G1588" t="n">
        <v>22</v>
      </c>
      <c r="H1588" t="inlineStr">
        <is>
          <t>Long Range</t>
        </is>
      </c>
      <c r="I1588" t="inlineStr">
        <is>
          <t>RWD</t>
        </is>
      </c>
      <c r="J1588" t="inlineStr">
        <is>
          <t>Blue</t>
        </is>
      </c>
      <c r="K1588" t="n">
        <v>553</v>
      </c>
      <c r="L1588" t="n">
        <v>34</v>
      </c>
      <c r="M1588" t="n">
        <v>18.25</v>
      </c>
      <c r="N1588" t="n">
        <v>2576.82</v>
      </c>
      <c r="O1588" t="n">
        <v>4.21</v>
      </c>
      <c r="P1588" t="n">
        <v>5</v>
      </c>
      <c r="Q1588" t="n">
        <v>2</v>
      </c>
      <c r="R1588" t="n">
        <v>2022.5</v>
      </c>
      <c r="S1588" t="b">
        <v>1</v>
      </c>
      <c r="T1588" t="n">
        <v>2516762</v>
      </c>
      <c r="U1588" t="n">
        <v>9</v>
      </c>
      <c r="V1588" t="n">
        <v>0.0944</v>
      </c>
      <c r="W1588" t="n">
        <v>0.86</v>
      </c>
      <c r="X1588" t="n">
        <v>71.69</v>
      </c>
      <c r="Y1588">
        <f>VLOOKUP(D1588,$AB$2:$AC$7,2,FALSE)</f>
        <v/>
      </c>
      <c r="Z1588">
        <f>IF(A1588&lt;Y1588,"Yes","No")</f>
        <v/>
      </c>
    </row>
    <row r="1589">
      <c r="A1589" t="n">
        <v>2018</v>
      </c>
      <c r="B1589" t="inlineStr">
        <is>
          <t>Q1</t>
        </is>
      </c>
      <c r="C1589" t="inlineStr">
        <is>
          <t>Asia</t>
        </is>
      </c>
      <c r="D1589" t="inlineStr">
        <is>
          <t>Semi</t>
        </is>
      </c>
      <c r="E1589" t="n">
        <v>2073</v>
      </c>
      <c r="F1589" t="n">
        <v>84308.31</v>
      </c>
      <c r="G1589" t="n">
        <v>51</v>
      </c>
      <c r="H1589" t="inlineStr">
        <is>
          <t>Performance</t>
        </is>
      </c>
      <c r="I1589" t="inlineStr">
        <is>
          <t>AWD</t>
        </is>
      </c>
      <c r="J1589" t="inlineStr">
        <is>
          <t>Silver</t>
        </is>
      </c>
      <c r="K1589" t="n">
        <v>486</v>
      </c>
      <c r="L1589" t="n">
        <v>41</v>
      </c>
      <c r="M1589" t="n">
        <v>18.55</v>
      </c>
      <c r="N1589" t="n">
        <v>1247.96</v>
      </c>
      <c r="O1589" t="n">
        <v>3.71</v>
      </c>
      <c r="P1589" t="n">
        <v>4</v>
      </c>
      <c r="Q1589" t="n">
        <v>2</v>
      </c>
      <c r="R1589" t="n">
        <v>2020.11</v>
      </c>
      <c r="S1589" t="b">
        <v>1</v>
      </c>
      <c r="T1589" t="n">
        <v>1842264</v>
      </c>
      <c r="U1589" t="n">
        <v>6</v>
      </c>
      <c r="V1589" t="n">
        <v>0.0847</v>
      </c>
      <c r="W1589" t="n">
        <v>0.95</v>
      </c>
      <c r="X1589" t="n">
        <v>67.48999999999999</v>
      </c>
      <c r="Y1589">
        <f>VLOOKUP(D1589,$AB$2:$AC$7,2,FALSE)</f>
        <v/>
      </c>
      <c r="Z1589">
        <f>IF(A1589&lt;Y1589,"Yes","No")</f>
        <v/>
      </c>
    </row>
    <row r="1590">
      <c r="A1590" t="n">
        <v>2012</v>
      </c>
      <c r="B1590" t="inlineStr">
        <is>
          <t>Q4</t>
        </is>
      </c>
      <c r="C1590" t="inlineStr">
        <is>
          <t>Europe</t>
        </is>
      </c>
      <c r="D1590" t="inlineStr">
        <is>
          <t>Model Y</t>
        </is>
      </c>
      <c r="E1590" t="n">
        <v>4470</v>
      </c>
      <c r="F1590" t="n">
        <v>117656.79</v>
      </c>
      <c r="G1590" t="n">
        <v>41</v>
      </c>
      <c r="H1590" t="inlineStr">
        <is>
          <t>Long Range</t>
        </is>
      </c>
      <c r="I1590" t="inlineStr">
        <is>
          <t>AWD</t>
        </is>
      </c>
      <c r="J1590" t="inlineStr">
        <is>
          <t>White</t>
        </is>
      </c>
      <c r="K1590" t="n">
        <v>578</v>
      </c>
      <c r="L1590" t="n">
        <v>60</v>
      </c>
      <c r="M1590" t="n">
        <v>15.27</v>
      </c>
      <c r="N1590" t="n">
        <v>8536.41</v>
      </c>
      <c r="O1590" t="n">
        <v>4.75</v>
      </c>
      <c r="P1590" t="n">
        <v>4</v>
      </c>
      <c r="Q1590" t="n">
        <v>1</v>
      </c>
      <c r="R1590" t="n">
        <v>2024.1</v>
      </c>
      <c r="S1590" t="b">
        <v>1</v>
      </c>
      <c r="T1590" t="n">
        <v>1954279</v>
      </c>
      <c r="U1590" t="n">
        <v>9</v>
      </c>
      <c r="V1590" t="n">
        <v>0.0927</v>
      </c>
      <c r="W1590" t="n">
        <v>1.88</v>
      </c>
      <c r="X1590" t="n">
        <v>63.29</v>
      </c>
      <c r="Y1590">
        <f>VLOOKUP(D1590,$AB$2:$AC$7,2,FALSE)</f>
        <v/>
      </c>
      <c r="Z1590">
        <f>IF(A1590&lt;Y1590,"Yes","No")</f>
        <v/>
      </c>
    </row>
    <row r="1591">
      <c r="A1591" t="n">
        <v>2019</v>
      </c>
      <c r="B1591" t="inlineStr">
        <is>
          <t>Q3</t>
        </is>
      </c>
      <c r="C1591" t="inlineStr">
        <is>
          <t>South America</t>
        </is>
      </c>
      <c r="D1591" t="inlineStr">
        <is>
          <t>Model 3</t>
        </is>
      </c>
      <c r="E1591" t="n">
        <v>4697</v>
      </c>
      <c r="F1591" t="n">
        <v>94229.49000000001</v>
      </c>
      <c r="G1591" t="n">
        <v>23</v>
      </c>
      <c r="H1591" t="inlineStr">
        <is>
          <t>Long Range</t>
        </is>
      </c>
      <c r="I1591" t="inlineStr">
        <is>
          <t>RWD</t>
        </is>
      </c>
      <c r="J1591" t="inlineStr">
        <is>
          <t>Green</t>
        </is>
      </c>
      <c r="K1591" t="n">
        <v>394</v>
      </c>
      <c r="L1591" t="n">
        <v>90</v>
      </c>
      <c r="M1591" t="n">
        <v>16.45</v>
      </c>
      <c r="N1591" t="n">
        <v>4046.56</v>
      </c>
      <c r="O1591" t="n">
        <v>4.68</v>
      </c>
      <c r="P1591" t="n">
        <v>4</v>
      </c>
      <c r="Q1591" t="n">
        <v>3</v>
      </c>
      <c r="R1591" t="n">
        <v>2021.3</v>
      </c>
      <c r="S1591" t="b">
        <v>1</v>
      </c>
      <c r="T1591" t="n">
        <v>3384947</v>
      </c>
      <c r="U1591" t="n">
        <v>12</v>
      </c>
      <c r="V1591" t="n">
        <v>0.07489999999999999</v>
      </c>
      <c r="W1591" t="n">
        <v>1.15</v>
      </c>
      <c r="X1591" t="n">
        <v>62.67</v>
      </c>
      <c r="Y1591">
        <f>VLOOKUP(D1591,$AB$2:$AC$7,2,FALSE)</f>
        <v/>
      </c>
      <c r="Z1591">
        <f>IF(A1591&lt;Y1591,"Yes","No")</f>
        <v/>
      </c>
    </row>
    <row r="1592">
      <c r="A1592" t="n">
        <v>2012</v>
      </c>
      <c r="B1592" t="inlineStr">
        <is>
          <t>Q3</t>
        </is>
      </c>
      <c r="C1592" t="inlineStr">
        <is>
          <t>Asia</t>
        </is>
      </c>
      <c r="D1592" t="inlineStr">
        <is>
          <t>Model 3</t>
        </is>
      </c>
      <c r="E1592" t="n">
        <v>3276</v>
      </c>
      <c r="F1592" t="n">
        <v>56350.77</v>
      </c>
      <c r="G1592" t="n">
        <v>13</v>
      </c>
      <c r="H1592" t="inlineStr">
        <is>
          <t>Long Range</t>
        </is>
      </c>
      <c r="I1592" t="inlineStr">
        <is>
          <t>RWD</t>
        </is>
      </c>
      <c r="J1592" t="inlineStr">
        <is>
          <t>White</t>
        </is>
      </c>
      <c r="K1592" t="n">
        <v>478</v>
      </c>
      <c r="L1592" t="n">
        <v>43</v>
      </c>
      <c r="M1592" t="n">
        <v>22.88</v>
      </c>
      <c r="N1592" t="n">
        <v>6543.8</v>
      </c>
      <c r="O1592" t="n">
        <v>4.35</v>
      </c>
      <c r="P1592" t="n">
        <v>8</v>
      </c>
      <c r="Q1592" t="n">
        <v>0</v>
      </c>
      <c r="R1592" t="n">
        <v>2022.3</v>
      </c>
      <c r="S1592" t="b">
        <v>1</v>
      </c>
      <c r="T1592" t="n">
        <v>162541</v>
      </c>
      <c r="U1592" t="n">
        <v>12</v>
      </c>
      <c r="V1592" t="n">
        <v>0.0151</v>
      </c>
      <c r="W1592" t="n">
        <v>1.76</v>
      </c>
      <c r="X1592" t="n">
        <v>64.95</v>
      </c>
      <c r="Y1592">
        <f>VLOOKUP(D1592,$AB$2:$AC$7,2,FALSE)</f>
        <v/>
      </c>
      <c r="Z1592">
        <f>IF(A1592&lt;Y1592,"Yes","No")</f>
        <v/>
      </c>
    </row>
    <row r="1593">
      <c r="A1593" t="n">
        <v>2019</v>
      </c>
      <c r="B1593" t="inlineStr">
        <is>
          <t>Q4</t>
        </is>
      </c>
      <c r="C1593" t="inlineStr">
        <is>
          <t>South America</t>
        </is>
      </c>
      <c r="D1593" t="inlineStr">
        <is>
          <t>Model 3</t>
        </is>
      </c>
      <c r="E1593" t="n">
        <v>2664</v>
      </c>
      <c r="F1593" t="n">
        <v>48362.9</v>
      </c>
      <c r="G1593" t="n">
        <v>32</v>
      </c>
      <c r="H1593" t="inlineStr">
        <is>
          <t>Standard</t>
        </is>
      </c>
      <c r="I1593" t="inlineStr">
        <is>
          <t>RWD</t>
        </is>
      </c>
      <c r="J1593" t="inlineStr">
        <is>
          <t>Silver</t>
        </is>
      </c>
      <c r="K1593" t="n">
        <v>513</v>
      </c>
      <c r="L1593" t="n">
        <v>72</v>
      </c>
      <c r="M1593" t="n">
        <v>18.79</v>
      </c>
      <c r="N1593" t="n">
        <v>1632.38</v>
      </c>
      <c r="O1593" t="n">
        <v>4.87</v>
      </c>
      <c r="P1593" t="n">
        <v>5</v>
      </c>
      <c r="Q1593" t="n">
        <v>2</v>
      </c>
      <c r="R1593" t="n">
        <v>2021.1</v>
      </c>
      <c r="S1593" t="b">
        <v>1</v>
      </c>
      <c r="T1593" t="n">
        <v>465726</v>
      </c>
      <c r="U1593" t="n">
        <v>11</v>
      </c>
      <c r="V1593" t="n">
        <v>0.0139</v>
      </c>
      <c r="W1593" t="n">
        <v>0.62</v>
      </c>
      <c r="X1593" t="n">
        <v>72.69</v>
      </c>
      <c r="Y1593">
        <f>VLOOKUP(D1593,$AB$2:$AC$7,2,FALSE)</f>
        <v/>
      </c>
      <c r="Z1593">
        <f>IF(A1593&lt;Y1593,"Yes","No")</f>
        <v/>
      </c>
    </row>
    <row r="1594">
      <c r="A1594" t="n">
        <v>2022</v>
      </c>
      <c r="B1594" t="inlineStr">
        <is>
          <t>Q2</t>
        </is>
      </c>
      <c r="C1594" t="inlineStr">
        <is>
          <t>Asia</t>
        </is>
      </c>
      <c r="D1594" t="inlineStr">
        <is>
          <t>Cybertruck</t>
        </is>
      </c>
      <c r="E1594" t="n">
        <v>3524</v>
      </c>
      <c r="F1594" t="n">
        <v>89858.03999999999</v>
      </c>
      <c r="G1594" t="n">
        <v>30</v>
      </c>
      <c r="H1594" t="inlineStr">
        <is>
          <t>Long Range</t>
        </is>
      </c>
      <c r="I1594" t="inlineStr">
        <is>
          <t>RWD</t>
        </is>
      </c>
      <c r="J1594" t="inlineStr">
        <is>
          <t>White</t>
        </is>
      </c>
      <c r="K1594" t="n">
        <v>556</v>
      </c>
      <c r="L1594" t="n">
        <v>53</v>
      </c>
      <c r="M1594" t="n">
        <v>19.62</v>
      </c>
      <c r="N1594" t="n">
        <v>2611.96</v>
      </c>
      <c r="O1594" t="n">
        <v>3.75</v>
      </c>
      <c r="P1594" t="n">
        <v>6</v>
      </c>
      <c r="Q1594" t="n">
        <v>3</v>
      </c>
      <c r="R1594" t="n">
        <v>2020.4</v>
      </c>
      <c r="S1594" t="b">
        <v>0</v>
      </c>
      <c r="T1594" t="n">
        <v>2400304</v>
      </c>
      <c r="U1594" t="n">
        <v>8</v>
      </c>
      <c r="V1594" t="n">
        <v>0.0674</v>
      </c>
      <c r="W1594" t="n">
        <v>0.9399999999999999</v>
      </c>
      <c r="X1594" t="n">
        <v>81.34999999999999</v>
      </c>
      <c r="Y1594">
        <f>VLOOKUP(D1594,$AB$2:$AC$7,2,FALSE)</f>
        <v/>
      </c>
      <c r="Z1594">
        <f>IF(A1594&lt;Y1594,"Yes","No")</f>
        <v/>
      </c>
    </row>
    <row r="1595">
      <c r="A1595" t="n">
        <v>2018</v>
      </c>
      <c r="B1595" t="inlineStr">
        <is>
          <t>Q3</t>
        </is>
      </c>
      <c r="C1595" t="inlineStr">
        <is>
          <t>Australia</t>
        </is>
      </c>
      <c r="D1595" t="inlineStr">
        <is>
          <t>Cybertruck</t>
        </is>
      </c>
      <c r="E1595" t="n">
        <v>2385</v>
      </c>
      <c r="F1595" t="n">
        <v>114753.33</v>
      </c>
      <c r="G1595" t="n">
        <v>49</v>
      </c>
      <c r="H1595" t="inlineStr">
        <is>
          <t>Standard</t>
        </is>
      </c>
      <c r="I1595" t="inlineStr">
        <is>
          <t>RWD</t>
        </is>
      </c>
      <c r="J1595" t="inlineStr">
        <is>
          <t>White</t>
        </is>
      </c>
      <c r="K1595" t="n">
        <v>560</v>
      </c>
      <c r="L1595" t="n">
        <v>77</v>
      </c>
      <c r="M1595" t="n">
        <v>15.41</v>
      </c>
      <c r="N1595" t="n">
        <v>1770.09</v>
      </c>
      <c r="O1595" t="n">
        <v>3.97</v>
      </c>
      <c r="P1595" t="n">
        <v>5</v>
      </c>
      <c r="Q1595" t="n">
        <v>2</v>
      </c>
      <c r="R1595" t="n">
        <v>2020.9</v>
      </c>
      <c r="S1595" t="b">
        <v>0</v>
      </c>
      <c r="T1595" t="n">
        <v>1007859</v>
      </c>
      <c r="U1595" t="n">
        <v>9</v>
      </c>
      <c r="V1595" t="n">
        <v>0.0456</v>
      </c>
      <c r="W1595" t="n">
        <v>1.85</v>
      </c>
      <c r="X1595" t="n">
        <v>70.77</v>
      </c>
      <c r="Y1595">
        <f>VLOOKUP(D1595,$AB$2:$AC$7,2,FALSE)</f>
        <v/>
      </c>
      <c r="Z1595">
        <f>IF(A1595&lt;Y1595,"Yes","No")</f>
        <v/>
      </c>
    </row>
    <row r="1596">
      <c r="A1596" t="n">
        <v>2021</v>
      </c>
      <c r="B1596" t="inlineStr">
        <is>
          <t>Q3</t>
        </is>
      </c>
      <c r="C1596" t="inlineStr">
        <is>
          <t>South America</t>
        </is>
      </c>
      <c r="D1596" t="inlineStr">
        <is>
          <t>Model Y</t>
        </is>
      </c>
      <c r="E1596" t="n">
        <v>2730</v>
      </c>
      <c r="F1596" t="n">
        <v>102070.88</v>
      </c>
      <c r="G1596" t="n">
        <v>0</v>
      </c>
      <c r="H1596" t="inlineStr">
        <is>
          <t>Standard</t>
        </is>
      </c>
      <c r="I1596" t="inlineStr">
        <is>
          <t>AWD</t>
        </is>
      </c>
      <c r="J1596" t="inlineStr">
        <is>
          <t>Green</t>
        </is>
      </c>
      <c r="K1596" t="n">
        <v>462</v>
      </c>
      <c r="L1596" t="n">
        <v>58</v>
      </c>
      <c r="M1596" t="n">
        <v>21.93</v>
      </c>
      <c r="N1596" t="n">
        <v>2202.82</v>
      </c>
      <c r="O1596" t="n">
        <v>4.35</v>
      </c>
      <c r="P1596" t="n">
        <v>8</v>
      </c>
      <c r="Q1596" t="n">
        <v>2</v>
      </c>
      <c r="R1596" t="n">
        <v>2024.5</v>
      </c>
      <c r="S1596" t="b">
        <v>1</v>
      </c>
      <c r="T1596" t="n">
        <v>840510</v>
      </c>
      <c r="U1596" t="n">
        <v>2</v>
      </c>
      <c r="V1596" t="n">
        <v>0.0608</v>
      </c>
      <c r="W1596" t="n">
        <v>0.87</v>
      </c>
      <c r="X1596" t="n">
        <v>86.62</v>
      </c>
      <c r="Y1596">
        <f>VLOOKUP(D1596,$AB$2:$AC$7,2,FALSE)</f>
        <v/>
      </c>
      <c r="Z1596">
        <f>IF(A1596&lt;Y1596,"Yes","No")</f>
        <v/>
      </c>
    </row>
    <row r="1597">
      <c r="A1597" t="n">
        <v>2017</v>
      </c>
      <c r="B1597" t="inlineStr">
        <is>
          <t>Q1</t>
        </is>
      </c>
      <c r="C1597" t="inlineStr">
        <is>
          <t>Asia</t>
        </is>
      </c>
      <c r="D1597" t="inlineStr">
        <is>
          <t>Model X</t>
        </is>
      </c>
      <c r="E1597" t="n">
        <v>2942</v>
      </c>
      <c r="F1597" t="n">
        <v>75796.36</v>
      </c>
      <c r="G1597" t="n">
        <v>37</v>
      </c>
      <c r="H1597" t="inlineStr">
        <is>
          <t>Performance</t>
        </is>
      </c>
      <c r="I1597" t="inlineStr">
        <is>
          <t>RWD</t>
        </is>
      </c>
      <c r="J1597" t="inlineStr">
        <is>
          <t>Green</t>
        </is>
      </c>
      <c r="K1597" t="n">
        <v>451</v>
      </c>
      <c r="L1597" t="n">
        <v>59</v>
      </c>
      <c r="M1597" t="n">
        <v>20.69</v>
      </c>
      <c r="N1597" t="n">
        <v>2823.45</v>
      </c>
      <c r="O1597" t="n">
        <v>4.09</v>
      </c>
      <c r="P1597" t="n">
        <v>4</v>
      </c>
      <c r="Q1597" t="n">
        <v>2</v>
      </c>
      <c r="R1597" t="n">
        <v>2020.5</v>
      </c>
      <c r="S1597" t="b">
        <v>1</v>
      </c>
      <c r="T1597" t="n">
        <v>3704112</v>
      </c>
      <c r="U1597" t="n">
        <v>6</v>
      </c>
      <c r="V1597" t="n">
        <v>0.0293</v>
      </c>
      <c r="W1597" t="n">
        <v>0.87</v>
      </c>
      <c r="X1597" t="n">
        <v>85.39</v>
      </c>
      <c r="Y1597">
        <f>VLOOKUP(D1597,$AB$2:$AC$7,2,FALSE)</f>
        <v/>
      </c>
      <c r="Z1597">
        <f>IF(A1597&lt;Y1597,"Yes","No")</f>
        <v/>
      </c>
    </row>
    <row r="1598">
      <c r="A1598" t="n">
        <v>2012</v>
      </c>
      <c r="B1598" t="inlineStr">
        <is>
          <t>Q1</t>
        </is>
      </c>
      <c r="C1598" t="inlineStr">
        <is>
          <t>Europe</t>
        </is>
      </c>
      <c r="D1598" t="inlineStr">
        <is>
          <t>Model Y</t>
        </is>
      </c>
      <c r="E1598" t="n">
        <v>1321</v>
      </c>
      <c r="F1598" t="n">
        <v>50209.72</v>
      </c>
      <c r="G1598" t="n">
        <v>35</v>
      </c>
      <c r="H1598" t="inlineStr">
        <is>
          <t>Standard</t>
        </is>
      </c>
      <c r="I1598" t="inlineStr">
        <is>
          <t>AWD</t>
        </is>
      </c>
      <c r="J1598" t="inlineStr">
        <is>
          <t>Red</t>
        </is>
      </c>
      <c r="K1598" t="n">
        <v>667</v>
      </c>
      <c r="L1598" t="n">
        <v>79</v>
      </c>
      <c r="M1598" t="n">
        <v>15.4</v>
      </c>
      <c r="N1598" t="n">
        <v>2347.08</v>
      </c>
      <c r="O1598" t="n">
        <v>3.72</v>
      </c>
      <c r="P1598" t="n">
        <v>5</v>
      </c>
      <c r="Q1598" t="n">
        <v>1</v>
      </c>
      <c r="R1598" t="n">
        <v>2021.1</v>
      </c>
      <c r="S1598" t="b">
        <v>0</v>
      </c>
      <c r="T1598" t="n">
        <v>376298</v>
      </c>
      <c r="U1598" t="n">
        <v>3</v>
      </c>
      <c r="V1598" t="n">
        <v>0.0745</v>
      </c>
      <c r="W1598" t="n">
        <v>1.85</v>
      </c>
      <c r="X1598" t="n">
        <v>88.33</v>
      </c>
      <c r="Y1598">
        <f>VLOOKUP(D1598,$AB$2:$AC$7,2,FALSE)</f>
        <v/>
      </c>
      <c r="Z1598">
        <f>IF(A1598&lt;Y1598,"Yes","No")</f>
        <v/>
      </c>
    </row>
    <row r="1599">
      <c r="A1599" t="n">
        <v>2016</v>
      </c>
      <c r="B1599" t="inlineStr">
        <is>
          <t>Q4</t>
        </is>
      </c>
      <c r="C1599" t="inlineStr">
        <is>
          <t>Europe</t>
        </is>
      </c>
      <c r="D1599" t="inlineStr">
        <is>
          <t>Cybertruck</t>
        </is>
      </c>
      <c r="E1599" t="n">
        <v>2182</v>
      </c>
      <c r="F1599" t="n">
        <v>37174.06</v>
      </c>
      <c r="G1599" t="n">
        <v>51</v>
      </c>
      <c r="H1599" t="inlineStr">
        <is>
          <t>Long Range</t>
        </is>
      </c>
      <c r="I1599" t="inlineStr">
        <is>
          <t>RWD</t>
        </is>
      </c>
      <c r="J1599" t="inlineStr">
        <is>
          <t>Black</t>
        </is>
      </c>
      <c r="K1599" t="n">
        <v>658</v>
      </c>
      <c r="L1599" t="n">
        <v>33</v>
      </c>
      <c r="M1599" t="n">
        <v>24.05</v>
      </c>
      <c r="N1599" t="n">
        <v>3132.64</v>
      </c>
      <c r="O1599" t="n">
        <v>4.9</v>
      </c>
      <c r="P1599" t="n">
        <v>6</v>
      </c>
      <c r="Q1599" t="n">
        <v>3</v>
      </c>
      <c r="R1599" t="n">
        <v>2023.8</v>
      </c>
      <c r="S1599" t="b">
        <v>1</v>
      </c>
      <c r="T1599" t="n">
        <v>521925</v>
      </c>
      <c r="U1599" t="n">
        <v>9</v>
      </c>
      <c r="V1599" t="n">
        <v>0.0555</v>
      </c>
      <c r="W1599" t="n">
        <v>1.12</v>
      </c>
      <c r="X1599" t="n">
        <v>71.98</v>
      </c>
      <c r="Y1599">
        <f>VLOOKUP(D1599,$AB$2:$AC$7,2,FALSE)</f>
        <v/>
      </c>
      <c r="Z1599">
        <f>IF(A1599&lt;Y1599,"Yes","No")</f>
        <v/>
      </c>
    </row>
    <row r="1600">
      <c r="A1600" t="n">
        <v>2018</v>
      </c>
      <c r="B1600" t="inlineStr">
        <is>
          <t>Q4</t>
        </is>
      </c>
      <c r="C1600" t="inlineStr">
        <is>
          <t>South America</t>
        </is>
      </c>
      <c r="D1600" t="inlineStr">
        <is>
          <t>Model X</t>
        </is>
      </c>
      <c r="E1600" t="n">
        <v>4653</v>
      </c>
      <c r="F1600" t="n">
        <v>53868.39</v>
      </c>
      <c r="G1600" t="n">
        <v>59</v>
      </c>
      <c r="H1600" t="inlineStr">
        <is>
          <t>Performance</t>
        </is>
      </c>
      <c r="I1600" t="inlineStr">
        <is>
          <t>AWD</t>
        </is>
      </c>
      <c r="J1600" t="inlineStr">
        <is>
          <t>Green</t>
        </is>
      </c>
      <c r="K1600" t="n">
        <v>639</v>
      </c>
      <c r="L1600" t="n">
        <v>70</v>
      </c>
      <c r="M1600" t="n">
        <v>16.71</v>
      </c>
      <c r="N1600" t="n">
        <v>7147.38</v>
      </c>
      <c r="O1600" t="n">
        <v>4.26</v>
      </c>
      <c r="P1600" t="n">
        <v>6</v>
      </c>
      <c r="Q1600" t="n">
        <v>0</v>
      </c>
      <c r="R1600" t="n">
        <v>2024.6</v>
      </c>
      <c r="S1600" t="b">
        <v>0</v>
      </c>
      <c r="T1600" t="n">
        <v>4959364</v>
      </c>
      <c r="U1600" t="n">
        <v>4</v>
      </c>
      <c r="V1600" t="n">
        <v>0.0401</v>
      </c>
      <c r="W1600" t="n">
        <v>1.77</v>
      </c>
      <c r="X1600" t="n">
        <v>64.95999999999999</v>
      </c>
      <c r="Y1600">
        <f>VLOOKUP(D1600,$AB$2:$AC$7,2,FALSE)</f>
        <v/>
      </c>
      <c r="Z1600">
        <f>IF(A1600&lt;Y1600,"Yes","No")</f>
        <v/>
      </c>
    </row>
    <row r="1601">
      <c r="A1601" t="n">
        <v>2019</v>
      </c>
      <c r="B1601" t="inlineStr">
        <is>
          <t>Q2</t>
        </is>
      </c>
      <c r="C1601" t="inlineStr">
        <is>
          <t>Australia</t>
        </is>
      </c>
      <c r="D1601" t="inlineStr">
        <is>
          <t>Model Y</t>
        </is>
      </c>
      <c r="E1601" t="n">
        <v>4683</v>
      </c>
      <c r="F1601" t="n">
        <v>98816.39999999999</v>
      </c>
      <c r="G1601" t="n">
        <v>9</v>
      </c>
      <c r="H1601" t="inlineStr">
        <is>
          <t>Standard</t>
        </is>
      </c>
      <c r="I1601" t="inlineStr">
        <is>
          <t>AWD</t>
        </is>
      </c>
      <c r="J1601" t="inlineStr">
        <is>
          <t>White</t>
        </is>
      </c>
      <c r="K1601" t="n">
        <v>579</v>
      </c>
      <c r="L1601" t="n">
        <v>77</v>
      </c>
      <c r="M1601" t="n">
        <v>22.78</v>
      </c>
      <c r="N1601" t="n">
        <v>6910.62</v>
      </c>
      <c r="O1601" t="n">
        <v>4.45</v>
      </c>
      <c r="P1601" t="n">
        <v>6</v>
      </c>
      <c r="Q1601" t="n">
        <v>3</v>
      </c>
      <c r="R1601" t="n">
        <v>2024.12</v>
      </c>
      <c r="S1601" t="b">
        <v>1</v>
      </c>
      <c r="T1601" t="n">
        <v>4072648</v>
      </c>
      <c r="U1601" t="n">
        <v>2</v>
      </c>
      <c r="V1601" t="n">
        <v>0.0755</v>
      </c>
      <c r="W1601" t="n">
        <v>1.04</v>
      </c>
      <c r="X1601" t="n">
        <v>65.31</v>
      </c>
      <c r="Y1601">
        <f>VLOOKUP(D1601,$AB$2:$AC$7,2,FALSE)</f>
        <v/>
      </c>
      <c r="Z1601">
        <f>IF(A1601&lt;Y1601,"Yes","No")</f>
        <v/>
      </c>
    </row>
    <row r="1602">
      <c r="A1602" t="n">
        <v>2024</v>
      </c>
      <c r="B1602" t="inlineStr">
        <is>
          <t>Q2</t>
        </is>
      </c>
      <c r="C1602" t="inlineStr">
        <is>
          <t>Asia</t>
        </is>
      </c>
      <c r="D1602" t="inlineStr">
        <is>
          <t>Semi</t>
        </is>
      </c>
      <c r="E1602" t="n">
        <v>2109</v>
      </c>
      <c r="F1602" t="n">
        <v>109395.28</v>
      </c>
      <c r="G1602" t="n">
        <v>27</v>
      </c>
      <c r="H1602" t="inlineStr">
        <is>
          <t>Long Range</t>
        </is>
      </c>
      <c r="I1602" t="inlineStr">
        <is>
          <t>RWD</t>
        </is>
      </c>
      <c r="J1602" t="inlineStr">
        <is>
          <t>Red</t>
        </is>
      </c>
      <c r="K1602" t="n">
        <v>373</v>
      </c>
      <c r="L1602" t="n">
        <v>52</v>
      </c>
      <c r="M1602" t="n">
        <v>14.2</v>
      </c>
      <c r="N1602" t="n">
        <v>5088.65</v>
      </c>
      <c r="O1602" t="n">
        <v>4.4</v>
      </c>
      <c r="P1602" t="n">
        <v>8</v>
      </c>
      <c r="Q1602" t="n">
        <v>0</v>
      </c>
      <c r="R1602" t="n">
        <v>2024.1</v>
      </c>
      <c r="S1602" t="b">
        <v>0</v>
      </c>
      <c r="T1602" t="n">
        <v>4405049</v>
      </c>
      <c r="U1602" t="n">
        <v>8</v>
      </c>
      <c r="V1602" t="n">
        <v>0.0252</v>
      </c>
      <c r="W1602" t="n">
        <v>2.13</v>
      </c>
      <c r="X1602" t="n">
        <v>71.58</v>
      </c>
      <c r="Y1602">
        <f>VLOOKUP(D1602,$AB$2:$AC$7,2,FALSE)</f>
        <v/>
      </c>
      <c r="Z1602">
        <f>IF(A1602&lt;Y1602,"Yes","No")</f>
        <v/>
      </c>
    </row>
    <row r="1603">
      <c r="A1603" t="n">
        <v>2023</v>
      </c>
      <c r="B1603" t="inlineStr">
        <is>
          <t>Q4</t>
        </is>
      </c>
      <c r="C1603" t="inlineStr">
        <is>
          <t>South America</t>
        </is>
      </c>
      <c r="D1603" t="inlineStr">
        <is>
          <t>Model 3</t>
        </is>
      </c>
      <c r="E1603" t="n">
        <v>2276</v>
      </c>
      <c r="F1603" t="n">
        <v>117608.38</v>
      </c>
      <c r="G1603" t="n">
        <v>38</v>
      </c>
      <c r="H1603" t="inlineStr">
        <is>
          <t>Long Range</t>
        </is>
      </c>
      <c r="I1603" t="inlineStr">
        <is>
          <t>AWD</t>
        </is>
      </c>
      <c r="J1603" t="inlineStr">
        <is>
          <t>Black</t>
        </is>
      </c>
      <c r="K1603" t="n">
        <v>698</v>
      </c>
      <c r="L1603" t="n">
        <v>89</v>
      </c>
      <c r="M1603" t="n">
        <v>22.56</v>
      </c>
      <c r="N1603" t="n">
        <v>4096.85</v>
      </c>
      <c r="O1603" t="n">
        <v>4.86</v>
      </c>
      <c r="P1603" t="n">
        <v>6</v>
      </c>
      <c r="Q1603" t="n">
        <v>0</v>
      </c>
      <c r="R1603" t="n">
        <v>2024.7</v>
      </c>
      <c r="S1603" t="b">
        <v>0</v>
      </c>
      <c r="T1603" t="n">
        <v>3598787</v>
      </c>
      <c r="U1603" t="n">
        <v>3</v>
      </c>
      <c r="V1603" t="n">
        <v>0.0307</v>
      </c>
      <c r="W1603" t="n">
        <v>1.1</v>
      </c>
      <c r="X1603" t="n">
        <v>61.41</v>
      </c>
      <c r="Y1603">
        <f>VLOOKUP(D1603,$AB$2:$AC$7,2,FALSE)</f>
        <v/>
      </c>
      <c r="Z1603">
        <f>IF(A1603&lt;Y1603,"Yes","No")</f>
        <v/>
      </c>
    </row>
    <row r="1604">
      <c r="A1604" t="n">
        <v>2020</v>
      </c>
      <c r="B1604" t="inlineStr">
        <is>
          <t>Q2</t>
        </is>
      </c>
      <c r="C1604" t="inlineStr">
        <is>
          <t>Europe</t>
        </is>
      </c>
      <c r="D1604" t="inlineStr">
        <is>
          <t>Model S</t>
        </is>
      </c>
      <c r="E1604" t="n">
        <v>4510</v>
      </c>
      <c r="F1604" t="n">
        <v>56043.79</v>
      </c>
      <c r="G1604" t="n">
        <v>1</v>
      </c>
      <c r="H1604" t="inlineStr">
        <is>
          <t>Standard</t>
        </is>
      </c>
      <c r="I1604" t="inlineStr">
        <is>
          <t>RWD</t>
        </is>
      </c>
      <c r="J1604" t="inlineStr">
        <is>
          <t>Silver</t>
        </is>
      </c>
      <c r="K1604" t="n">
        <v>447</v>
      </c>
      <c r="L1604" t="n">
        <v>47</v>
      </c>
      <c r="M1604" t="n">
        <v>18.63</v>
      </c>
      <c r="N1604" t="n">
        <v>7537.27</v>
      </c>
      <c r="O1604" t="n">
        <v>4.71</v>
      </c>
      <c r="P1604" t="n">
        <v>5</v>
      </c>
      <c r="Q1604" t="n">
        <v>3</v>
      </c>
      <c r="R1604" t="n">
        <v>2023.1</v>
      </c>
      <c r="S1604" t="b">
        <v>1</v>
      </c>
      <c r="T1604" t="n">
        <v>4722411</v>
      </c>
      <c r="U1604" t="n">
        <v>2</v>
      </c>
      <c r="V1604" t="n">
        <v>0.0182</v>
      </c>
      <c r="W1604" t="n">
        <v>1.85</v>
      </c>
      <c r="X1604" t="n">
        <v>64.73</v>
      </c>
      <c r="Y1604">
        <f>VLOOKUP(D1604,$AB$2:$AC$7,2,FALSE)</f>
        <v/>
      </c>
      <c r="Z1604">
        <f>IF(A1604&lt;Y1604,"Yes","No")</f>
        <v/>
      </c>
    </row>
    <row r="1605">
      <c r="A1605" t="n">
        <v>2024</v>
      </c>
      <c r="B1605" t="inlineStr">
        <is>
          <t>Q1</t>
        </is>
      </c>
      <c r="C1605" t="inlineStr">
        <is>
          <t>North America</t>
        </is>
      </c>
      <c r="D1605" t="inlineStr">
        <is>
          <t>Model Y</t>
        </is>
      </c>
      <c r="E1605" t="n">
        <v>1811</v>
      </c>
      <c r="F1605" t="n">
        <v>43143.02</v>
      </c>
      <c r="G1605" t="n">
        <v>48</v>
      </c>
      <c r="H1605" t="inlineStr">
        <is>
          <t>Long Range</t>
        </is>
      </c>
      <c r="I1605" t="inlineStr">
        <is>
          <t>AWD</t>
        </is>
      </c>
      <c r="J1605" t="inlineStr">
        <is>
          <t>Red</t>
        </is>
      </c>
      <c r="K1605" t="n">
        <v>353</v>
      </c>
      <c r="L1605" t="n">
        <v>70</v>
      </c>
      <c r="M1605" t="n">
        <v>14.84</v>
      </c>
      <c r="N1605" t="n">
        <v>3006.04</v>
      </c>
      <c r="O1605" t="n">
        <v>4.05</v>
      </c>
      <c r="P1605" t="n">
        <v>5</v>
      </c>
      <c r="Q1605" t="n">
        <v>0</v>
      </c>
      <c r="R1605" t="n">
        <v>2021.4</v>
      </c>
      <c r="S1605" t="b">
        <v>0</v>
      </c>
      <c r="T1605" t="n">
        <v>1919077</v>
      </c>
      <c r="U1605" t="n">
        <v>12</v>
      </c>
      <c r="V1605" t="n">
        <v>0.016</v>
      </c>
      <c r="W1605" t="n">
        <v>2.04</v>
      </c>
      <c r="X1605" t="n">
        <v>77.81</v>
      </c>
      <c r="Y1605">
        <f>VLOOKUP(D1605,$AB$2:$AC$7,2,FALSE)</f>
        <v/>
      </c>
      <c r="Z1605">
        <f>IF(A1605&lt;Y1605,"Yes","No")</f>
        <v/>
      </c>
    </row>
    <row r="1606">
      <c r="A1606" t="n">
        <v>2014</v>
      </c>
      <c r="B1606" t="inlineStr">
        <is>
          <t>Q1</t>
        </is>
      </c>
      <c r="C1606" t="inlineStr">
        <is>
          <t>Europe</t>
        </is>
      </c>
      <c r="D1606" t="inlineStr">
        <is>
          <t>Model Y</t>
        </is>
      </c>
      <c r="E1606" t="n">
        <v>422</v>
      </c>
      <c r="F1606" t="n">
        <v>50605.23</v>
      </c>
      <c r="G1606" t="n">
        <v>7</v>
      </c>
      <c r="H1606" t="inlineStr">
        <is>
          <t>Performance</t>
        </is>
      </c>
      <c r="I1606" t="inlineStr">
        <is>
          <t>RWD</t>
        </is>
      </c>
      <c r="J1606" t="inlineStr">
        <is>
          <t>Blue</t>
        </is>
      </c>
      <c r="K1606" t="n">
        <v>445</v>
      </c>
      <c r="L1606" t="n">
        <v>32</v>
      </c>
      <c r="M1606" t="n">
        <v>23</v>
      </c>
      <c r="N1606" t="n">
        <v>365.39</v>
      </c>
      <c r="O1606" t="n">
        <v>4.02</v>
      </c>
      <c r="P1606" t="n">
        <v>4</v>
      </c>
      <c r="Q1606" t="n">
        <v>1</v>
      </c>
      <c r="R1606" t="n">
        <v>2020.11</v>
      </c>
      <c r="S1606" t="b">
        <v>0</v>
      </c>
      <c r="T1606" t="n">
        <v>4176509</v>
      </c>
      <c r="U1606" t="n">
        <v>12</v>
      </c>
      <c r="V1606" t="n">
        <v>0.0388</v>
      </c>
      <c r="W1606" t="n">
        <v>2.31</v>
      </c>
      <c r="X1606" t="n">
        <v>80.92</v>
      </c>
      <c r="Y1606">
        <f>VLOOKUP(D1606,$AB$2:$AC$7,2,FALSE)</f>
        <v/>
      </c>
      <c r="Z1606">
        <f>IF(A1606&lt;Y1606,"Yes","No")</f>
        <v/>
      </c>
    </row>
    <row r="1607">
      <c r="A1607" t="n">
        <v>2012</v>
      </c>
      <c r="B1607" t="inlineStr">
        <is>
          <t>Q1</t>
        </is>
      </c>
      <c r="C1607" t="inlineStr">
        <is>
          <t>North America</t>
        </is>
      </c>
      <c r="D1607" t="inlineStr">
        <is>
          <t>Semi</t>
        </is>
      </c>
      <c r="E1607" t="n">
        <v>911</v>
      </c>
      <c r="F1607" t="n">
        <v>90773.46000000001</v>
      </c>
      <c r="G1607" t="n">
        <v>40</v>
      </c>
      <c r="H1607" t="inlineStr">
        <is>
          <t>Performance</t>
        </is>
      </c>
      <c r="I1607" t="inlineStr">
        <is>
          <t>AWD</t>
        </is>
      </c>
      <c r="J1607" t="inlineStr">
        <is>
          <t>Blue</t>
        </is>
      </c>
      <c r="K1607" t="n">
        <v>542</v>
      </c>
      <c r="L1607" t="n">
        <v>85</v>
      </c>
      <c r="M1607" t="n">
        <v>17.11</v>
      </c>
      <c r="N1607" t="n">
        <v>2203.68</v>
      </c>
      <c r="O1607" t="n">
        <v>3.82</v>
      </c>
      <c r="P1607" t="n">
        <v>5</v>
      </c>
      <c r="Q1607" t="n">
        <v>2</v>
      </c>
      <c r="R1607" t="n">
        <v>2022.9</v>
      </c>
      <c r="S1607" t="b">
        <v>1</v>
      </c>
      <c r="T1607" t="n">
        <v>2257370</v>
      </c>
      <c r="U1607" t="n">
        <v>5</v>
      </c>
      <c r="V1607" t="n">
        <v>0.0806</v>
      </c>
      <c r="W1607" t="n">
        <v>1.52</v>
      </c>
      <c r="X1607" t="n">
        <v>83.34</v>
      </c>
      <c r="Y1607">
        <f>VLOOKUP(D1607,$AB$2:$AC$7,2,FALSE)</f>
        <v/>
      </c>
      <c r="Z1607">
        <f>IF(A1607&lt;Y1607,"Yes","No")</f>
        <v/>
      </c>
    </row>
    <row r="1608">
      <c r="A1608" t="n">
        <v>2013</v>
      </c>
      <c r="B1608" t="inlineStr">
        <is>
          <t>Q3</t>
        </is>
      </c>
      <c r="C1608" t="inlineStr">
        <is>
          <t>North America</t>
        </is>
      </c>
      <c r="D1608" t="inlineStr">
        <is>
          <t>Model X</t>
        </is>
      </c>
      <c r="E1608" t="n">
        <v>2382</v>
      </c>
      <c r="F1608" t="n">
        <v>96096.53</v>
      </c>
      <c r="G1608" t="n">
        <v>19</v>
      </c>
      <c r="H1608" t="inlineStr">
        <is>
          <t>Long Range</t>
        </is>
      </c>
      <c r="I1608" t="inlineStr">
        <is>
          <t>AWD</t>
        </is>
      </c>
      <c r="J1608" t="inlineStr">
        <is>
          <t>Red</t>
        </is>
      </c>
      <c r="K1608" t="n">
        <v>588</v>
      </c>
      <c r="L1608" t="n">
        <v>70</v>
      </c>
      <c r="M1608" t="n">
        <v>13.7</v>
      </c>
      <c r="N1608" t="n">
        <v>4599.79</v>
      </c>
      <c r="O1608" t="n">
        <v>4.33</v>
      </c>
      <c r="P1608" t="n">
        <v>4</v>
      </c>
      <c r="Q1608" t="n">
        <v>1</v>
      </c>
      <c r="R1608" t="n">
        <v>2023.3</v>
      </c>
      <c r="S1608" t="b">
        <v>1</v>
      </c>
      <c r="T1608" t="n">
        <v>378323</v>
      </c>
      <c r="U1608" t="n">
        <v>6</v>
      </c>
      <c r="V1608" t="n">
        <v>0.0148</v>
      </c>
      <c r="W1608" t="n">
        <v>1.75</v>
      </c>
      <c r="X1608" t="n">
        <v>79.7</v>
      </c>
      <c r="Y1608">
        <f>VLOOKUP(D1608,$AB$2:$AC$7,2,FALSE)</f>
        <v/>
      </c>
      <c r="Z1608">
        <f>IF(A1608&lt;Y1608,"Yes","No")</f>
        <v/>
      </c>
    </row>
    <row r="1609">
      <c r="A1609" t="n">
        <v>2023</v>
      </c>
      <c r="B1609" t="inlineStr">
        <is>
          <t>Q1</t>
        </is>
      </c>
      <c r="C1609" t="inlineStr">
        <is>
          <t>South America</t>
        </is>
      </c>
      <c r="D1609" t="inlineStr">
        <is>
          <t>Semi</t>
        </is>
      </c>
      <c r="E1609" t="n">
        <v>1705</v>
      </c>
      <c r="F1609" t="n">
        <v>59057.74</v>
      </c>
      <c r="G1609" t="n">
        <v>45</v>
      </c>
      <c r="H1609" t="inlineStr">
        <is>
          <t>Performance</t>
        </is>
      </c>
      <c r="I1609" t="inlineStr">
        <is>
          <t>AWD</t>
        </is>
      </c>
      <c r="J1609" t="inlineStr">
        <is>
          <t>Black</t>
        </is>
      </c>
      <c r="K1609" t="n">
        <v>454</v>
      </c>
      <c r="L1609" t="n">
        <v>40</v>
      </c>
      <c r="M1609" t="n">
        <v>14.36</v>
      </c>
      <c r="N1609" t="n">
        <v>3123.78</v>
      </c>
      <c r="O1609" t="n">
        <v>3.52</v>
      </c>
      <c r="P1609" t="n">
        <v>6</v>
      </c>
      <c r="Q1609" t="n">
        <v>1</v>
      </c>
      <c r="R1609" t="n">
        <v>2021.5</v>
      </c>
      <c r="S1609" t="b">
        <v>1</v>
      </c>
      <c r="T1609" t="n">
        <v>4683405</v>
      </c>
      <c r="U1609" t="n">
        <v>5</v>
      </c>
      <c r="V1609" t="n">
        <v>0.0225</v>
      </c>
      <c r="W1609" t="n">
        <v>1.97</v>
      </c>
      <c r="X1609" t="n">
        <v>70.51000000000001</v>
      </c>
      <c r="Y1609">
        <f>VLOOKUP(D1609,$AB$2:$AC$7,2,FALSE)</f>
        <v/>
      </c>
      <c r="Z1609">
        <f>IF(A1609&lt;Y1609,"Yes","No")</f>
        <v/>
      </c>
    </row>
    <row r="1610">
      <c r="A1610" t="n">
        <v>2023</v>
      </c>
      <c r="B1610" t="inlineStr">
        <is>
          <t>Q4</t>
        </is>
      </c>
      <c r="C1610" t="inlineStr">
        <is>
          <t>Australia</t>
        </is>
      </c>
      <c r="D1610" t="inlineStr">
        <is>
          <t>Model 3</t>
        </is>
      </c>
      <c r="E1610" t="n">
        <v>3006</v>
      </c>
      <c r="F1610" t="n">
        <v>47542.21</v>
      </c>
      <c r="G1610" t="n">
        <v>55</v>
      </c>
      <c r="H1610" t="inlineStr">
        <is>
          <t>Standard</t>
        </is>
      </c>
      <c r="I1610" t="inlineStr">
        <is>
          <t>AWD</t>
        </is>
      </c>
      <c r="J1610" t="inlineStr">
        <is>
          <t>Red</t>
        </is>
      </c>
      <c r="K1610" t="n">
        <v>462</v>
      </c>
      <c r="L1610" t="n">
        <v>37</v>
      </c>
      <c r="M1610" t="n">
        <v>14.18</v>
      </c>
      <c r="N1610" t="n">
        <v>4312.54</v>
      </c>
      <c r="O1610" t="n">
        <v>4.02</v>
      </c>
      <c r="P1610" t="n">
        <v>6</v>
      </c>
      <c r="Q1610" t="n">
        <v>1</v>
      </c>
      <c r="R1610" t="n">
        <v>2024.12</v>
      </c>
      <c r="S1610" t="b">
        <v>1</v>
      </c>
      <c r="T1610" t="n">
        <v>1504800</v>
      </c>
      <c r="U1610" t="n">
        <v>8</v>
      </c>
      <c r="V1610" t="n">
        <v>0.0545</v>
      </c>
      <c r="W1610" t="n">
        <v>0.55</v>
      </c>
      <c r="X1610" t="n">
        <v>82.48</v>
      </c>
      <c r="Y1610">
        <f>VLOOKUP(D1610,$AB$2:$AC$7,2,FALSE)</f>
        <v/>
      </c>
      <c r="Z1610">
        <f>IF(A1610&lt;Y1610,"Yes","No")</f>
        <v/>
      </c>
    </row>
    <row r="1611">
      <c r="A1611" t="n">
        <v>2013</v>
      </c>
      <c r="B1611" t="inlineStr">
        <is>
          <t>Q4</t>
        </is>
      </c>
      <c r="C1611" t="inlineStr">
        <is>
          <t>Australia</t>
        </is>
      </c>
      <c r="D1611" t="inlineStr">
        <is>
          <t>Cybertruck</t>
        </is>
      </c>
      <c r="E1611" t="n">
        <v>957</v>
      </c>
      <c r="F1611" t="n">
        <v>44599.88</v>
      </c>
      <c r="G1611" t="n">
        <v>27</v>
      </c>
      <c r="H1611" t="inlineStr">
        <is>
          <t>Long Range</t>
        </is>
      </c>
      <c r="I1611" t="inlineStr">
        <is>
          <t>RWD</t>
        </is>
      </c>
      <c r="J1611" t="inlineStr">
        <is>
          <t>Green</t>
        </is>
      </c>
      <c r="K1611" t="n">
        <v>419</v>
      </c>
      <c r="L1611" t="n">
        <v>90</v>
      </c>
      <c r="M1611" t="n">
        <v>20.17</v>
      </c>
      <c r="N1611" t="n">
        <v>822.1</v>
      </c>
      <c r="O1611" t="n">
        <v>3.64</v>
      </c>
      <c r="P1611" t="n">
        <v>5</v>
      </c>
      <c r="Q1611" t="n">
        <v>3</v>
      </c>
      <c r="R1611" t="n">
        <v>2022.3</v>
      </c>
      <c r="S1611" t="b">
        <v>0</v>
      </c>
      <c r="T1611" t="n">
        <v>3811317</v>
      </c>
      <c r="U1611" t="n">
        <v>5</v>
      </c>
      <c r="V1611" t="n">
        <v>0.08019999999999999</v>
      </c>
      <c r="W1611" t="n">
        <v>0.84</v>
      </c>
      <c r="X1611" t="n">
        <v>61.22</v>
      </c>
      <c r="Y1611">
        <f>VLOOKUP(D1611,$AB$2:$AC$7,2,FALSE)</f>
        <v/>
      </c>
      <c r="Z1611">
        <f>IF(A1611&lt;Y1611,"Yes","No")</f>
        <v/>
      </c>
    </row>
    <row r="1612">
      <c r="A1612" t="n">
        <v>2021</v>
      </c>
      <c r="B1612" t="inlineStr">
        <is>
          <t>Q3</t>
        </is>
      </c>
      <c r="C1612" t="inlineStr">
        <is>
          <t>North America</t>
        </is>
      </c>
      <c r="D1612" t="inlineStr">
        <is>
          <t>Model Y</t>
        </is>
      </c>
      <c r="E1612" t="n">
        <v>2818</v>
      </c>
      <c r="F1612" t="n">
        <v>52740.84</v>
      </c>
      <c r="G1612" t="n">
        <v>54</v>
      </c>
      <c r="H1612" t="inlineStr">
        <is>
          <t>Standard</t>
        </is>
      </c>
      <c r="I1612" t="inlineStr">
        <is>
          <t>RWD</t>
        </is>
      </c>
      <c r="J1612" t="inlineStr">
        <is>
          <t>Green</t>
        </is>
      </c>
      <c r="K1612" t="n">
        <v>356</v>
      </c>
      <c r="L1612" t="n">
        <v>53</v>
      </c>
      <c r="M1612" t="n">
        <v>22.5</v>
      </c>
      <c r="N1612" t="n">
        <v>1846.37</v>
      </c>
      <c r="O1612" t="n">
        <v>4.28</v>
      </c>
      <c r="P1612" t="n">
        <v>4</v>
      </c>
      <c r="Q1612" t="n">
        <v>0</v>
      </c>
      <c r="R1612" t="n">
        <v>2022.1</v>
      </c>
      <c r="S1612" t="b">
        <v>0</v>
      </c>
      <c r="T1612" t="n">
        <v>2804083</v>
      </c>
      <c r="U1612" t="n">
        <v>7</v>
      </c>
      <c r="V1612" t="n">
        <v>0.0102</v>
      </c>
      <c r="W1612" t="n">
        <v>1.02</v>
      </c>
      <c r="X1612" t="n">
        <v>69.59999999999999</v>
      </c>
      <c r="Y1612">
        <f>VLOOKUP(D1612,$AB$2:$AC$7,2,FALSE)</f>
        <v/>
      </c>
      <c r="Z1612">
        <f>IF(A1612&lt;Y1612,"Yes","No")</f>
        <v/>
      </c>
    </row>
    <row r="1613">
      <c r="A1613" t="n">
        <v>2020</v>
      </c>
      <c r="B1613" t="inlineStr">
        <is>
          <t>Q3</t>
        </is>
      </c>
      <c r="C1613" t="inlineStr">
        <is>
          <t>Australia</t>
        </is>
      </c>
      <c r="D1613" t="inlineStr">
        <is>
          <t>Model Y</t>
        </is>
      </c>
      <c r="E1613" t="n">
        <v>3708</v>
      </c>
      <c r="F1613" t="n">
        <v>40294.2</v>
      </c>
      <c r="G1613" t="n">
        <v>50</v>
      </c>
      <c r="H1613" t="inlineStr">
        <is>
          <t>Long Range</t>
        </is>
      </c>
      <c r="I1613" t="inlineStr">
        <is>
          <t>RWD</t>
        </is>
      </c>
      <c r="J1613" t="inlineStr">
        <is>
          <t>Blue</t>
        </is>
      </c>
      <c r="K1613" t="n">
        <v>581</v>
      </c>
      <c r="L1613" t="n">
        <v>69</v>
      </c>
      <c r="M1613" t="n">
        <v>18.91</v>
      </c>
      <c r="N1613" t="n">
        <v>7296.13</v>
      </c>
      <c r="O1613" t="n">
        <v>4.34</v>
      </c>
      <c r="P1613" t="n">
        <v>5</v>
      </c>
      <c r="Q1613" t="n">
        <v>0</v>
      </c>
      <c r="R1613" t="n">
        <v>2023.7</v>
      </c>
      <c r="S1613" t="b">
        <v>0</v>
      </c>
      <c r="T1613" t="n">
        <v>2567218</v>
      </c>
      <c r="U1613" t="n">
        <v>2</v>
      </c>
      <c r="V1613" t="n">
        <v>0.0406</v>
      </c>
      <c r="W1613" t="n">
        <v>1.52</v>
      </c>
      <c r="X1613" t="n">
        <v>69.66</v>
      </c>
      <c r="Y1613">
        <f>VLOOKUP(D1613,$AB$2:$AC$7,2,FALSE)</f>
        <v/>
      </c>
      <c r="Z1613">
        <f>IF(A1613&lt;Y1613,"Yes","No")</f>
        <v/>
      </c>
    </row>
    <row r="1614">
      <c r="A1614" t="n">
        <v>2023</v>
      </c>
      <c r="B1614" t="inlineStr">
        <is>
          <t>Q1</t>
        </is>
      </c>
      <c r="C1614" t="inlineStr">
        <is>
          <t>North America</t>
        </is>
      </c>
      <c r="D1614" t="inlineStr">
        <is>
          <t>Model Y</t>
        </is>
      </c>
      <c r="E1614" t="n">
        <v>1388</v>
      </c>
      <c r="F1614" t="n">
        <v>72558.61</v>
      </c>
      <c r="G1614" t="n">
        <v>29</v>
      </c>
      <c r="H1614" t="inlineStr">
        <is>
          <t>Performance</t>
        </is>
      </c>
      <c r="I1614" t="inlineStr">
        <is>
          <t>RWD</t>
        </is>
      </c>
      <c r="J1614" t="inlineStr">
        <is>
          <t>Black</t>
        </is>
      </c>
      <c r="K1614" t="n">
        <v>420</v>
      </c>
      <c r="L1614" t="n">
        <v>65</v>
      </c>
      <c r="M1614" t="n">
        <v>15.25</v>
      </c>
      <c r="N1614" t="n">
        <v>765.62</v>
      </c>
      <c r="O1614" t="n">
        <v>4.77</v>
      </c>
      <c r="P1614" t="n">
        <v>5</v>
      </c>
      <c r="Q1614" t="n">
        <v>1</v>
      </c>
      <c r="R1614" t="n">
        <v>2020.6</v>
      </c>
      <c r="S1614" t="b">
        <v>1</v>
      </c>
      <c r="T1614" t="n">
        <v>854898</v>
      </c>
      <c r="U1614" t="n">
        <v>4</v>
      </c>
      <c r="V1614" t="n">
        <v>0.0157</v>
      </c>
      <c r="W1614" t="n">
        <v>0.89</v>
      </c>
      <c r="X1614" t="n">
        <v>60.83</v>
      </c>
      <c r="Y1614">
        <f>VLOOKUP(D1614,$AB$2:$AC$7,2,FALSE)</f>
        <v/>
      </c>
      <c r="Z1614">
        <f>IF(A1614&lt;Y1614,"Yes","No")</f>
        <v/>
      </c>
    </row>
    <row r="1615">
      <c r="A1615" t="n">
        <v>2015</v>
      </c>
      <c r="B1615" t="inlineStr">
        <is>
          <t>Q4</t>
        </is>
      </c>
      <c r="C1615" t="inlineStr">
        <is>
          <t>South America</t>
        </is>
      </c>
      <c r="D1615" t="inlineStr">
        <is>
          <t>Model S</t>
        </is>
      </c>
      <c r="E1615" t="n">
        <v>647</v>
      </c>
      <c r="F1615" t="n">
        <v>110292.57</v>
      </c>
      <c r="G1615" t="n">
        <v>38</v>
      </c>
      <c r="H1615" t="inlineStr">
        <is>
          <t>Standard</t>
        </is>
      </c>
      <c r="I1615" t="inlineStr">
        <is>
          <t>RWD</t>
        </is>
      </c>
      <c r="J1615" t="inlineStr">
        <is>
          <t>Red</t>
        </is>
      </c>
      <c r="K1615" t="n">
        <v>441</v>
      </c>
      <c r="L1615" t="n">
        <v>49</v>
      </c>
      <c r="M1615" t="n">
        <v>13.5</v>
      </c>
      <c r="N1615" t="n">
        <v>730.85</v>
      </c>
      <c r="O1615" t="n">
        <v>3.6</v>
      </c>
      <c r="P1615" t="n">
        <v>8</v>
      </c>
      <c r="Q1615" t="n">
        <v>2</v>
      </c>
      <c r="R1615" t="n">
        <v>2023.2</v>
      </c>
      <c r="S1615" t="b">
        <v>1</v>
      </c>
      <c r="T1615" t="n">
        <v>3966211</v>
      </c>
      <c r="U1615" t="n">
        <v>2</v>
      </c>
      <c r="V1615" t="n">
        <v>0.0701</v>
      </c>
      <c r="W1615" t="n">
        <v>1.04</v>
      </c>
      <c r="X1615" t="n">
        <v>70.55</v>
      </c>
      <c r="Y1615">
        <f>VLOOKUP(D1615,$AB$2:$AC$7,2,FALSE)</f>
        <v/>
      </c>
      <c r="Z1615">
        <f>IF(A1615&lt;Y1615,"Yes","No")</f>
        <v/>
      </c>
    </row>
    <row r="1616">
      <c r="A1616" t="n">
        <v>2024</v>
      </c>
      <c r="B1616" t="inlineStr">
        <is>
          <t>Q4</t>
        </is>
      </c>
      <c r="C1616" t="inlineStr">
        <is>
          <t>South America</t>
        </is>
      </c>
      <c r="D1616" t="inlineStr">
        <is>
          <t>Model Y</t>
        </is>
      </c>
      <c r="E1616" t="n">
        <v>4229</v>
      </c>
      <c r="F1616" t="n">
        <v>82272.81</v>
      </c>
      <c r="G1616" t="n">
        <v>60</v>
      </c>
      <c r="H1616" t="inlineStr">
        <is>
          <t>Standard</t>
        </is>
      </c>
      <c r="I1616" t="inlineStr">
        <is>
          <t>AWD</t>
        </is>
      </c>
      <c r="J1616" t="inlineStr">
        <is>
          <t>Black</t>
        </is>
      </c>
      <c r="K1616" t="n">
        <v>480</v>
      </c>
      <c r="L1616" t="n">
        <v>83</v>
      </c>
      <c r="M1616" t="n">
        <v>13.67</v>
      </c>
      <c r="N1616" t="n">
        <v>8358.84</v>
      </c>
      <c r="O1616" t="n">
        <v>4.41</v>
      </c>
      <c r="P1616" t="n">
        <v>6</v>
      </c>
      <c r="Q1616" t="n">
        <v>2</v>
      </c>
      <c r="R1616" t="n">
        <v>2024.11</v>
      </c>
      <c r="S1616" t="b">
        <v>1</v>
      </c>
      <c r="T1616" t="n">
        <v>2167394</v>
      </c>
      <c r="U1616" t="n">
        <v>10</v>
      </c>
      <c r="V1616" t="n">
        <v>0.0984</v>
      </c>
      <c r="W1616" t="n">
        <v>1.54</v>
      </c>
      <c r="X1616" t="n">
        <v>77.33</v>
      </c>
      <c r="Y1616">
        <f>VLOOKUP(D1616,$AB$2:$AC$7,2,FALSE)</f>
        <v/>
      </c>
      <c r="Z1616">
        <f>IF(A1616&lt;Y1616,"Yes","No")</f>
        <v/>
      </c>
    </row>
    <row r="1617">
      <c r="A1617" t="n">
        <v>2013</v>
      </c>
      <c r="B1617" t="inlineStr">
        <is>
          <t>Q1</t>
        </is>
      </c>
      <c r="C1617" t="inlineStr">
        <is>
          <t>Asia</t>
        </is>
      </c>
      <c r="D1617" t="inlineStr">
        <is>
          <t>Model X</t>
        </is>
      </c>
      <c r="E1617" t="n">
        <v>3383</v>
      </c>
      <c r="F1617" t="n">
        <v>77487.03999999999</v>
      </c>
      <c r="G1617" t="n">
        <v>44</v>
      </c>
      <c r="H1617" t="inlineStr">
        <is>
          <t>Long Range</t>
        </is>
      </c>
      <c r="I1617" t="inlineStr">
        <is>
          <t>RWD</t>
        </is>
      </c>
      <c r="J1617" t="inlineStr">
        <is>
          <t>Blue</t>
        </is>
      </c>
      <c r="K1617" t="n">
        <v>563</v>
      </c>
      <c r="L1617" t="n">
        <v>87</v>
      </c>
      <c r="M1617" t="n">
        <v>13.85</v>
      </c>
      <c r="N1617" t="n">
        <v>7513.72</v>
      </c>
      <c r="O1617" t="n">
        <v>3.69</v>
      </c>
      <c r="P1617" t="n">
        <v>8</v>
      </c>
      <c r="Q1617" t="n">
        <v>0</v>
      </c>
      <c r="R1617" t="n">
        <v>2020.8</v>
      </c>
      <c r="S1617" t="b">
        <v>1</v>
      </c>
      <c r="T1617" t="n">
        <v>4866778</v>
      </c>
      <c r="U1617" t="n">
        <v>4</v>
      </c>
      <c r="V1617" t="n">
        <v>0.08110000000000001</v>
      </c>
      <c r="W1617" t="n">
        <v>1.4</v>
      </c>
      <c r="X1617" t="n">
        <v>69.19</v>
      </c>
      <c r="Y1617">
        <f>VLOOKUP(D1617,$AB$2:$AC$7,2,FALSE)</f>
        <v/>
      </c>
      <c r="Z1617">
        <f>IF(A1617&lt;Y1617,"Yes","No")</f>
        <v/>
      </c>
    </row>
    <row r="1618">
      <c r="A1618" t="n">
        <v>2013</v>
      </c>
      <c r="B1618" t="inlineStr">
        <is>
          <t>Q4</t>
        </is>
      </c>
      <c r="C1618" t="inlineStr">
        <is>
          <t>Australia</t>
        </is>
      </c>
      <c r="D1618" t="inlineStr">
        <is>
          <t>Model S</t>
        </is>
      </c>
      <c r="E1618" t="n">
        <v>1106</v>
      </c>
      <c r="F1618" t="n">
        <v>110166.35</v>
      </c>
      <c r="G1618" t="n">
        <v>42</v>
      </c>
      <c r="H1618" t="inlineStr">
        <is>
          <t>Standard</t>
        </is>
      </c>
      <c r="I1618" t="inlineStr">
        <is>
          <t>AWD</t>
        </is>
      </c>
      <c r="J1618" t="inlineStr">
        <is>
          <t>White</t>
        </is>
      </c>
      <c r="K1618" t="n">
        <v>529</v>
      </c>
      <c r="L1618" t="n">
        <v>44</v>
      </c>
      <c r="M1618" t="n">
        <v>16.66</v>
      </c>
      <c r="N1618" t="n">
        <v>1669.62</v>
      </c>
      <c r="O1618" t="n">
        <v>3.74</v>
      </c>
      <c r="P1618" t="n">
        <v>8</v>
      </c>
      <c r="Q1618" t="n">
        <v>1</v>
      </c>
      <c r="R1618" t="n">
        <v>2022.4</v>
      </c>
      <c r="S1618" t="b">
        <v>1</v>
      </c>
      <c r="T1618" t="n">
        <v>597601</v>
      </c>
      <c r="U1618" t="n">
        <v>11</v>
      </c>
      <c r="V1618" t="n">
        <v>0.0926</v>
      </c>
      <c r="W1618" t="n">
        <v>1.77</v>
      </c>
      <c r="X1618" t="n">
        <v>79.33</v>
      </c>
      <c r="Y1618">
        <f>VLOOKUP(D1618,$AB$2:$AC$7,2,FALSE)</f>
        <v/>
      </c>
      <c r="Z1618">
        <f>IF(A1618&lt;Y1618,"Yes","No")</f>
        <v/>
      </c>
    </row>
    <row r="1619">
      <c r="A1619" t="n">
        <v>2014</v>
      </c>
      <c r="B1619" t="inlineStr">
        <is>
          <t>Q3</t>
        </is>
      </c>
      <c r="C1619" t="inlineStr">
        <is>
          <t>South America</t>
        </is>
      </c>
      <c r="D1619" t="inlineStr">
        <is>
          <t>Cybertruck</t>
        </is>
      </c>
      <c r="E1619" t="n">
        <v>4601</v>
      </c>
      <c r="F1619" t="n">
        <v>75315.61</v>
      </c>
      <c r="G1619" t="n">
        <v>15</v>
      </c>
      <c r="H1619" t="inlineStr">
        <is>
          <t>Long Range</t>
        </is>
      </c>
      <c r="I1619" t="inlineStr">
        <is>
          <t>RWD</t>
        </is>
      </c>
      <c r="J1619" t="inlineStr">
        <is>
          <t>Black</t>
        </is>
      </c>
      <c r="K1619" t="n">
        <v>584</v>
      </c>
      <c r="L1619" t="n">
        <v>40</v>
      </c>
      <c r="M1619" t="n">
        <v>20.43</v>
      </c>
      <c r="N1619" t="n">
        <v>10365.2</v>
      </c>
      <c r="O1619" t="n">
        <v>3.79</v>
      </c>
      <c r="P1619" t="n">
        <v>6</v>
      </c>
      <c r="Q1619" t="n">
        <v>3</v>
      </c>
      <c r="R1619" t="n">
        <v>2020.3</v>
      </c>
      <c r="S1619" t="b">
        <v>0</v>
      </c>
      <c r="T1619" t="n">
        <v>351766</v>
      </c>
      <c r="U1619" t="n">
        <v>11</v>
      </c>
      <c r="V1619" t="n">
        <v>0.0318</v>
      </c>
      <c r="W1619" t="n">
        <v>1.51</v>
      </c>
      <c r="X1619" t="n">
        <v>79.98</v>
      </c>
      <c r="Y1619">
        <f>VLOOKUP(D1619,$AB$2:$AC$7,2,FALSE)</f>
        <v/>
      </c>
      <c r="Z1619">
        <f>IF(A1619&lt;Y1619,"Yes","No")</f>
        <v/>
      </c>
    </row>
    <row r="1620">
      <c r="A1620" t="n">
        <v>2015</v>
      </c>
      <c r="B1620" t="inlineStr">
        <is>
          <t>Q3</t>
        </is>
      </c>
      <c r="C1620" t="inlineStr">
        <is>
          <t>Australia</t>
        </is>
      </c>
      <c r="D1620" t="inlineStr">
        <is>
          <t>Model X</t>
        </is>
      </c>
      <c r="E1620" t="n">
        <v>4422</v>
      </c>
      <c r="F1620" t="n">
        <v>59309.8</v>
      </c>
      <c r="G1620" t="n">
        <v>8</v>
      </c>
      <c r="H1620" t="inlineStr">
        <is>
          <t>Performance</t>
        </is>
      </c>
      <c r="I1620" t="inlineStr">
        <is>
          <t>RWD</t>
        </is>
      </c>
      <c r="J1620" t="inlineStr">
        <is>
          <t>Black</t>
        </is>
      </c>
      <c r="K1620" t="n">
        <v>649</v>
      </c>
      <c r="L1620" t="n">
        <v>65</v>
      </c>
      <c r="M1620" t="n">
        <v>15.79</v>
      </c>
      <c r="N1620" t="n">
        <v>8603.77</v>
      </c>
      <c r="O1620" t="n">
        <v>4.09</v>
      </c>
      <c r="P1620" t="n">
        <v>6</v>
      </c>
      <c r="Q1620" t="n">
        <v>1</v>
      </c>
      <c r="R1620" t="n">
        <v>2021.1</v>
      </c>
      <c r="S1620" t="b">
        <v>1</v>
      </c>
      <c r="T1620" t="n">
        <v>4739518</v>
      </c>
      <c r="U1620" t="n">
        <v>10</v>
      </c>
      <c r="V1620" t="n">
        <v>0.0475</v>
      </c>
      <c r="W1620" t="n">
        <v>1.41</v>
      </c>
      <c r="X1620" t="n">
        <v>64.98</v>
      </c>
      <c r="Y1620">
        <f>VLOOKUP(D1620,$AB$2:$AC$7,2,FALSE)</f>
        <v/>
      </c>
      <c r="Z1620">
        <f>IF(A1620&lt;Y1620,"Yes","No")</f>
        <v/>
      </c>
    </row>
    <row r="1621">
      <c r="A1621" t="n">
        <v>2014</v>
      </c>
      <c r="B1621" t="inlineStr">
        <is>
          <t>Q4</t>
        </is>
      </c>
      <c r="C1621" t="inlineStr">
        <is>
          <t>Europe</t>
        </is>
      </c>
      <c r="D1621" t="inlineStr">
        <is>
          <t>Model X</t>
        </is>
      </c>
      <c r="E1621" t="n">
        <v>1899</v>
      </c>
      <c r="F1621" t="n">
        <v>105587.05</v>
      </c>
      <c r="G1621" t="n">
        <v>54</v>
      </c>
      <c r="H1621" t="inlineStr">
        <is>
          <t>Long Range</t>
        </is>
      </c>
      <c r="I1621" t="inlineStr">
        <is>
          <t>AWD</t>
        </is>
      </c>
      <c r="J1621" t="inlineStr">
        <is>
          <t>Blue</t>
        </is>
      </c>
      <c r="K1621" t="n">
        <v>672</v>
      </c>
      <c r="L1621" t="n">
        <v>40</v>
      </c>
      <c r="M1621" t="n">
        <v>13.68</v>
      </c>
      <c r="N1621" t="n">
        <v>1345.86</v>
      </c>
      <c r="O1621" t="n">
        <v>4.14</v>
      </c>
      <c r="P1621" t="n">
        <v>5</v>
      </c>
      <c r="Q1621" t="n">
        <v>2</v>
      </c>
      <c r="R1621" t="n">
        <v>2020.2</v>
      </c>
      <c r="S1621" t="b">
        <v>0</v>
      </c>
      <c r="T1621" t="n">
        <v>1217300</v>
      </c>
      <c r="U1621" t="n">
        <v>3</v>
      </c>
      <c r="V1621" t="n">
        <v>0.0437</v>
      </c>
      <c r="W1621" t="n">
        <v>1.88</v>
      </c>
      <c r="X1621" t="n">
        <v>67.66</v>
      </c>
      <c r="Y1621">
        <f>VLOOKUP(D1621,$AB$2:$AC$7,2,FALSE)</f>
        <v/>
      </c>
      <c r="Z1621">
        <f>IF(A1621&lt;Y1621,"Yes","No")</f>
        <v/>
      </c>
    </row>
    <row r="1622">
      <c r="A1622" t="n">
        <v>2023</v>
      </c>
      <c r="B1622" t="inlineStr">
        <is>
          <t>Q3</t>
        </is>
      </c>
      <c r="C1622" t="inlineStr">
        <is>
          <t>Europe</t>
        </is>
      </c>
      <c r="D1622" t="inlineStr">
        <is>
          <t>Model Y</t>
        </is>
      </c>
      <c r="E1622" t="n">
        <v>1784</v>
      </c>
      <c r="F1622" t="n">
        <v>69097.88</v>
      </c>
      <c r="G1622" t="n">
        <v>51</v>
      </c>
      <c r="H1622" t="inlineStr">
        <is>
          <t>Performance</t>
        </is>
      </c>
      <c r="I1622" t="inlineStr">
        <is>
          <t>RWD</t>
        </is>
      </c>
      <c r="J1622" t="inlineStr">
        <is>
          <t>Black</t>
        </is>
      </c>
      <c r="K1622" t="n">
        <v>461</v>
      </c>
      <c r="L1622" t="n">
        <v>42</v>
      </c>
      <c r="M1622" t="n">
        <v>17.37</v>
      </c>
      <c r="N1622" t="n">
        <v>1006.73</v>
      </c>
      <c r="O1622" t="n">
        <v>3.91</v>
      </c>
      <c r="P1622" t="n">
        <v>6</v>
      </c>
      <c r="Q1622" t="n">
        <v>2</v>
      </c>
      <c r="R1622" t="n">
        <v>2020.12</v>
      </c>
      <c r="S1622" t="b">
        <v>0</v>
      </c>
      <c r="T1622" t="n">
        <v>1806123</v>
      </c>
      <c r="U1622" t="n">
        <v>6</v>
      </c>
      <c r="V1622" t="n">
        <v>0.08840000000000001</v>
      </c>
      <c r="W1622" t="n">
        <v>2.37</v>
      </c>
      <c r="X1622" t="n">
        <v>62.52</v>
      </c>
      <c r="Y1622">
        <f>VLOOKUP(D1622,$AB$2:$AC$7,2,FALSE)</f>
        <v/>
      </c>
      <c r="Z1622">
        <f>IF(A1622&lt;Y1622,"Yes","No")</f>
        <v/>
      </c>
    </row>
    <row r="1623">
      <c r="A1623" t="n">
        <v>2013</v>
      </c>
      <c r="B1623" t="inlineStr">
        <is>
          <t>Q4</t>
        </is>
      </c>
      <c r="C1623" t="inlineStr">
        <is>
          <t>Asia</t>
        </is>
      </c>
      <c r="D1623" t="inlineStr">
        <is>
          <t>Model X</t>
        </is>
      </c>
      <c r="E1623" t="n">
        <v>4767</v>
      </c>
      <c r="F1623" t="n">
        <v>57523.02</v>
      </c>
      <c r="G1623" t="n">
        <v>36</v>
      </c>
      <c r="H1623" t="inlineStr">
        <is>
          <t>Long Range</t>
        </is>
      </c>
      <c r="I1623" t="inlineStr">
        <is>
          <t>RWD</t>
        </is>
      </c>
      <c r="J1623" t="inlineStr">
        <is>
          <t>Green</t>
        </is>
      </c>
      <c r="K1623" t="n">
        <v>497</v>
      </c>
      <c r="L1623" t="n">
        <v>40</v>
      </c>
      <c r="M1623" t="n">
        <v>22.18</v>
      </c>
      <c r="N1623" t="n">
        <v>3156.26</v>
      </c>
      <c r="O1623" t="n">
        <v>4.33</v>
      </c>
      <c r="P1623" t="n">
        <v>6</v>
      </c>
      <c r="Q1623" t="n">
        <v>1</v>
      </c>
      <c r="R1623" t="n">
        <v>2022.7</v>
      </c>
      <c r="S1623" t="b">
        <v>1</v>
      </c>
      <c r="T1623" t="n">
        <v>4341843</v>
      </c>
      <c r="U1623" t="n">
        <v>3</v>
      </c>
      <c r="V1623" t="n">
        <v>0.09089999999999999</v>
      </c>
      <c r="W1623" t="n">
        <v>0.65</v>
      </c>
      <c r="X1623" t="n">
        <v>78.72</v>
      </c>
      <c r="Y1623">
        <f>VLOOKUP(D1623,$AB$2:$AC$7,2,FALSE)</f>
        <v/>
      </c>
      <c r="Z1623">
        <f>IF(A1623&lt;Y1623,"Yes","No")</f>
        <v/>
      </c>
    </row>
    <row r="1624">
      <c r="A1624" t="n">
        <v>2013</v>
      </c>
      <c r="B1624" t="inlineStr">
        <is>
          <t>Q4</t>
        </is>
      </c>
      <c r="C1624" t="inlineStr">
        <is>
          <t>Asia</t>
        </is>
      </c>
      <c r="D1624" t="inlineStr">
        <is>
          <t>Model Y</t>
        </is>
      </c>
      <c r="E1624" t="n">
        <v>1472</v>
      </c>
      <c r="F1624" t="n">
        <v>111676.41</v>
      </c>
      <c r="G1624" t="n">
        <v>42</v>
      </c>
      <c r="H1624" t="inlineStr">
        <is>
          <t>Long Range</t>
        </is>
      </c>
      <c r="I1624" t="inlineStr">
        <is>
          <t>RWD</t>
        </is>
      </c>
      <c r="J1624" t="inlineStr">
        <is>
          <t>Black</t>
        </is>
      </c>
      <c r="K1624" t="n">
        <v>650</v>
      </c>
      <c r="L1624" t="n">
        <v>68</v>
      </c>
      <c r="M1624" t="n">
        <v>23.54</v>
      </c>
      <c r="N1624" t="n">
        <v>3652.61</v>
      </c>
      <c r="O1624" t="n">
        <v>3.76</v>
      </c>
      <c r="P1624" t="n">
        <v>8</v>
      </c>
      <c r="Q1624" t="n">
        <v>1</v>
      </c>
      <c r="R1624" t="n">
        <v>2022.4</v>
      </c>
      <c r="S1624" t="b">
        <v>0</v>
      </c>
      <c r="T1624" t="n">
        <v>3242852</v>
      </c>
      <c r="U1624" t="n">
        <v>12</v>
      </c>
      <c r="V1624" t="n">
        <v>0.0613</v>
      </c>
      <c r="W1624" t="n">
        <v>0.74</v>
      </c>
      <c r="X1624" t="n">
        <v>67.2</v>
      </c>
      <c r="Y1624">
        <f>VLOOKUP(D1624,$AB$2:$AC$7,2,FALSE)</f>
        <v/>
      </c>
      <c r="Z1624">
        <f>IF(A1624&lt;Y1624,"Yes","No")</f>
        <v/>
      </c>
    </row>
    <row r="1625">
      <c r="A1625" t="n">
        <v>2012</v>
      </c>
      <c r="B1625" t="inlineStr">
        <is>
          <t>Q1</t>
        </is>
      </c>
      <c r="C1625" t="inlineStr">
        <is>
          <t>Australia</t>
        </is>
      </c>
      <c r="D1625" t="inlineStr">
        <is>
          <t>Model X</t>
        </is>
      </c>
      <c r="E1625" t="n">
        <v>1026</v>
      </c>
      <c r="F1625" t="n">
        <v>57192.7</v>
      </c>
      <c r="G1625" t="n">
        <v>60</v>
      </c>
      <c r="H1625" t="inlineStr">
        <is>
          <t>Performance</t>
        </is>
      </c>
      <c r="I1625" t="inlineStr">
        <is>
          <t>AWD</t>
        </is>
      </c>
      <c r="J1625" t="inlineStr">
        <is>
          <t>Silver</t>
        </is>
      </c>
      <c r="K1625" t="n">
        <v>462</v>
      </c>
      <c r="L1625" t="n">
        <v>84</v>
      </c>
      <c r="M1625" t="n">
        <v>16.34</v>
      </c>
      <c r="N1625" t="n">
        <v>2325.83</v>
      </c>
      <c r="O1625" t="n">
        <v>3.77</v>
      </c>
      <c r="P1625" t="n">
        <v>5</v>
      </c>
      <c r="Q1625" t="n">
        <v>0</v>
      </c>
      <c r="R1625" t="n">
        <v>2022.8</v>
      </c>
      <c r="S1625" t="b">
        <v>1</v>
      </c>
      <c r="T1625" t="n">
        <v>2281670</v>
      </c>
      <c r="U1625" t="n">
        <v>7</v>
      </c>
      <c r="V1625" t="n">
        <v>0.0766</v>
      </c>
      <c r="W1625" t="n">
        <v>2.5</v>
      </c>
      <c r="X1625" t="n">
        <v>60.77</v>
      </c>
      <c r="Y1625">
        <f>VLOOKUP(D1625,$AB$2:$AC$7,2,FALSE)</f>
        <v/>
      </c>
      <c r="Z1625">
        <f>IF(A1625&lt;Y1625,"Yes","No")</f>
        <v/>
      </c>
    </row>
    <row r="1626">
      <c r="A1626" t="n">
        <v>2020</v>
      </c>
      <c r="B1626" t="inlineStr">
        <is>
          <t>Q1</t>
        </is>
      </c>
      <c r="C1626" t="inlineStr">
        <is>
          <t>Europe</t>
        </is>
      </c>
      <c r="D1626" t="inlineStr">
        <is>
          <t>Model X</t>
        </is>
      </c>
      <c r="E1626" t="n">
        <v>3363</v>
      </c>
      <c r="F1626" t="n">
        <v>118273.84</v>
      </c>
      <c r="G1626" t="n">
        <v>57</v>
      </c>
      <c r="H1626" t="inlineStr">
        <is>
          <t>Standard</t>
        </is>
      </c>
      <c r="I1626" t="inlineStr">
        <is>
          <t>RWD</t>
        </is>
      </c>
      <c r="J1626" t="inlineStr">
        <is>
          <t>Silver</t>
        </is>
      </c>
      <c r="K1626" t="n">
        <v>677</v>
      </c>
      <c r="L1626" t="n">
        <v>73</v>
      </c>
      <c r="M1626" t="n">
        <v>22.91</v>
      </c>
      <c r="N1626" t="n">
        <v>4263.8</v>
      </c>
      <c r="O1626" t="n">
        <v>3.75</v>
      </c>
      <c r="P1626" t="n">
        <v>5</v>
      </c>
      <c r="Q1626" t="n">
        <v>0</v>
      </c>
      <c r="R1626" t="n">
        <v>2020.5</v>
      </c>
      <c r="S1626" t="b">
        <v>0</v>
      </c>
      <c r="T1626" t="n">
        <v>211117</v>
      </c>
      <c r="U1626" t="n">
        <v>8</v>
      </c>
      <c r="V1626" t="n">
        <v>0.0479</v>
      </c>
      <c r="W1626" t="n">
        <v>1.99</v>
      </c>
      <c r="X1626" t="n">
        <v>71.68000000000001</v>
      </c>
      <c r="Y1626">
        <f>VLOOKUP(D1626,$AB$2:$AC$7,2,FALSE)</f>
        <v/>
      </c>
      <c r="Z1626">
        <f>IF(A1626&lt;Y1626,"Yes","No")</f>
        <v/>
      </c>
    </row>
    <row r="1627">
      <c r="A1627" t="n">
        <v>2023</v>
      </c>
      <c r="B1627" t="inlineStr">
        <is>
          <t>Q1</t>
        </is>
      </c>
      <c r="C1627" t="inlineStr">
        <is>
          <t>Australia</t>
        </is>
      </c>
      <c r="D1627" t="inlineStr">
        <is>
          <t>Cybertruck</t>
        </is>
      </c>
      <c r="E1627" t="n">
        <v>3435</v>
      </c>
      <c r="F1627" t="n">
        <v>55599.37</v>
      </c>
      <c r="G1627" t="n">
        <v>28</v>
      </c>
      <c r="H1627" t="inlineStr">
        <is>
          <t>Long Range</t>
        </is>
      </c>
      <c r="I1627" t="inlineStr">
        <is>
          <t>AWD</t>
        </is>
      </c>
      <c r="J1627" t="inlineStr">
        <is>
          <t>Black</t>
        </is>
      </c>
      <c r="K1627" t="n">
        <v>382</v>
      </c>
      <c r="L1627" t="n">
        <v>63</v>
      </c>
      <c r="M1627" t="n">
        <v>23.95</v>
      </c>
      <c r="N1627" t="n">
        <v>5823.85</v>
      </c>
      <c r="O1627" t="n">
        <v>4.55</v>
      </c>
      <c r="P1627" t="n">
        <v>4</v>
      </c>
      <c r="Q1627" t="n">
        <v>3</v>
      </c>
      <c r="R1627" t="n">
        <v>2022.1</v>
      </c>
      <c r="S1627" t="b">
        <v>0</v>
      </c>
      <c r="T1627" t="n">
        <v>750340</v>
      </c>
      <c r="U1627" t="n">
        <v>6</v>
      </c>
      <c r="V1627" t="n">
        <v>0.0494</v>
      </c>
      <c r="W1627" t="n">
        <v>1.2</v>
      </c>
      <c r="X1627" t="n">
        <v>60.27</v>
      </c>
      <c r="Y1627">
        <f>VLOOKUP(D1627,$AB$2:$AC$7,2,FALSE)</f>
        <v/>
      </c>
      <c r="Z1627">
        <f>IF(A1627&lt;Y1627,"Yes","No")</f>
        <v/>
      </c>
    </row>
    <row r="1628">
      <c r="A1628" t="n">
        <v>2013</v>
      </c>
      <c r="B1628" t="inlineStr">
        <is>
          <t>Q2</t>
        </is>
      </c>
      <c r="C1628" t="inlineStr">
        <is>
          <t>Asia</t>
        </is>
      </c>
      <c r="D1628" t="inlineStr">
        <is>
          <t>Model S</t>
        </is>
      </c>
      <c r="E1628" t="n">
        <v>1186</v>
      </c>
      <c r="F1628" t="n">
        <v>96807.50999999999</v>
      </c>
      <c r="G1628" t="n">
        <v>12</v>
      </c>
      <c r="H1628" t="inlineStr">
        <is>
          <t>Standard</t>
        </is>
      </c>
      <c r="I1628" t="inlineStr">
        <is>
          <t>RWD</t>
        </is>
      </c>
      <c r="J1628" t="inlineStr">
        <is>
          <t>Red</t>
        </is>
      </c>
      <c r="K1628" t="n">
        <v>350</v>
      </c>
      <c r="L1628" t="n">
        <v>88</v>
      </c>
      <c r="M1628" t="n">
        <v>16.05</v>
      </c>
      <c r="N1628" t="n">
        <v>718.01</v>
      </c>
      <c r="O1628" t="n">
        <v>4.87</v>
      </c>
      <c r="P1628" t="n">
        <v>8</v>
      </c>
      <c r="Q1628" t="n">
        <v>1</v>
      </c>
      <c r="R1628" t="n">
        <v>2024.1</v>
      </c>
      <c r="S1628" t="b">
        <v>0</v>
      </c>
      <c r="T1628" t="n">
        <v>4390248</v>
      </c>
      <c r="U1628" t="n">
        <v>5</v>
      </c>
      <c r="V1628" t="n">
        <v>0.0675</v>
      </c>
      <c r="W1628" t="n">
        <v>0.73</v>
      </c>
      <c r="X1628" t="n">
        <v>65.18000000000001</v>
      </c>
      <c r="Y1628">
        <f>VLOOKUP(D1628,$AB$2:$AC$7,2,FALSE)</f>
        <v/>
      </c>
      <c r="Z1628">
        <f>IF(A1628&lt;Y1628,"Yes","No")</f>
        <v/>
      </c>
    </row>
    <row r="1629">
      <c r="A1629" t="n">
        <v>2020</v>
      </c>
      <c r="B1629" t="inlineStr">
        <is>
          <t>Q4</t>
        </is>
      </c>
      <c r="C1629" t="inlineStr">
        <is>
          <t>North America</t>
        </is>
      </c>
      <c r="D1629" t="inlineStr">
        <is>
          <t>Model X</t>
        </is>
      </c>
      <c r="E1629" t="n">
        <v>4539</v>
      </c>
      <c r="F1629" t="n">
        <v>60105.33</v>
      </c>
      <c r="G1629" t="n">
        <v>23</v>
      </c>
      <c r="H1629" t="inlineStr">
        <is>
          <t>Standard</t>
        </is>
      </c>
      <c r="I1629" t="inlineStr">
        <is>
          <t>RWD</t>
        </is>
      </c>
      <c r="J1629" t="inlineStr">
        <is>
          <t>Silver</t>
        </is>
      </c>
      <c r="K1629" t="n">
        <v>552</v>
      </c>
      <c r="L1629" t="n">
        <v>78</v>
      </c>
      <c r="M1629" t="n">
        <v>17.57</v>
      </c>
      <c r="N1629" t="n">
        <v>7757.25</v>
      </c>
      <c r="O1629" t="n">
        <v>4.45</v>
      </c>
      <c r="P1629" t="n">
        <v>8</v>
      </c>
      <c r="Q1629" t="n">
        <v>2</v>
      </c>
      <c r="R1629" t="n">
        <v>2021.1</v>
      </c>
      <c r="S1629" t="b">
        <v>1</v>
      </c>
      <c r="T1629" t="n">
        <v>665801</v>
      </c>
      <c r="U1629" t="n">
        <v>6</v>
      </c>
      <c r="V1629" t="n">
        <v>0.0176</v>
      </c>
      <c r="W1629" t="n">
        <v>2.18</v>
      </c>
      <c r="X1629" t="n">
        <v>64.09</v>
      </c>
      <c r="Y1629">
        <f>VLOOKUP(D1629,$AB$2:$AC$7,2,FALSE)</f>
        <v/>
      </c>
      <c r="Z1629">
        <f>IF(A1629&lt;Y1629,"Yes","No")</f>
        <v/>
      </c>
    </row>
    <row r="1630">
      <c r="A1630" t="n">
        <v>2018</v>
      </c>
      <c r="B1630" t="inlineStr">
        <is>
          <t>Q1</t>
        </is>
      </c>
      <c r="C1630" t="inlineStr">
        <is>
          <t>Australia</t>
        </is>
      </c>
      <c r="D1630" t="inlineStr">
        <is>
          <t>Model 3</t>
        </is>
      </c>
      <c r="E1630" t="n">
        <v>4050</v>
      </c>
      <c r="F1630" t="n">
        <v>49414.29</v>
      </c>
      <c r="G1630" t="n">
        <v>45</v>
      </c>
      <c r="H1630" t="inlineStr">
        <is>
          <t>Performance</t>
        </is>
      </c>
      <c r="I1630" t="inlineStr">
        <is>
          <t>RWD</t>
        </is>
      </c>
      <c r="J1630" t="inlineStr">
        <is>
          <t>Red</t>
        </is>
      </c>
      <c r="K1630" t="n">
        <v>531</v>
      </c>
      <c r="L1630" t="n">
        <v>67</v>
      </c>
      <c r="M1630" t="n">
        <v>17.42</v>
      </c>
      <c r="N1630" t="n">
        <v>6227.43</v>
      </c>
      <c r="O1630" t="n">
        <v>4.89</v>
      </c>
      <c r="P1630" t="n">
        <v>6</v>
      </c>
      <c r="Q1630" t="n">
        <v>2</v>
      </c>
      <c r="R1630" t="n">
        <v>2023.6</v>
      </c>
      <c r="S1630" t="b">
        <v>0</v>
      </c>
      <c r="T1630" t="n">
        <v>3764285</v>
      </c>
      <c r="U1630" t="n">
        <v>5</v>
      </c>
      <c r="V1630" t="n">
        <v>0.0906</v>
      </c>
      <c r="W1630" t="n">
        <v>2.3</v>
      </c>
      <c r="X1630" t="n">
        <v>81.06999999999999</v>
      </c>
      <c r="Y1630">
        <f>VLOOKUP(D1630,$AB$2:$AC$7,2,FALSE)</f>
        <v/>
      </c>
      <c r="Z1630">
        <f>IF(A1630&lt;Y1630,"Yes","No")</f>
        <v/>
      </c>
    </row>
    <row r="1631">
      <c r="A1631" t="n">
        <v>2021</v>
      </c>
      <c r="B1631" t="inlineStr">
        <is>
          <t>Q2</t>
        </is>
      </c>
      <c r="C1631" t="inlineStr">
        <is>
          <t>South America</t>
        </is>
      </c>
      <c r="D1631" t="inlineStr">
        <is>
          <t>Model 3</t>
        </is>
      </c>
      <c r="E1631" t="n">
        <v>285</v>
      </c>
      <c r="F1631" t="n">
        <v>63901.21</v>
      </c>
      <c r="G1631" t="n">
        <v>31</v>
      </c>
      <c r="H1631" t="inlineStr">
        <is>
          <t>Long Range</t>
        </is>
      </c>
      <c r="I1631" t="inlineStr">
        <is>
          <t>RWD</t>
        </is>
      </c>
      <c r="J1631" t="inlineStr">
        <is>
          <t>Green</t>
        </is>
      </c>
      <c r="K1631" t="n">
        <v>657</v>
      </c>
      <c r="L1631" t="n">
        <v>71</v>
      </c>
      <c r="M1631" t="n">
        <v>19.42</v>
      </c>
      <c r="N1631" t="n">
        <v>616.64</v>
      </c>
      <c r="O1631" t="n">
        <v>4.08</v>
      </c>
      <c r="P1631" t="n">
        <v>8</v>
      </c>
      <c r="Q1631" t="n">
        <v>0</v>
      </c>
      <c r="R1631" t="n">
        <v>2023.5</v>
      </c>
      <c r="S1631" t="b">
        <v>1</v>
      </c>
      <c r="T1631" t="n">
        <v>438574</v>
      </c>
      <c r="U1631" t="n">
        <v>7</v>
      </c>
      <c r="V1631" t="n">
        <v>0.06279999999999999</v>
      </c>
      <c r="W1631" t="n">
        <v>1.71</v>
      </c>
      <c r="X1631" t="n">
        <v>81.89</v>
      </c>
      <c r="Y1631">
        <f>VLOOKUP(D1631,$AB$2:$AC$7,2,FALSE)</f>
        <v/>
      </c>
      <c r="Z1631">
        <f>IF(A1631&lt;Y1631,"Yes","No")</f>
        <v/>
      </c>
    </row>
    <row r="1632">
      <c r="A1632" t="n">
        <v>2020</v>
      </c>
      <c r="B1632" t="inlineStr">
        <is>
          <t>Q1</t>
        </is>
      </c>
      <c r="C1632" t="inlineStr">
        <is>
          <t>Asia</t>
        </is>
      </c>
      <c r="D1632" t="inlineStr">
        <is>
          <t>Model S</t>
        </is>
      </c>
      <c r="E1632" t="n">
        <v>2349</v>
      </c>
      <c r="F1632" t="n">
        <v>104471.17</v>
      </c>
      <c r="G1632" t="n">
        <v>14</v>
      </c>
      <c r="H1632" t="inlineStr">
        <is>
          <t>Performance</t>
        </is>
      </c>
      <c r="I1632" t="inlineStr">
        <is>
          <t>AWD</t>
        </is>
      </c>
      <c r="J1632" t="inlineStr">
        <is>
          <t>Black</t>
        </is>
      </c>
      <c r="K1632" t="n">
        <v>524</v>
      </c>
      <c r="L1632" t="n">
        <v>81</v>
      </c>
      <c r="M1632" t="n">
        <v>18.2</v>
      </c>
      <c r="N1632" t="n">
        <v>1293.91</v>
      </c>
      <c r="O1632" t="n">
        <v>3.7</v>
      </c>
      <c r="P1632" t="n">
        <v>6</v>
      </c>
      <c r="Q1632" t="n">
        <v>3</v>
      </c>
      <c r="R1632" t="n">
        <v>2024.11</v>
      </c>
      <c r="S1632" t="b">
        <v>0</v>
      </c>
      <c r="T1632" t="n">
        <v>3669645</v>
      </c>
      <c r="U1632" t="n">
        <v>2</v>
      </c>
      <c r="V1632" t="n">
        <v>0.08690000000000001</v>
      </c>
      <c r="W1632" t="n">
        <v>1.34</v>
      </c>
      <c r="X1632" t="n">
        <v>70.72</v>
      </c>
      <c r="Y1632">
        <f>VLOOKUP(D1632,$AB$2:$AC$7,2,FALSE)</f>
        <v/>
      </c>
      <c r="Z1632">
        <f>IF(A1632&lt;Y1632,"Yes","No")</f>
        <v/>
      </c>
    </row>
    <row r="1633">
      <c r="A1633" t="n">
        <v>2022</v>
      </c>
      <c r="B1633" t="inlineStr">
        <is>
          <t>Q4</t>
        </is>
      </c>
      <c r="C1633" t="inlineStr">
        <is>
          <t>Australia</t>
        </is>
      </c>
      <c r="D1633" t="inlineStr">
        <is>
          <t>Model S</t>
        </is>
      </c>
      <c r="E1633" t="n">
        <v>4032</v>
      </c>
      <c r="F1633" t="n">
        <v>62765.54</v>
      </c>
      <c r="G1633" t="n">
        <v>5</v>
      </c>
      <c r="H1633" t="inlineStr">
        <is>
          <t>Standard</t>
        </is>
      </c>
      <c r="I1633" t="inlineStr">
        <is>
          <t>AWD</t>
        </is>
      </c>
      <c r="J1633" t="inlineStr">
        <is>
          <t>Red</t>
        </is>
      </c>
      <c r="K1633" t="n">
        <v>395</v>
      </c>
      <c r="L1633" t="n">
        <v>62</v>
      </c>
      <c r="M1633" t="n">
        <v>16.49</v>
      </c>
      <c r="N1633" t="n">
        <v>5156.28</v>
      </c>
      <c r="O1633" t="n">
        <v>4.49</v>
      </c>
      <c r="P1633" t="n">
        <v>8</v>
      </c>
      <c r="Q1633" t="n">
        <v>2</v>
      </c>
      <c r="R1633" t="n">
        <v>2022.2</v>
      </c>
      <c r="S1633" t="b">
        <v>1</v>
      </c>
      <c r="T1633" t="n">
        <v>1196019</v>
      </c>
      <c r="U1633" t="n">
        <v>6</v>
      </c>
      <c r="V1633" t="n">
        <v>0.0411</v>
      </c>
      <c r="W1633" t="n">
        <v>1.09</v>
      </c>
      <c r="X1633" t="n">
        <v>75.05</v>
      </c>
      <c r="Y1633">
        <f>VLOOKUP(D1633,$AB$2:$AC$7,2,FALSE)</f>
        <v/>
      </c>
      <c r="Z1633">
        <f>IF(A1633&lt;Y1633,"Yes","No")</f>
        <v/>
      </c>
    </row>
    <row r="1634">
      <c r="A1634" t="n">
        <v>2024</v>
      </c>
      <c r="B1634" t="inlineStr">
        <is>
          <t>Q2</t>
        </is>
      </c>
      <c r="C1634" t="inlineStr">
        <is>
          <t>Asia</t>
        </is>
      </c>
      <c r="D1634" t="inlineStr">
        <is>
          <t>Model Y</t>
        </is>
      </c>
      <c r="E1634" t="n">
        <v>3109</v>
      </c>
      <c r="F1634" t="n">
        <v>55434.23</v>
      </c>
      <c r="G1634" t="n">
        <v>10</v>
      </c>
      <c r="H1634" t="inlineStr">
        <is>
          <t>Long Range</t>
        </is>
      </c>
      <c r="I1634" t="inlineStr">
        <is>
          <t>AWD</t>
        </is>
      </c>
      <c r="J1634" t="inlineStr">
        <is>
          <t>Blue</t>
        </is>
      </c>
      <c r="K1634" t="n">
        <v>582</v>
      </c>
      <c r="L1634" t="n">
        <v>78</v>
      </c>
      <c r="M1634" t="n">
        <v>21.76</v>
      </c>
      <c r="N1634" t="n">
        <v>5227.53</v>
      </c>
      <c r="O1634" t="n">
        <v>3.56</v>
      </c>
      <c r="P1634" t="n">
        <v>8</v>
      </c>
      <c r="Q1634" t="n">
        <v>3</v>
      </c>
      <c r="R1634" t="n">
        <v>2022.6</v>
      </c>
      <c r="S1634" t="b">
        <v>0</v>
      </c>
      <c r="T1634" t="n">
        <v>1974929</v>
      </c>
      <c r="U1634" t="n">
        <v>9</v>
      </c>
      <c r="V1634" t="n">
        <v>0.0888</v>
      </c>
      <c r="W1634" t="n">
        <v>1</v>
      </c>
      <c r="X1634" t="n">
        <v>84.37</v>
      </c>
      <c r="Y1634">
        <f>VLOOKUP(D1634,$AB$2:$AC$7,2,FALSE)</f>
        <v/>
      </c>
      <c r="Z1634">
        <f>IF(A1634&lt;Y1634,"Yes","No")</f>
        <v/>
      </c>
    </row>
    <row r="1635">
      <c r="A1635" t="n">
        <v>2024</v>
      </c>
      <c r="B1635" t="inlineStr">
        <is>
          <t>Q3</t>
        </is>
      </c>
      <c r="C1635" t="inlineStr">
        <is>
          <t>Europe</t>
        </is>
      </c>
      <c r="D1635" t="inlineStr">
        <is>
          <t>Model X</t>
        </is>
      </c>
      <c r="E1635" t="n">
        <v>672</v>
      </c>
      <c r="F1635" t="n">
        <v>49489.39</v>
      </c>
      <c r="G1635" t="n">
        <v>60</v>
      </c>
      <c r="H1635" t="inlineStr">
        <is>
          <t>Long Range</t>
        </is>
      </c>
      <c r="I1635" t="inlineStr">
        <is>
          <t>RWD</t>
        </is>
      </c>
      <c r="J1635" t="inlineStr">
        <is>
          <t>Blue</t>
        </is>
      </c>
      <c r="K1635" t="n">
        <v>584</v>
      </c>
      <c r="L1635" t="n">
        <v>80</v>
      </c>
      <c r="M1635" t="n">
        <v>20.11</v>
      </c>
      <c r="N1635" t="n">
        <v>1196.46</v>
      </c>
      <c r="O1635" t="n">
        <v>3.62</v>
      </c>
      <c r="P1635" t="n">
        <v>8</v>
      </c>
      <c r="Q1635" t="n">
        <v>2</v>
      </c>
      <c r="R1635" t="n">
        <v>2021.3</v>
      </c>
      <c r="S1635" t="b">
        <v>0</v>
      </c>
      <c r="T1635" t="n">
        <v>1569313</v>
      </c>
      <c r="U1635" t="n">
        <v>11</v>
      </c>
      <c r="V1635" t="n">
        <v>0.0346</v>
      </c>
      <c r="W1635" t="n">
        <v>1.87</v>
      </c>
      <c r="X1635" t="n">
        <v>85.43000000000001</v>
      </c>
      <c r="Y1635">
        <f>VLOOKUP(D1635,$AB$2:$AC$7,2,FALSE)</f>
        <v/>
      </c>
      <c r="Z1635">
        <f>IF(A1635&lt;Y1635,"Yes","No")</f>
        <v/>
      </c>
    </row>
    <row r="1636">
      <c r="A1636" t="n">
        <v>2018</v>
      </c>
      <c r="B1636" t="inlineStr">
        <is>
          <t>Q3</t>
        </is>
      </c>
      <c r="C1636" t="inlineStr">
        <is>
          <t>Europe</t>
        </is>
      </c>
      <c r="D1636" t="inlineStr">
        <is>
          <t>Model 3</t>
        </is>
      </c>
      <c r="E1636" t="n">
        <v>3305</v>
      </c>
      <c r="F1636" t="n">
        <v>77189.84</v>
      </c>
      <c r="G1636" t="n">
        <v>43</v>
      </c>
      <c r="H1636" t="inlineStr">
        <is>
          <t>Performance</t>
        </is>
      </c>
      <c r="I1636" t="inlineStr">
        <is>
          <t>AWD</t>
        </is>
      </c>
      <c r="J1636" t="inlineStr">
        <is>
          <t>Black</t>
        </is>
      </c>
      <c r="K1636" t="n">
        <v>380</v>
      </c>
      <c r="L1636" t="n">
        <v>82</v>
      </c>
      <c r="M1636" t="n">
        <v>15.69</v>
      </c>
      <c r="N1636" t="n">
        <v>5069.92</v>
      </c>
      <c r="O1636" t="n">
        <v>3.9</v>
      </c>
      <c r="P1636" t="n">
        <v>8</v>
      </c>
      <c r="Q1636" t="n">
        <v>0</v>
      </c>
      <c r="R1636" t="n">
        <v>2020.9</v>
      </c>
      <c r="S1636" t="b">
        <v>0</v>
      </c>
      <c r="T1636" t="n">
        <v>852258</v>
      </c>
      <c r="U1636" t="n">
        <v>7</v>
      </c>
      <c r="V1636" t="n">
        <v>0.0613</v>
      </c>
      <c r="W1636" t="n">
        <v>0.66</v>
      </c>
      <c r="X1636" t="n">
        <v>63.87</v>
      </c>
      <c r="Y1636">
        <f>VLOOKUP(D1636,$AB$2:$AC$7,2,FALSE)</f>
        <v/>
      </c>
      <c r="Z1636">
        <f>IF(A1636&lt;Y1636,"Yes","No")</f>
        <v/>
      </c>
    </row>
    <row r="1637">
      <c r="A1637" t="n">
        <v>2014</v>
      </c>
      <c r="B1637" t="inlineStr">
        <is>
          <t>Q4</t>
        </is>
      </c>
      <c r="C1637" t="inlineStr">
        <is>
          <t>South America</t>
        </is>
      </c>
      <c r="D1637" t="inlineStr">
        <is>
          <t>Semi</t>
        </is>
      </c>
      <c r="E1637" t="n">
        <v>2670</v>
      </c>
      <c r="F1637" t="n">
        <v>74931.77</v>
      </c>
      <c r="G1637" t="n">
        <v>20</v>
      </c>
      <c r="H1637" t="inlineStr">
        <is>
          <t>Standard</t>
        </is>
      </c>
      <c r="I1637" t="inlineStr">
        <is>
          <t>RWD</t>
        </is>
      </c>
      <c r="J1637" t="inlineStr">
        <is>
          <t>Red</t>
        </is>
      </c>
      <c r="K1637" t="n">
        <v>453</v>
      </c>
      <c r="L1637" t="n">
        <v>73</v>
      </c>
      <c r="M1637" t="n">
        <v>24.3</v>
      </c>
      <c r="N1637" t="n">
        <v>5984.79</v>
      </c>
      <c r="O1637" t="n">
        <v>4.06</v>
      </c>
      <c r="P1637" t="n">
        <v>5</v>
      </c>
      <c r="Q1637" t="n">
        <v>2</v>
      </c>
      <c r="R1637" t="n">
        <v>2021.1</v>
      </c>
      <c r="S1637" t="b">
        <v>0</v>
      </c>
      <c r="T1637" t="n">
        <v>3599983</v>
      </c>
      <c r="U1637" t="n">
        <v>3</v>
      </c>
      <c r="V1637" t="n">
        <v>0.0381</v>
      </c>
      <c r="W1637" t="n">
        <v>1.95</v>
      </c>
      <c r="X1637" t="n">
        <v>82.44</v>
      </c>
      <c r="Y1637">
        <f>VLOOKUP(D1637,$AB$2:$AC$7,2,FALSE)</f>
        <v/>
      </c>
      <c r="Z1637">
        <f>IF(A1637&lt;Y1637,"Yes","No")</f>
        <v/>
      </c>
    </row>
    <row r="1638">
      <c r="A1638" t="n">
        <v>2012</v>
      </c>
      <c r="B1638" t="inlineStr">
        <is>
          <t>Q3</t>
        </is>
      </c>
      <c r="C1638" t="inlineStr">
        <is>
          <t>North America</t>
        </is>
      </c>
      <c r="D1638" t="inlineStr">
        <is>
          <t>Cybertruck</t>
        </is>
      </c>
      <c r="E1638" t="n">
        <v>2951</v>
      </c>
      <c r="F1638" t="n">
        <v>46962.67</v>
      </c>
      <c r="G1638" t="n">
        <v>25</v>
      </c>
      <c r="H1638" t="inlineStr">
        <is>
          <t>Standard</t>
        </is>
      </c>
      <c r="I1638" t="inlineStr">
        <is>
          <t>AWD</t>
        </is>
      </c>
      <c r="J1638" t="inlineStr">
        <is>
          <t>White</t>
        </is>
      </c>
      <c r="K1638" t="n">
        <v>558</v>
      </c>
      <c r="L1638" t="n">
        <v>34</v>
      </c>
      <c r="M1638" t="n">
        <v>13.83</v>
      </c>
      <c r="N1638" t="n">
        <v>5009.73</v>
      </c>
      <c r="O1638" t="n">
        <v>4.29</v>
      </c>
      <c r="P1638" t="n">
        <v>5</v>
      </c>
      <c r="Q1638" t="n">
        <v>3</v>
      </c>
      <c r="R1638" t="n">
        <v>2021.9</v>
      </c>
      <c r="S1638" t="b">
        <v>1</v>
      </c>
      <c r="T1638" t="n">
        <v>3307782</v>
      </c>
      <c r="U1638" t="n">
        <v>7</v>
      </c>
      <c r="V1638" t="n">
        <v>0.0997</v>
      </c>
      <c r="W1638" t="n">
        <v>2.29</v>
      </c>
      <c r="X1638" t="n">
        <v>65.66</v>
      </c>
      <c r="Y1638">
        <f>VLOOKUP(D1638,$AB$2:$AC$7,2,FALSE)</f>
        <v/>
      </c>
      <c r="Z1638">
        <f>IF(A1638&lt;Y1638,"Yes","No")</f>
        <v/>
      </c>
    </row>
    <row r="1639">
      <c r="A1639" t="n">
        <v>2015</v>
      </c>
      <c r="B1639" t="inlineStr">
        <is>
          <t>Q1</t>
        </is>
      </c>
      <c r="C1639" t="inlineStr">
        <is>
          <t>Asia</t>
        </is>
      </c>
      <c r="D1639" t="inlineStr">
        <is>
          <t>Model S</t>
        </is>
      </c>
      <c r="E1639" t="n">
        <v>590</v>
      </c>
      <c r="F1639" t="n">
        <v>75881.87</v>
      </c>
      <c r="G1639" t="n">
        <v>51</v>
      </c>
      <c r="H1639" t="inlineStr">
        <is>
          <t>Long Range</t>
        </is>
      </c>
      <c r="I1639" t="inlineStr">
        <is>
          <t>AWD</t>
        </is>
      </c>
      <c r="J1639" t="inlineStr">
        <is>
          <t>Black</t>
        </is>
      </c>
      <c r="K1639" t="n">
        <v>453</v>
      </c>
      <c r="L1639" t="n">
        <v>83</v>
      </c>
      <c r="M1639" t="n">
        <v>21.86</v>
      </c>
      <c r="N1639" t="n">
        <v>1094.3</v>
      </c>
      <c r="O1639" t="n">
        <v>3.59</v>
      </c>
      <c r="P1639" t="n">
        <v>6</v>
      </c>
      <c r="Q1639" t="n">
        <v>2</v>
      </c>
      <c r="R1639" t="n">
        <v>2022.2</v>
      </c>
      <c r="S1639" t="b">
        <v>0</v>
      </c>
      <c r="T1639" t="n">
        <v>2195482</v>
      </c>
      <c r="U1639" t="n">
        <v>8</v>
      </c>
      <c r="V1639" t="n">
        <v>0.0687</v>
      </c>
      <c r="W1639" t="n">
        <v>2.23</v>
      </c>
      <c r="X1639" t="n">
        <v>61.63</v>
      </c>
      <c r="Y1639">
        <f>VLOOKUP(D1639,$AB$2:$AC$7,2,FALSE)</f>
        <v/>
      </c>
      <c r="Z1639">
        <f>IF(A1639&lt;Y1639,"Yes","No")</f>
        <v/>
      </c>
    </row>
    <row r="1640">
      <c r="A1640" t="n">
        <v>2014</v>
      </c>
      <c r="B1640" t="inlineStr">
        <is>
          <t>Q1</t>
        </is>
      </c>
      <c r="C1640" t="inlineStr">
        <is>
          <t>South America</t>
        </is>
      </c>
      <c r="D1640" t="inlineStr">
        <is>
          <t>Model 3</t>
        </is>
      </c>
      <c r="E1640" t="n">
        <v>764</v>
      </c>
      <c r="F1640" t="n">
        <v>53914.04</v>
      </c>
      <c r="G1640" t="n">
        <v>58</v>
      </c>
      <c r="H1640" t="inlineStr">
        <is>
          <t>Performance</t>
        </is>
      </c>
      <c r="I1640" t="inlineStr">
        <is>
          <t>AWD</t>
        </is>
      </c>
      <c r="J1640" t="inlineStr">
        <is>
          <t>Green</t>
        </is>
      </c>
      <c r="K1640" t="n">
        <v>431</v>
      </c>
      <c r="L1640" t="n">
        <v>73</v>
      </c>
      <c r="M1640" t="n">
        <v>23.9</v>
      </c>
      <c r="N1640" t="n">
        <v>430</v>
      </c>
      <c r="O1640" t="n">
        <v>3.86</v>
      </c>
      <c r="P1640" t="n">
        <v>8</v>
      </c>
      <c r="Q1640" t="n">
        <v>3</v>
      </c>
      <c r="R1640" t="n">
        <v>2023.8</v>
      </c>
      <c r="S1640" t="b">
        <v>0</v>
      </c>
      <c r="T1640" t="n">
        <v>3990445</v>
      </c>
      <c r="U1640" t="n">
        <v>9</v>
      </c>
      <c r="V1640" t="n">
        <v>0.0316</v>
      </c>
      <c r="W1640" t="n">
        <v>1.33</v>
      </c>
      <c r="X1640" t="n">
        <v>82.95999999999999</v>
      </c>
      <c r="Y1640">
        <f>VLOOKUP(D1640,$AB$2:$AC$7,2,FALSE)</f>
        <v/>
      </c>
      <c r="Z1640">
        <f>IF(A1640&lt;Y1640,"Yes","No")</f>
        <v/>
      </c>
    </row>
    <row r="1641">
      <c r="A1641" t="n">
        <v>2019</v>
      </c>
      <c r="B1641" t="inlineStr">
        <is>
          <t>Q4</t>
        </is>
      </c>
      <c r="C1641" t="inlineStr">
        <is>
          <t>Asia</t>
        </is>
      </c>
      <c r="D1641" t="inlineStr">
        <is>
          <t>Model X</t>
        </is>
      </c>
      <c r="E1641" t="n">
        <v>2905</v>
      </c>
      <c r="F1641" t="n">
        <v>60397.59</v>
      </c>
      <c r="G1641" t="n">
        <v>39</v>
      </c>
      <c r="H1641" t="inlineStr">
        <is>
          <t>Standard</t>
        </is>
      </c>
      <c r="I1641" t="inlineStr">
        <is>
          <t>AWD</t>
        </is>
      </c>
      <c r="J1641" t="inlineStr">
        <is>
          <t>White</t>
        </is>
      </c>
      <c r="K1641" t="n">
        <v>608</v>
      </c>
      <c r="L1641" t="n">
        <v>37</v>
      </c>
      <c r="M1641" t="n">
        <v>20.36</v>
      </c>
      <c r="N1641" t="n">
        <v>6134.91</v>
      </c>
      <c r="O1641" t="n">
        <v>4.54</v>
      </c>
      <c r="P1641" t="n">
        <v>5</v>
      </c>
      <c r="Q1641" t="n">
        <v>2</v>
      </c>
      <c r="R1641" t="n">
        <v>2020.2</v>
      </c>
      <c r="S1641" t="b">
        <v>1</v>
      </c>
      <c r="T1641" t="n">
        <v>1271972</v>
      </c>
      <c r="U1641" t="n">
        <v>8</v>
      </c>
      <c r="V1641" t="n">
        <v>0.06619999999999999</v>
      </c>
      <c r="W1641" t="n">
        <v>1.65</v>
      </c>
      <c r="X1641" t="n">
        <v>71.14</v>
      </c>
      <c r="Y1641">
        <f>VLOOKUP(D1641,$AB$2:$AC$7,2,FALSE)</f>
        <v/>
      </c>
      <c r="Z1641">
        <f>IF(A1641&lt;Y1641,"Yes","No")</f>
        <v/>
      </c>
    </row>
    <row r="1642">
      <c r="A1642" t="n">
        <v>2015</v>
      </c>
      <c r="B1642" t="inlineStr">
        <is>
          <t>Q1</t>
        </is>
      </c>
      <c r="C1642" t="inlineStr">
        <is>
          <t>South America</t>
        </is>
      </c>
      <c r="D1642" t="inlineStr">
        <is>
          <t>Cybertruck</t>
        </is>
      </c>
      <c r="E1642" t="n">
        <v>1158</v>
      </c>
      <c r="F1642" t="n">
        <v>51331.96</v>
      </c>
      <c r="G1642" t="n">
        <v>15</v>
      </c>
      <c r="H1642" t="inlineStr">
        <is>
          <t>Standard</t>
        </is>
      </c>
      <c r="I1642" t="inlineStr">
        <is>
          <t>AWD</t>
        </is>
      </c>
      <c r="J1642" t="inlineStr">
        <is>
          <t>Black</t>
        </is>
      </c>
      <c r="K1642" t="n">
        <v>536</v>
      </c>
      <c r="L1642" t="n">
        <v>73</v>
      </c>
      <c r="M1642" t="n">
        <v>21.94</v>
      </c>
      <c r="N1642" t="n">
        <v>740.73</v>
      </c>
      <c r="O1642" t="n">
        <v>4.96</v>
      </c>
      <c r="P1642" t="n">
        <v>6</v>
      </c>
      <c r="Q1642" t="n">
        <v>2</v>
      </c>
      <c r="R1642" t="n">
        <v>2020.8</v>
      </c>
      <c r="S1642" t="b">
        <v>1</v>
      </c>
      <c r="T1642" t="n">
        <v>1301719</v>
      </c>
      <c r="U1642" t="n">
        <v>8</v>
      </c>
      <c r="V1642" t="n">
        <v>0.0325</v>
      </c>
      <c r="W1642" t="n">
        <v>1.36</v>
      </c>
      <c r="X1642" t="n">
        <v>84.01000000000001</v>
      </c>
      <c r="Y1642">
        <f>VLOOKUP(D1642,$AB$2:$AC$7,2,FALSE)</f>
        <v/>
      </c>
      <c r="Z1642">
        <f>IF(A1642&lt;Y1642,"Yes","No")</f>
        <v/>
      </c>
    </row>
    <row r="1643">
      <c r="A1643" t="n">
        <v>2018</v>
      </c>
      <c r="B1643" t="inlineStr">
        <is>
          <t>Q1</t>
        </is>
      </c>
      <c r="C1643" t="inlineStr">
        <is>
          <t>Australia</t>
        </is>
      </c>
      <c r="D1643" t="inlineStr">
        <is>
          <t>Model Y</t>
        </is>
      </c>
      <c r="E1643" t="n">
        <v>2355</v>
      </c>
      <c r="F1643" t="n">
        <v>95970.62</v>
      </c>
      <c r="G1643" t="n">
        <v>20</v>
      </c>
      <c r="H1643" t="inlineStr">
        <is>
          <t>Performance</t>
        </is>
      </c>
      <c r="I1643" t="inlineStr">
        <is>
          <t>AWD</t>
        </is>
      </c>
      <c r="J1643" t="inlineStr">
        <is>
          <t>Green</t>
        </is>
      </c>
      <c r="K1643" t="n">
        <v>502</v>
      </c>
      <c r="L1643" t="n">
        <v>49</v>
      </c>
      <c r="M1643" t="n">
        <v>22.78</v>
      </c>
      <c r="N1643" t="n">
        <v>3426.58</v>
      </c>
      <c r="O1643" t="n">
        <v>3.74</v>
      </c>
      <c r="P1643" t="n">
        <v>8</v>
      </c>
      <c r="Q1643" t="n">
        <v>2</v>
      </c>
      <c r="R1643" t="n">
        <v>2024.4</v>
      </c>
      <c r="S1643" t="b">
        <v>0</v>
      </c>
      <c r="T1643" t="n">
        <v>1239254</v>
      </c>
      <c r="U1643" t="n">
        <v>9</v>
      </c>
      <c r="V1643" t="n">
        <v>0.0728</v>
      </c>
      <c r="W1643" t="n">
        <v>2.17</v>
      </c>
      <c r="X1643" t="n">
        <v>77.37</v>
      </c>
      <c r="Y1643">
        <f>VLOOKUP(D1643,$AB$2:$AC$7,2,FALSE)</f>
        <v/>
      </c>
      <c r="Z1643">
        <f>IF(A1643&lt;Y1643,"Yes","No")</f>
        <v/>
      </c>
    </row>
    <row r="1644">
      <c r="A1644" t="n">
        <v>2015</v>
      </c>
      <c r="B1644" t="inlineStr">
        <is>
          <t>Q1</t>
        </is>
      </c>
      <c r="C1644" t="inlineStr">
        <is>
          <t>Europe</t>
        </is>
      </c>
      <c r="D1644" t="inlineStr">
        <is>
          <t>Cybertruck</t>
        </is>
      </c>
      <c r="E1644" t="n">
        <v>2359</v>
      </c>
      <c r="F1644" t="n">
        <v>39562.81</v>
      </c>
      <c r="G1644" t="n">
        <v>36</v>
      </c>
      <c r="H1644" t="inlineStr">
        <is>
          <t>Long Range</t>
        </is>
      </c>
      <c r="I1644" t="inlineStr">
        <is>
          <t>RWD</t>
        </is>
      </c>
      <c r="J1644" t="inlineStr">
        <is>
          <t>Black</t>
        </is>
      </c>
      <c r="K1644" t="n">
        <v>526</v>
      </c>
      <c r="L1644" t="n">
        <v>40</v>
      </c>
      <c r="M1644" t="n">
        <v>21</v>
      </c>
      <c r="N1644" t="n">
        <v>1923.45</v>
      </c>
      <c r="O1644" t="n">
        <v>4.61</v>
      </c>
      <c r="P1644" t="n">
        <v>6</v>
      </c>
      <c r="Q1644" t="n">
        <v>1</v>
      </c>
      <c r="R1644" t="n">
        <v>2023.8</v>
      </c>
      <c r="S1644" t="b">
        <v>1</v>
      </c>
      <c r="T1644" t="n">
        <v>1448955</v>
      </c>
      <c r="U1644" t="n">
        <v>7</v>
      </c>
      <c r="V1644" t="n">
        <v>0.0592</v>
      </c>
      <c r="W1644" t="n">
        <v>1.57</v>
      </c>
      <c r="X1644" t="n">
        <v>75.92</v>
      </c>
      <c r="Y1644">
        <f>VLOOKUP(D1644,$AB$2:$AC$7,2,FALSE)</f>
        <v/>
      </c>
      <c r="Z1644">
        <f>IF(A1644&lt;Y1644,"Yes","No")</f>
        <v/>
      </c>
    </row>
    <row r="1645">
      <c r="A1645" t="n">
        <v>2024</v>
      </c>
      <c r="B1645" t="inlineStr">
        <is>
          <t>Q1</t>
        </is>
      </c>
      <c r="C1645" t="inlineStr">
        <is>
          <t>South America</t>
        </is>
      </c>
      <c r="D1645" t="inlineStr">
        <is>
          <t>Semi</t>
        </is>
      </c>
      <c r="E1645" t="n">
        <v>4878</v>
      </c>
      <c r="F1645" t="n">
        <v>116065.95</v>
      </c>
      <c r="G1645" t="n">
        <v>19</v>
      </c>
      <c r="H1645" t="inlineStr">
        <is>
          <t>Performance</t>
        </is>
      </c>
      <c r="I1645" t="inlineStr">
        <is>
          <t>RWD</t>
        </is>
      </c>
      <c r="J1645" t="inlineStr">
        <is>
          <t>Red</t>
        </is>
      </c>
      <c r="K1645" t="n">
        <v>546</v>
      </c>
      <c r="L1645" t="n">
        <v>73</v>
      </c>
      <c r="M1645" t="n">
        <v>21.7</v>
      </c>
      <c r="N1645" t="n">
        <v>8535.92</v>
      </c>
      <c r="O1645" t="n">
        <v>3.6</v>
      </c>
      <c r="P1645" t="n">
        <v>6</v>
      </c>
      <c r="Q1645" t="n">
        <v>2</v>
      </c>
      <c r="R1645" t="n">
        <v>2023.11</v>
      </c>
      <c r="S1645" t="b">
        <v>0</v>
      </c>
      <c r="T1645" t="n">
        <v>2604227</v>
      </c>
      <c r="U1645" t="n">
        <v>8</v>
      </c>
      <c r="V1645" t="n">
        <v>0.0326</v>
      </c>
      <c r="W1645" t="n">
        <v>1.14</v>
      </c>
      <c r="X1645" t="n">
        <v>67.15000000000001</v>
      </c>
      <c r="Y1645">
        <f>VLOOKUP(D1645,$AB$2:$AC$7,2,FALSE)</f>
        <v/>
      </c>
      <c r="Z1645">
        <f>IF(A1645&lt;Y1645,"Yes","No")</f>
        <v/>
      </c>
    </row>
    <row r="1646">
      <c r="A1646" t="n">
        <v>2021</v>
      </c>
      <c r="B1646" t="inlineStr">
        <is>
          <t>Q1</t>
        </is>
      </c>
      <c r="C1646" t="inlineStr">
        <is>
          <t>North America</t>
        </is>
      </c>
      <c r="D1646" t="inlineStr">
        <is>
          <t>Model X</t>
        </is>
      </c>
      <c r="E1646" t="n">
        <v>644</v>
      </c>
      <c r="F1646" t="n">
        <v>117325.45</v>
      </c>
      <c r="G1646" t="n">
        <v>10</v>
      </c>
      <c r="H1646" t="inlineStr">
        <is>
          <t>Long Range</t>
        </is>
      </c>
      <c r="I1646" t="inlineStr">
        <is>
          <t>AWD</t>
        </is>
      </c>
      <c r="J1646" t="inlineStr">
        <is>
          <t>Green</t>
        </is>
      </c>
      <c r="K1646" t="n">
        <v>619</v>
      </c>
      <c r="L1646" t="n">
        <v>54</v>
      </c>
      <c r="M1646" t="n">
        <v>18.95</v>
      </c>
      <c r="N1646" t="n">
        <v>792.74</v>
      </c>
      <c r="O1646" t="n">
        <v>3.88</v>
      </c>
      <c r="P1646" t="n">
        <v>4</v>
      </c>
      <c r="Q1646" t="n">
        <v>0</v>
      </c>
      <c r="R1646" t="n">
        <v>2024.1</v>
      </c>
      <c r="S1646" t="b">
        <v>0</v>
      </c>
      <c r="T1646" t="n">
        <v>4194209</v>
      </c>
      <c r="U1646" t="n">
        <v>11</v>
      </c>
      <c r="V1646" t="n">
        <v>0.07190000000000001</v>
      </c>
      <c r="W1646" t="n">
        <v>2.03</v>
      </c>
      <c r="X1646" t="n">
        <v>63.75</v>
      </c>
      <c r="Y1646">
        <f>VLOOKUP(D1646,$AB$2:$AC$7,2,FALSE)</f>
        <v/>
      </c>
      <c r="Z1646">
        <f>IF(A1646&lt;Y1646,"Yes","No")</f>
        <v/>
      </c>
    </row>
    <row r="1647">
      <c r="A1647" t="n">
        <v>2022</v>
      </c>
      <c r="B1647" t="inlineStr">
        <is>
          <t>Q3</t>
        </is>
      </c>
      <c r="C1647" t="inlineStr">
        <is>
          <t>Australia</t>
        </is>
      </c>
      <c r="D1647" t="inlineStr">
        <is>
          <t>Model Y</t>
        </is>
      </c>
      <c r="E1647" t="n">
        <v>406</v>
      </c>
      <c r="F1647" t="n">
        <v>98631.87</v>
      </c>
      <c r="G1647" t="n">
        <v>39</v>
      </c>
      <c r="H1647" t="inlineStr">
        <is>
          <t>Performance</t>
        </is>
      </c>
      <c r="I1647" t="inlineStr">
        <is>
          <t>AWD</t>
        </is>
      </c>
      <c r="J1647" t="inlineStr">
        <is>
          <t>Blue</t>
        </is>
      </c>
      <c r="K1647" t="n">
        <v>600</v>
      </c>
      <c r="L1647" t="n">
        <v>39</v>
      </c>
      <c r="M1647" t="n">
        <v>22.11</v>
      </c>
      <c r="N1647" t="n">
        <v>976.88</v>
      </c>
      <c r="O1647" t="n">
        <v>4.86</v>
      </c>
      <c r="P1647" t="n">
        <v>5</v>
      </c>
      <c r="Q1647" t="n">
        <v>0</v>
      </c>
      <c r="R1647" t="n">
        <v>2020.12</v>
      </c>
      <c r="S1647" t="b">
        <v>0</v>
      </c>
      <c r="T1647" t="n">
        <v>743555</v>
      </c>
      <c r="U1647" t="n">
        <v>9</v>
      </c>
      <c r="V1647" t="n">
        <v>0.0535</v>
      </c>
      <c r="W1647" t="n">
        <v>1.92</v>
      </c>
      <c r="X1647" t="n">
        <v>84.86</v>
      </c>
      <c r="Y1647">
        <f>VLOOKUP(D1647,$AB$2:$AC$7,2,FALSE)</f>
        <v/>
      </c>
      <c r="Z1647">
        <f>IF(A1647&lt;Y1647,"Yes","No")</f>
        <v/>
      </c>
    </row>
    <row r="1648">
      <c r="A1648" t="n">
        <v>2019</v>
      </c>
      <c r="B1648" t="inlineStr">
        <is>
          <t>Q2</t>
        </is>
      </c>
      <c r="C1648" t="inlineStr">
        <is>
          <t>Asia</t>
        </is>
      </c>
      <c r="D1648" t="inlineStr">
        <is>
          <t>Semi</t>
        </is>
      </c>
      <c r="E1648" t="n">
        <v>3518</v>
      </c>
      <c r="F1648" t="n">
        <v>38645.9</v>
      </c>
      <c r="G1648" t="n">
        <v>15</v>
      </c>
      <c r="H1648" t="inlineStr">
        <is>
          <t>Standard</t>
        </is>
      </c>
      <c r="I1648" t="inlineStr">
        <is>
          <t>RWD</t>
        </is>
      </c>
      <c r="J1648" t="inlineStr">
        <is>
          <t>Red</t>
        </is>
      </c>
      <c r="K1648" t="n">
        <v>463</v>
      </c>
      <c r="L1648" t="n">
        <v>72</v>
      </c>
      <c r="M1648" t="n">
        <v>16.58</v>
      </c>
      <c r="N1648" t="n">
        <v>7011.57</v>
      </c>
      <c r="O1648" t="n">
        <v>4.38</v>
      </c>
      <c r="P1648" t="n">
        <v>5</v>
      </c>
      <c r="Q1648" t="n">
        <v>0</v>
      </c>
      <c r="R1648" t="n">
        <v>2023.5</v>
      </c>
      <c r="S1648" t="b">
        <v>0</v>
      </c>
      <c r="T1648" t="n">
        <v>4138539</v>
      </c>
      <c r="U1648" t="n">
        <v>7</v>
      </c>
      <c r="V1648" t="n">
        <v>0.0859</v>
      </c>
      <c r="W1648" t="n">
        <v>1.48</v>
      </c>
      <c r="X1648" t="n">
        <v>68.66</v>
      </c>
      <c r="Y1648">
        <f>VLOOKUP(D1648,$AB$2:$AC$7,2,FALSE)</f>
        <v/>
      </c>
      <c r="Z1648">
        <f>IF(A1648&lt;Y1648,"Yes","No")</f>
        <v/>
      </c>
    </row>
    <row r="1649">
      <c r="A1649" t="n">
        <v>2014</v>
      </c>
      <c r="B1649" t="inlineStr">
        <is>
          <t>Q2</t>
        </is>
      </c>
      <c r="C1649" t="inlineStr">
        <is>
          <t>Europe</t>
        </is>
      </c>
      <c r="D1649" t="inlineStr">
        <is>
          <t>Cybertruck</t>
        </is>
      </c>
      <c r="E1649" t="n">
        <v>3323</v>
      </c>
      <c r="F1649" t="n">
        <v>76640.3</v>
      </c>
      <c r="G1649" t="n">
        <v>57</v>
      </c>
      <c r="H1649" t="inlineStr">
        <is>
          <t>Performance</t>
        </is>
      </c>
      <c r="I1649" t="inlineStr">
        <is>
          <t>RWD</t>
        </is>
      </c>
      <c r="J1649" t="inlineStr">
        <is>
          <t>Red</t>
        </is>
      </c>
      <c r="K1649" t="n">
        <v>531</v>
      </c>
      <c r="L1649" t="n">
        <v>73</v>
      </c>
      <c r="M1649" t="n">
        <v>13.63</v>
      </c>
      <c r="N1649" t="n">
        <v>7691.21</v>
      </c>
      <c r="O1649" t="n">
        <v>4.09</v>
      </c>
      <c r="P1649" t="n">
        <v>4</v>
      </c>
      <c r="Q1649" t="n">
        <v>2</v>
      </c>
      <c r="R1649" t="n">
        <v>2022.12</v>
      </c>
      <c r="S1649" t="b">
        <v>0</v>
      </c>
      <c r="T1649" t="n">
        <v>1021166</v>
      </c>
      <c r="U1649" t="n">
        <v>7</v>
      </c>
      <c r="V1649" t="n">
        <v>0.0428</v>
      </c>
      <c r="W1649" t="n">
        <v>1.33</v>
      </c>
      <c r="X1649" t="n">
        <v>72.48999999999999</v>
      </c>
      <c r="Y1649">
        <f>VLOOKUP(D1649,$AB$2:$AC$7,2,FALSE)</f>
        <v/>
      </c>
      <c r="Z1649">
        <f>IF(A1649&lt;Y1649,"Yes","No")</f>
        <v/>
      </c>
    </row>
    <row r="1650">
      <c r="A1650" t="n">
        <v>2018</v>
      </c>
      <c r="B1650" t="inlineStr">
        <is>
          <t>Q4</t>
        </is>
      </c>
      <c r="C1650" t="inlineStr">
        <is>
          <t>South America</t>
        </is>
      </c>
      <c r="D1650" t="inlineStr">
        <is>
          <t>Cybertruck</t>
        </is>
      </c>
      <c r="E1650" t="n">
        <v>2520</v>
      </c>
      <c r="F1650" t="n">
        <v>118330.06</v>
      </c>
      <c r="G1650" t="n">
        <v>36</v>
      </c>
      <c r="H1650" t="inlineStr">
        <is>
          <t>Standard</t>
        </is>
      </c>
      <c r="I1650" t="inlineStr">
        <is>
          <t>RWD</t>
        </is>
      </c>
      <c r="J1650" t="inlineStr">
        <is>
          <t>Green</t>
        </is>
      </c>
      <c r="K1650" t="n">
        <v>472</v>
      </c>
      <c r="L1650" t="n">
        <v>54</v>
      </c>
      <c r="M1650" t="n">
        <v>16.01</v>
      </c>
      <c r="N1650" t="n">
        <v>4481.7</v>
      </c>
      <c r="O1650" t="n">
        <v>4.01</v>
      </c>
      <c r="P1650" t="n">
        <v>6</v>
      </c>
      <c r="Q1650" t="n">
        <v>2</v>
      </c>
      <c r="R1650" t="n">
        <v>2020.12</v>
      </c>
      <c r="S1650" t="b">
        <v>0</v>
      </c>
      <c r="T1650" t="n">
        <v>1077835</v>
      </c>
      <c r="U1650" t="n">
        <v>3</v>
      </c>
      <c r="V1650" t="n">
        <v>0.0297</v>
      </c>
      <c r="W1650" t="n">
        <v>1.67</v>
      </c>
      <c r="X1650" t="n">
        <v>72.45999999999999</v>
      </c>
      <c r="Y1650">
        <f>VLOOKUP(D1650,$AB$2:$AC$7,2,FALSE)</f>
        <v/>
      </c>
      <c r="Z1650">
        <f>IF(A1650&lt;Y1650,"Yes","No")</f>
        <v/>
      </c>
    </row>
    <row r="1651">
      <c r="A1651" t="n">
        <v>2015</v>
      </c>
      <c r="B1651" t="inlineStr">
        <is>
          <t>Q2</t>
        </is>
      </c>
      <c r="C1651" t="inlineStr">
        <is>
          <t>Europe</t>
        </is>
      </c>
      <c r="D1651" t="inlineStr">
        <is>
          <t>Model X</t>
        </is>
      </c>
      <c r="E1651" t="n">
        <v>3092</v>
      </c>
      <c r="F1651" t="n">
        <v>114144.04</v>
      </c>
      <c r="G1651" t="n">
        <v>32</v>
      </c>
      <c r="H1651" t="inlineStr">
        <is>
          <t>Standard</t>
        </is>
      </c>
      <c r="I1651" t="inlineStr">
        <is>
          <t>RWD</t>
        </is>
      </c>
      <c r="J1651" t="inlineStr">
        <is>
          <t>Blue</t>
        </is>
      </c>
      <c r="K1651" t="n">
        <v>660</v>
      </c>
      <c r="L1651" t="n">
        <v>55</v>
      </c>
      <c r="M1651" t="n">
        <v>13.81</v>
      </c>
      <c r="N1651" t="n">
        <v>2341.63</v>
      </c>
      <c r="O1651" t="n">
        <v>4.92</v>
      </c>
      <c r="P1651" t="n">
        <v>8</v>
      </c>
      <c r="Q1651" t="n">
        <v>3</v>
      </c>
      <c r="R1651" t="n">
        <v>2022.9</v>
      </c>
      <c r="S1651" t="b">
        <v>0</v>
      </c>
      <c r="T1651" t="n">
        <v>4963160</v>
      </c>
      <c r="U1651" t="n">
        <v>9</v>
      </c>
      <c r="V1651" t="n">
        <v>0.0598</v>
      </c>
      <c r="W1651" t="n">
        <v>1.55</v>
      </c>
      <c r="X1651" t="n">
        <v>77.13</v>
      </c>
      <c r="Y1651">
        <f>VLOOKUP(D1651,$AB$2:$AC$7,2,FALSE)</f>
        <v/>
      </c>
      <c r="Z1651">
        <f>IF(A1651&lt;Y1651,"Yes","No")</f>
        <v/>
      </c>
    </row>
    <row r="1652">
      <c r="A1652" t="n">
        <v>2020</v>
      </c>
      <c r="B1652" t="inlineStr">
        <is>
          <t>Q4</t>
        </is>
      </c>
      <c r="C1652" t="inlineStr">
        <is>
          <t>Europe</t>
        </is>
      </c>
      <c r="D1652" t="inlineStr">
        <is>
          <t>Model S</t>
        </is>
      </c>
      <c r="E1652" t="n">
        <v>4732</v>
      </c>
      <c r="F1652" t="n">
        <v>71112.88</v>
      </c>
      <c r="G1652" t="n">
        <v>14</v>
      </c>
      <c r="H1652" t="inlineStr">
        <is>
          <t>Standard</t>
        </is>
      </c>
      <c r="I1652" t="inlineStr">
        <is>
          <t>RWD</t>
        </is>
      </c>
      <c r="J1652" t="inlineStr">
        <is>
          <t>Black</t>
        </is>
      </c>
      <c r="K1652" t="n">
        <v>603</v>
      </c>
      <c r="L1652" t="n">
        <v>70</v>
      </c>
      <c r="M1652" t="n">
        <v>13.61</v>
      </c>
      <c r="N1652" t="n">
        <v>9072.389999999999</v>
      </c>
      <c r="O1652" t="n">
        <v>4.08</v>
      </c>
      <c r="P1652" t="n">
        <v>5</v>
      </c>
      <c r="Q1652" t="n">
        <v>1</v>
      </c>
      <c r="R1652" t="n">
        <v>2022.1</v>
      </c>
      <c r="S1652" t="b">
        <v>1</v>
      </c>
      <c r="T1652" t="n">
        <v>3639625</v>
      </c>
      <c r="U1652" t="n">
        <v>6</v>
      </c>
      <c r="V1652" t="n">
        <v>0.022</v>
      </c>
      <c r="W1652" t="n">
        <v>0.51</v>
      </c>
      <c r="X1652" t="n">
        <v>63.62</v>
      </c>
      <c r="Y1652">
        <f>VLOOKUP(D1652,$AB$2:$AC$7,2,FALSE)</f>
        <v/>
      </c>
      <c r="Z1652">
        <f>IF(A1652&lt;Y1652,"Yes","No")</f>
        <v/>
      </c>
    </row>
    <row r="1653">
      <c r="A1653" t="n">
        <v>2019</v>
      </c>
      <c r="B1653" t="inlineStr">
        <is>
          <t>Q3</t>
        </is>
      </c>
      <c r="C1653" t="inlineStr">
        <is>
          <t>Australia</t>
        </is>
      </c>
      <c r="D1653" t="inlineStr">
        <is>
          <t>Cybertruck</t>
        </is>
      </c>
      <c r="E1653" t="n">
        <v>131</v>
      </c>
      <c r="F1653" t="n">
        <v>44400.68</v>
      </c>
      <c r="G1653" t="n">
        <v>24</v>
      </c>
      <c r="H1653" t="inlineStr">
        <is>
          <t>Standard</t>
        </is>
      </c>
      <c r="I1653" t="inlineStr">
        <is>
          <t>AWD</t>
        </is>
      </c>
      <c r="J1653" t="inlineStr">
        <is>
          <t>Silver</t>
        </is>
      </c>
      <c r="K1653" t="n">
        <v>396</v>
      </c>
      <c r="L1653" t="n">
        <v>66</v>
      </c>
      <c r="M1653" t="n">
        <v>22.91</v>
      </c>
      <c r="N1653" t="n">
        <v>291.41</v>
      </c>
      <c r="O1653" t="n">
        <v>3.87</v>
      </c>
      <c r="P1653" t="n">
        <v>4</v>
      </c>
      <c r="Q1653" t="n">
        <v>2</v>
      </c>
      <c r="R1653" t="n">
        <v>2022.4</v>
      </c>
      <c r="S1653" t="b">
        <v>0</v>
      </c>
      <c r="T1653" t="n">
        <v>137169</v>
      </c>
      <c r="U1653" t="n">
        <v>8</v>
      </c>
      <c r="V1653" t="n">
        <v>0.0809</v>
      </c>
      <c r="W1653" t="n">
        <v>0.85</v>
      </c>
      <c r="X1653" t="n">
        <v>60.36</v>
      </c>
      <c r="Y1653">
        <f>VLOOKUP(D1653,$AB$2:$AC$7,2,FALSE)</f>
        <v/>
      </c>
      <c r="Z1653">
        <f>IF(A1653&lt;Y1653,"Yes","No")</f>
        <v/>
      </c>
    </row>
    <row r="1654">
      <c r="A1654" t="n">
        <v>2015</v>
      </c>
      <c r="B1654" t="inlineStr">
        <is>
          <t>Q3</t>
        </is>
      </c>
      <c r="C1654" t="inlineStr">
        <is>
          <t>Australia</t>
        </is>
      </c>
      <c r="D1654" t="inlineStr">
        <is>
          <t>Model Y</t>
        </is>
      </c>
      <c r="E1654" t="n">
        <v>1738</v>
      </c>
      <c r="F1654" t="n">
        <v>89499.72</v>
      </c>
      <c r="G1654" t="n">
        <v>22</v>
      </c>
      <c r="H1654" t="inlineStr">
        <is>
          <t>Long Range</t>
        </is>
      </c>
      <c r="I1654" t="inlineStr">
        <is>
          <t>RWD</t>
        </is>
      </c>
      <c r="J1654" t="inlineStr">
        <is>
          <t>White</t>
        </is>
      </c>
      <c r="K1654" t="n">
        <v>550</v>
      </c>
      <c r="L1654" t="n">
        <v>69</v>
      </c>
      <c r="M1654" t="n">
        <v>21.78</v>
      </c>
      <c r="N1654" t="n">
        <v>1446.72</v>
      </c>
      <c r="O1654" t="n">
        <v>4.41</v>
      </c>
      <c r="P1654" t="n">
        <v>6</v>
      </c>
      <c r="Q1654" t="n">
        <v>0</v>
      </c>
      <c r="R1654" t="n">
        <v>2020.5</v>
      </c>
      <c r="S1654" t="b">
        <v>1</v>
      </c>
      <c r="T1654" t="n">
        <v>396409</v>
      </c>
      <c r="U1654" t="n">
        <v>5</v>
      </c>
      <c r="V1654" t="n">
        <v>0.08699999999999999</v>
      </c>
      <c r="W1654" t="n">
        <v>0.82</v>
      </c>
      <c r="X1654" t="n">
        <v>66.09999999999999</v>
      </c>
      <c r="Y1654">
        <f>VLOOKUP(D1654,$AB$2:$AC$7,2,FALSE)</f>
        <v/>
      </c>
      <c r="Z1654">
        <f>IF(A1654&lt;Y1654,"Yes","No")</f>
        <v/>
      </c>
    </row>
    <row r="1655">
      <c r="A1655" t="n">
        <v>2015</v>
      </c>
      <c r="B1655" t="inlineStr">
        <is>
          <t>Q2</t>
        </is>
      </c>
      <c r="C1655" t="inlineStr">
        <is>
          <t>Asia</t>
        </is>
      </c>
      <c r="D1655" t="inlineStr">
        <is>
          <t>Cybertruck</t>
        </is>
      </c>
      <c r="E1655" t="n">
        <v>1476</v>
      </c>
      <c r="F1655" t="n">
        <v>95303.11</v>
      </c>
      <c r="G1655" t="n">
        <v>19</v>
      </c>
      <c r="H1655" t="inlineStr">
        <is>
          <t>Performance</t>
        </is>
      </c>
      <c r="I1655" t="inlineStr">
        <is>
          <t>RWD</t>
        </is>
      </c>
      <c r="J1655" t="inlineStr">
        <is>
          <t>Black</t>
        </is>
      </c>
      <c r="K1655" t="n">
        <v>516</v>
      </c>
      <c r="L1655" t="n">
        <v>38</v>
      </c>
      <c r="M1655" t="n">
        <v>21.2</v>
      </c>
      <c r="N1655" t="n">
        <v>1414.8</v>
      </c>
      <c r="O1655" t="n">
        <v>4.01</v>
      </c>
      <c r="P1655" t="n">
        <v>8</v>
      </c>
      <c r="Q1655" t="n">
        <v>0</v>
      </c>
      <c r="R1655" t="n">
        <v>2020.9</v>
      </c>
      <c r="S1655" t="b">
        <v>1</v>
      </c>
      <c r="T1655" t="n">
        <v>207933</v>
      </c>
      <c r="U1655" t="n">
        <v>5</v>
      </c>
      <c r="V1655" t="n">
        <v>0.0851</v>
      </c>
      <c r="W1655" t="n">
        <v>1.58</v>
      </c>
      <c r="X1655" t="n">
        <v>80.59999999999999</v>
      </c>
      <c r="Y1655">
        <f>VLOOKUP(D1655,$AB$2:$AC$7,2,FALSE)</f>
        <v/>
      </c>
      <c r="Z1655">
        <f>IF(A1655&lt;Y1655,"Yes","No")</f>
        <v/>
      </c>
    </row>
    <row r="1656">
      <c r="A1656" t="n">
        <v>2018</v>
      </c>
      <c r="B1656" t="inlineStr">
        <is>
          <t>Q3</t>
        </is>
      </c>
      <c r="C1656" t="inlineStr">
        <is>
          <t>South America</t>
        </is>
      </c>
      <c r="D1656" t="inlineStr">
        <is>
          <t>Semi</t>
        </is>
      </c>
      <c r="E1656" t="n">
        <v>3433</v>
      </c>
      <c r="F1656" t="n">
        <v>117159.6</v>
      </c>
      <c r="G1656" t="n">
        <v>42</v>
      </c>
      <c r="H1656" t="inlineStr">
        <is>
          <t>Standard</t>
        </is>
      </c>
      <c r="I1656" t="inlineStr">
        <is>
          <t>RWD</t>
        </is>
      </c>
      <c r="J1656" t="inlineStr">
        <is>
          <t>Black</t>
        </is>
      </c>
      <c r="K1656" t="n">
        <v>682</v>
      </c>
      <c r="L1656" t="n">
        <v>72</v>
      </c>
      <c r="M1656" t="n">
        <v>23.5</v>
      </c>
      <c r="N1656" t="n">
        <v>6592.53</v>
      </c>
      <c r="O1656" t="n">
        <v>3.64</v>
      </c>
      <c r="P1656" t="n">
        <v>5</v>
      </c>
      <c r="Q1656" t="n">
        <v>0</v>
      </c>
      <c r="R1656" t="n">
        <v>2023.8</v>
      </c>
      <c r="S1656" t="b">
        <v>1</v>
      </c>
      <c r="T1656" t="n">
        <v>1854040</v>
      </c>
      <c r="U1656" t="n">
        <v>12</v>
      </c>
      <c r="V1656" t="n">
        <v>0.0452</v>
      </c>
      <c r="W1656" t="n">
        <v>1.27</v>
      </c>
      <c r="X1656" t="n">
        <v>66.86</v>
      </c>
      <c r="Y1656">
        <f>VLOOKUP(D1656,$AB$2:$AC$7,2,FALSE)</f>
        <v/>
      </c>
      <c r="Z1656">
        <f>IF(A1656&lt;Y1656,"Yes","No")</f>
        <v/>
      </c>
    </row>
    <row r="1657">
      <c r="A1657" t="n">
        <v>2022</v>
      </c>
      <c r="B1657" t="inlineStr">
        <is>
          <t>Q3</t>
        </is>
      </c>
      <c r="C1657" t="inlineStr">
        <is>
          <t>Australia</t>
        </is>
      </c>
      <c r="D1657" t="inlineStr">
        <is>
          <t>Model 3</t>
        </is>
      </c>
      <c r="E1657" t="n">
        <v>4204</v>
      </c>
      <c r="F1657" t="n">
        <v>41259.21</v>
      </c>
      <c r="G1657" t="n">
        <v>15</v>
      </c>
      <c r="H1657" t="inlineStr">
        <is>
          <t>Standard</t>
        </is>
      </c>
      <c r="I1657" t="inlineStr">
        <is>
          <t>RWD</t>
        </is>
      </c>
      <c r="J1657" t="inlineStr">
        <is>
          <t>White</t>
        </is>
      </c>
      <c r="K1657" t="n">
        <v>647</v>
      </c>
      <c r="L1657" t="n">
        <v>62</v>
      </c>
      <c r="M1657" t="n">
        <v>16.36</v>
      </c>
      <c r="N1657" t="n">
        <v>2187.52</v>
      </c>
      <c r="O1657" t="n">
        <v>3.8</v>
      </c>
      <c r="P1657" t="n">
        <v>8</v>
      </c>
      <c r="Q1657" t="n">
        <v>0</v>
      </c>
      <c r="R1657" t="n">
        <v>2021.11</v>
      </c>
      <c r="S1657" t="b">
        <v>0</v>
      </c>
      <c r="T1657" t="n">
        <v>358924</v>
      </c>
      <c r="U1657" t="n">
        <v>5</v>
      </c>
      <c r="V1657" t="n">
        <v>0.0542</v>
      </c>
      <c r="W1657" t="n">
        <v>0.9399999999999999</v>
      </c>
      <c r="X1657" t="n">
        <v>78.98999999999999</v>
      </c>
      <c r="Y1657">
        <f>VLOOKUP(D1657,$AB$2:$AC$7,2,FALSE)</f>
        <v/>
      </c>
      <c r="Z1657">
        <f>IF(A1657&lt;Y1657,"Yes","No")</f>
        <v/>
      </c>
    </row>
    <row r="1658">
      <c r="A1658" t="n">
        <v>2015</v>
      </c>
      <c r="B1658" t="inlineStr">
        <is>
          <t>Q1</t>
        </is>
      </c>
      <c r="C1658" t="inlineStr">
        <is>
          <t>Europe</t>
        </is>
      </c>
      <c r="D1658" t="inlineStr">
        <is>
          <t>Model 3</t>
        </is>
      </c>
      <c r="E1658" t="n">
        <v>2105</v>
      </c>
      <c r="F1658" t="n">
        <v>97869.35000000001</v>
      </c>
      <c r="G1658" t="n">
        <v>8</v>
      </c>
      <c r="H1658" t="inlineStr">
        <is>
          <t>Performance</t>
        </is>
      </c>
      <c r="I1658" t="inlineStr">
        <is>
          <t>RWD</t>
        </is>
      </c>
      <c r="J1658" t="inlineStr">
        <is>
          <t>Green</t>
        </is>
      </c>
      <c r="K1658" t="n">
        <v>518</v>
      </c>
      <c r="L1658" t="n">
        <v>56</v>
      </c>
      <c r="M1658" t="n">
        <v>18.42</v>
      </c>
      <c r="N1658" t="n">
        <v>1465.68</v>
      </c>
      <c r="O1658" t="n">
        <v>4.45</v>
      </c>
      <c r="P1658" t="n">
        <v>4</v>
      </c>
      <c r="Q1658" t="n">
        <v>1</v>
      </c>
      <c r="R1658" t="n">
        <v>2020.6</v>
      </c>
      <c r="S1658" t="b">
        <v>0</v>
      </c>
      <c r="T1658" t="n">
        <v>4305420</v>
      </c>
      <c r="U1658" t="n">
        <v>9</v>
      </c>
      <c r="V1658" t="n">
        <v>0.06</v>
      </c>
      <c r="W1658" t="n">
        <v>1.41</v>
      </c>
      <c r="X1658" t="n">
        <v>62.01</v>
      </c>
      <c r="Y1658">
        <f>VLOOKUP(D1658,$AB$2:$AC$7,2,FALSE)</f>
        <v/>
      </c>
      <c r="Z1658">
        <f>IF(A1658&lt;Y1658,"Yes","No")</f>
        <v/>
      </c>
    </row>
    <row r="1659">
      <c r="A1659" t="n">
        <v>2023</v>
      </c>
      <c r="B1659" t="inlineStr">
        <is>
          <t>Q4</t>
        </is>
      </c>
      <c r="C1659" t="inlineStr">
        <is>
          <t>Asia</t>
        </is>
      </c>
      <c r="D1659" t="inlineStr">
        <is>
          <t>Model 3</t>
        </is>
      </c>
      <c r="E1659" t="n">
        <v>2376</v>
      </c>
      <c r="F1659" t="n">
        <v>107183.3</v>
      </c>
      <c r="G1659" t="n">
        <v>39</v>
      </c>
      <c r="H1659" t="inlineStr">
        <is>
          <t>Long Range</t>
        </is>
      </c>
      <c r="I1659" t="inlineStr">
        <is>
          <t>AWD</t>
        </is>
      </c>
      <c r="J1659" t="inlineStr">
        <is>
          <t>Silver</t>
        </is>
      </c>
      <c r="K1659" t="n">
        <v>532</v>
      </c>
      <c r="L1659" t="n">
        <v>40</v>
      </c>
      <c r="M1659" t="n">
        <v>22.59</v>
      </c>
      <c r="N1659" t="n">
        <v>4036.32</v>
      </c>
      <c r="O1659" t="n">
        <v>4.26</v>
      </c>
      <c r="P1659" t="n">
        <v>5</v>
      </c>
      <c r="Q1659" t="n">
        <v>0</v>
      </c>
      <c r="R1659" t="n">
        <v>2020.6</v>
      </c>
      <c r="S1659" t="b">
        <v>1</v>
      </c>
      <c r="T1659" t="n">
        <v>2419761</v>
      </c>
      <c r="U1659" t="n">
        <v>11</v>
      </c>
      <c r="V1659" t="n">
        <v>0.052</v>
      </c>
      <c r="W1659" t="n">
        <v>1.49</v>
      </c>
      <c r="X1659" t="n">
        <v>68.05</v>
      </c>
      <c r="Y1659">
        <f>VLOOKUP(D1659,$AB$2:$AC$7,2,FALSE)</f>
        <v/>
      </c>
      <c r="Z1659">
        <f>IF(A1659&lt;Y1659,"Yes","No")</f>
        <v/>
      </c>
    </row>
    <row r="1660">
      <c r="A1660" t="n">
        <v>2013</v>
      </c>
      <c r="B1660" t="inlineStr">
        <is>
          <t>Q2</t>
        </is>
      </c>
      <c r="C1660" t="inlineStr">
        <is>
          <t>Australia</t>
        </is>
      </c>
      <c r="D1660" t="inlineStr">
        <is>
          <t>Semi</t>
        </is>
      </c>
      <c r="E1660" t="n">
        <v>745</v>
      </c>
      <c r="F1660" t="n">
        <v>69697.82000000001</v>
      </c>
      <c r="G1660" t="n">
        <v>22</v>
      </c>
      <c r="H1660" t="inlineStr">
        <is>
          <t>Long Range</t>
        </is>
      </c>
      <c r="I1660" t="inlineStr">
        <is>
          <t>RWD</t>
        </is>
      </c>
      <c r="J1660" t="inlineStr">
        <is>
          <t>White</t>
        </is>
      </c>
      <c r="K1660" t="n">
        <v>420</v>
      </c>
      <c r="L1660" t="n">
        <v>62</v>
      </c>
      <c r="M1660" t="n">
        <v>23.83</v>
      </c>
      <c r="N1660" t="n">
        <v>620.62</v>
      </c>
      <c r="O1660" t="n">
        <v>3.7</v>
      </c>
      <c r="P1660" t="n">
        <v>8</v>
      </c>
      <c r="Q1660" t="n">
        <v>0</v>
      </c>
      <c r="R1660" t="n">
        <v>2024.11</v>
      </c>
      <c r="S1660" t="b">
        <v>0</v>
      </c>
      <c r="T1660" t="n">
        <v>2355642</v>
      </c>
      <c r="U1660" t="n">
        <v>11</v>
      </c>
      <c r="V1660" t="n">
        <v>0.07000000000000001</v>
      </c>
      <c r="W1660" t="n">
        <v>0.55</v>
      </c>
      <c r="X1660" t="n">
        <v>85.72</v>
      </c>
      <c r="Y1660">
        <f>VLOOKUP(D1660,$AB$2:$AC$7,2,FALSE)</f>
        <v/>
      </c>
      <c r="Z1660">
        <f>IF(A1660&lt;Y1660,"Yes","No")</f>
        <v/>
      </c>
    </row>
    <row r="1661">
      <c r="A1661" t="n">
        <v>2014</v>
      </c>
      <c r="B1661" t="inlineStr">
        <is>
          <t>Q3</t>
        </is>
      </c>
      <c r="C1661" t="inlineStr">
        <is>
          <t>South America</t>
        </is>
      </c>
      <c r="D1661" t="inlineStr">
        <is>
          <t>Model X</t>
        </is>
      </c>
      <c r="E1661" t="n">
        <v>4804</v>
      </c>
      <c r="F1661" t="n">
        <v>101189.17</v>
      </c>
      <c r="G1661" t="n">
        <v>12</v>
      </c>
      <c r="H1661" t="inlineStr">
        <is>
          <t>Performance</t>
        </is>
      </c>
      <c r="I1661" t="inlineStr">
        <is>
          <t>RWD</t>
        </is>
      </c>
      <c r="J1661" t="inlineStr">
        <is>
          <t>Green</t>
        </is>
      </c>
      <c r="K1661" t="n">
        <v>513</v>
      </c>
      <c r="L1661" t="n">
        <v>59</v>
      </c>
      <c r="M1661" t="n">
        <v>18.76</v>
      </c>
      <c r="N1661" t="n">
        <v>10172.83</v>
      </c>
      <c r="O1661" t="n">
        <v>4.11</v>
      </c>
      <c r="P1661" t="n">
        <v>8</v>
      </c>
      <c r="Q1661" t="n">
        <v>0</v>
      </c>
      <c r="R1661" t="n">
        <v>2021.9</v>
      </c>
      <c r="S1661" t="b">
        <v>0</v>
      </c>
      <c r="T1661" t="n">
        <v>2979484</v>
      </c>
      <c r="U1661" t="n">
        <v>12</v>
      </c>
      <c r="V1661" t="n">
        <v>0.0406</v>
      </c>
      <c r="W1661" t="n">
        <v>2.05</v>
      </c>
      <c r="X1661" t="n">
        <v>88.7</v>
      </c>
      <c r="Y1661">
        <f>VLOOKUP(D1661,$AB$2:$AC$7,2,FALSE)</f>
        <v/>
      </c>
      <c r="Z1661">
        <f>IF(A1661&lt;Y1661,"Yes","No")</f>
        <v/>
      </c>
    </row>
    <row r="1662">
      <c r="A1662" t="n">
        <v>2012</v>
      </c>
      <c r="B1662" t="inlineStr">
        <is>
          <t>Q1</t>
        </is>
      </c>
      <c r="C1662" t="inlineStr">
        <is>
          <t>Asia</t>
        </is>
      </c>
      <c r="D1662" t="inlineStr">
        <is>
          <t>Cybertruck</t>
        </is>
      </c>
      <c r="E1662" t="n">
        <v>2889</v>
      </c>
      <c r="F1662" t="n">
        <v>96222.35000000001</v>
      </c>
      <c r="G1662" t="n">
        <v>47</v>
      </c>
      <c r="H1662" t="inlineStr">
        <is>
          <t>Long Range</t>
        </is>
      </c>
      <c r="I1662" t="inlineStr">
        <is>
          <t>AWD</t>
        </is>
      </c>
      <c r="J1662" t="inlineStr">
        <is>
          <t>Black</t>
        </is>
      </c>
      <c r="K1662" t="n">
        <v>456</v>
      </c>
      <c r="L1662" t="n">
        <v>66</v>
      </c>
      <c r="M1662" t="n">
        <v>21.36</v>
      </c>
      <c r="N1662" t="n">
        <v>7066.34</v>
      </c>
      <c r="O1662" t="n">
        <v>4.68</v>
      </c>
      <c r="P1662" t="n">
        <v>6</v>
      </c>
      <c r="Q1662" t="n">
        <v>1</v>
      </c>
      <c r="R1662" t="n">
        <v>2023.1</v>
      </c>
      <c r="S1662" t="b">
        <v>1</v>
      </c>
      <c r="T1662" t="n">
        <v>4958458</v>
      </c>
      <c r="U1662" t="n">
        <v>6</v>
      </c>
      <c r="V1662" t="n">
        <v>0.0178</v>
      </c>
      <c r="W1662" t="n">
        <v>1.77</v>
      </c>
      <c r="X1662" t="n">
        <v>60.92</v>
      </c>
      <c r="Y1662">
        <f>VLOOKUP(D1662,$AB$2:$AC$7,2,FALSE)</f>
        <v/>
      </c>
      <c r="Z1662">
        <f>IF(A1662&lt;Y1662,"Yes","No")</f>
        <v/>
      </c>
    </row>
    <row r="1663">
      <c r="A1663" t="n">
        <v>2018</v>
      </c>
      <c r="B1663" t="inlineStr">
        <is>
          <t>Q1</t>
        </is>
      </c>
      <c r="C1663" t="inlineStr">
        <is>
          <t>South America</t>
        </is>
      </c>
      <c r="D1663" t="inlineStr">
        <is>
          <t>Model X</t>
        </is>
      </c>
      <c r="E1663" t="n">
        <v>1932</v>
      </c>
      <c r="F1663" t="n">
        <v>69829.82000000001</v>
      </c>
      <c r="G1663" t="n">
        <v>45</v>
      </c>
      <c r="H1663" t="inlineStr">
        <is>
          <t>Performance</t>
        </is>
      </c>
      <c r="I1663" t="inlineStr">
        <is>
          <t>RWD</t>
        </is>
      </c>
      <c r="J1663" t="inlineStr">
        <is>
          <t>Silver</t>
        </is>
      </c>
      <c r="K1663" t="n">
        <v>371</v>
      </c>
      <c r="L1663" t="n">
        <v>89</v>
      </c>
      <c r="M1663" t="n">
        <v>18.26</v>
      </c>
      <c r="N1663" t="n">
        <v>968.77</v>
      </c>
      <c r="O1663" t="n">
        <v>3.71</v>
      </c>
      <c r="P1663" t="n">
        <v>5</v>
      </c>
      <c r="Q1663" t="n">
        <v>1</v>
      </c>
      <c r="R1663" t="n">
        <v>2024.9</v>
      </c>
      <c r="S1663" t="b">
        <v>1</v>
      </c>
      <c r="T1663" t="n">
        <v>659448</v>
      </c>
      <c r="U1663" t="n">
        <v>4</v>
      </c>
      <c r="V1663" t="n">
        <v>0.011</v>
      </c>
      <c r="W1663" t="n">
        <v>2.33</v>
      </c>
      <c r="X1663" t="n">
        <v>78.53</v>
      </c>
      <c r="Y1663">
        <f>VLOOKUP(D1663,$AB$2:$AC$7,2,FALSE)</f>
        <v/>
      </c>
      <c r="Z1663">
        <f>IF(A1663&lt;Y1663,"Yes","No")</f>
        <v/>
      </c>
    </row>
    <row r="1664">
      <c r="A1664" t="n">
        <v>2018</v>
      </c>
      <c r="B1664" t="inlineStr">
        <is>
          <t>Q4</t>
        </is>
      </c>
      <c r="C1664" t="inlineStr">
        <is>
          <t>Australia</t>
        </is>
      </c>
      <c r="D1664" t="inlineStr">
        <is>
          <t>Model 3</t>
        </is>
      </c>
      <c r="E1664" t="n">
        <v>3678</v>
      </c>
      <c r="F1664" t="n">
        <v>48930.8</v>
      </c>
      <c r="G1664" t="n">
        <v>1</v>
      </c>
      <c r="H1664" t="inlineStr">
        <is>
          <t>Standard</t>
        </is>
      </c>
      <c r="I1664" t="inlineStr">
        <is>
          <t>RWD</t>
        </is>
      </c>
      <c r="J1664" t="inlineStr">
        <is>
          <t>Black</t>
        </is>
      </c>
      <c r="K1664" t="n">
        <v>501</v>
      </c>
      <c r="L1664" t="n">
        <v>79</v>
      </c>
      <c r="M1664" t="n">
        <v>16</v>
      </c>
      <c r="N1664" t="n">
        <v>3485.19</v>
      </c>
      <c r="O1664" t="n">
        <v>4.84</v>
      </c>
      <c r="P1664" t="n">
        <v>6</v>
      </c>
      <c r="Q1664" t="n">
        <v>3</v>
      </c>
      <c r="R1664" t="n">
        <v>2023.1</v>
      </c>
      <c r="S1664" t="b">
        <v>0</v>
      </c>
      <c r="T1664" t="n">
        <v>944233</v>
      </c>
      <c r="U1664" t="n">
        <v>11</v>
      </c>
      <c r="V1664" t="n">
        <v>0.06660000000000001</v>
      </c>
      <c r="W1664" t="n">
        <v>0.51</v>
      </c>
      <c r="X1664" t="n">
        <v>72.17</v>
      </c>
      <c r="Y1664">
        <f>VLOOKUP(D1664,$AB$2:$AC$7,2,FALSE)</f>
        <v/>
      </c>
      <c r="Z1664">
        <f>IF(A1664&lt;Y1664,"Yes","No")</f>
        <v/>
      </c>
    </row>
    <row r="1665">
      <c r="A1665" t="n">
        <v>2017</v>
      </c>
      <c r="B1665" t="inlineStr">
        <is>
          <t>Q4</t>
        </is>
      </c>
      <c r="C1665" t="inlineStr">
        <is>
          <t>Asia</t>
        </is>
      </c>
      <c r="D1665" t="inlineStr">
        <is>
          <t>Model 3</t>
        </is>
      </c>
      <c r="E1665" t="n">
        <v>4874</v>
      </c>
      <c r="F1665" t="n">
        <v>69683.25999999999</v>
      </c>
      <c r="G1665" t="n">
        <v>30</v>
      </c>
      <c r="H1665" t="inlineStr">
        <is>
          <t>Standard</t>
        </is>
      </c>
      <c r="I1665" t="inlineStr">
        <is>
          <t>RWD</t>
        </is>
      </c>
      <c r="J1665" t="inlineStr">
        <is>
          <t>White</t>
        </is>
      </c>
      <c r="K1665" t="n">
        <v>550</v>
      </c>
      <c r="L1665" t="n">
        <v>82</v>
      </c>
      <c r="M1665" t="n">
        <v>18.41</v>
      </c>
      <c r="N1665" t="n">
        <v>8295.91</v>
      </c>
      <c r="O1665" t="n">
        <v>3.61</v>
      </c>
      <c r="P1665" t="n">
        <v>6</v>
      </c>
      <c r="Q1665" t="n">
        <v>0</v>
      </c>
      <c r="R1665" t="n">
        <v>2024.12</v>
      </c>
      <c r="S1665" t="b">
        <v>0</v>
      </c>
      <c r="T1665" t="n">
        <v>2369504</v>
      </c>
      <c r="U1665" t="n">
        <v>8</v>
      </c>
      <c r="V1665" t="n">
        <v>0.0905</v>
      </c>
      <c r="W1665" t="n">
        <v>1.81</v>
      </c>
      <c r="X1665" t="n">
        <v>74.84999999999999</v>
      </c>
      <c r="Y1665">
        <f>VLOOKUP(D1665,$AB$2:$AC$7,2,FALSE)</f>
        <v/>
      </c>
      <c r="Z1665">
        <f>IF(A1665&lt;Y1665,"Yes","No")</f>
        <v/>
      </c>
    </row>
    <row r="1666">
      <c r="A1666" t="n">
        <v>2015</v>
      </c>
      <c r="B1666" t="inlineStr">
        <is>
          <t>Q1</t>
        </is>
      </c>
      <c r="C1666" t="inlineStr">
        <is>
          <t>Asia</t>
        </is>
      </c>
      <c r="D1666" t="inlineStr">
        <is>
          <t>Cybertruck</t>
        </is>
      </c>
      <c r="E1666" t="n">
        <v>4167</v>
      </c>
      <c r="F1666" t="n">
        <v>71444.17999999999</v>
      </c>
      <c r="G1666" t="n">
        <v>7</v>
      </c>
      <c r="H1666" t="inlineStr">
        <is>
          <t>Standard</t>
        </is>
      </c>
      <c r="I1666" t="inlineStr">
        <is>
          <t>AWD</t>
        </is>
      </c>
      <c r="J1666" t="inlineStr">
        <is>
          <t>White</t>
        </is>
      </c>
      <c r="K1666" t="n">
        <v>458</v>
      </c>
      <c r="L1666" t="n">
        <v>36</v>
      </c>
      <c r="M1666" t="n">
        <v>14.64</v>
      </c>
      <c r="N1666" t="n">
        <v>6998.87</v>
      </c>
      <c r="O1666" t="n">
        <v>3.76</v>
      </c>
      <c r="P1666" t="n">
        <v>8</v>
      </c>
      <c r="Q1666" t="n">
        <v>1</v>
      </c>
      <c r="R1666" t="n">
        <v>2022.5</v>
      </c>
      <c r="S1666" t="b">
        <v>0</v>
      </c>
      <c r="T1666" t="n">
        <v>4364693</v>
      </c>
      <c r="U1666" t="n">
        <v>2</v>
      </c>
      <c r="V1666" t="n">
        <v>0.0718</v>
      </c>
      <c r="W1666" t="n">
        <v>1.63</v>
      </c>
      <c r="X1666" t="n">
        <v>75.47</v>
      </c>
      <c r="Y1666">
        <f>VLOOKUP(D1666,$AB$2:$AC$7,2,FALSE)</f>
        <v/>
      </c>
      <c r="Z1666">
        <f>IF(A1666&lt;Y1666,"Yes","No")</f>
        <v/>
      </c>
    </row>
    <row r="1667">
      <c r="A1667" t="n">
        <v>2016</v>
      </c>
      <c r="B1667" t="inlineStr">
        <is>
          <t>Q1</t>
        </is>
      </c>
      <c r="C1667" t="inlineStr">
        <is>
          <t>North America</t>
        </is>
      </c>
      <c r="D1667" t="inlineStr">
        <is>
          <t>Model X</t>
        </is>
      </c>
      <c r="E1667" t="n">
        <v>3212</v>
      </c>
      <c r="F1667" t="n">
        <v>45382.77</v>
      </c>
      <c r="G1667" t="n">
        <v>20</v>
      </c>
      <c r="H1667" t="inlineStr">
        <is>
          <t>Performance</t>
        </is>
      </c>
      <c r="I1667" t="inlineStr">
        <is>
          <t>RWD</t>
        </is>
      </c>
      <c r="J1667" t="inlineStr">
        <is>
          <t>Green</t>
        </is>
      </c>
      <c r="K1667" t="n">
        <v>356</v>
      </c>
      <c r="L1667" t="n">
        <v>32</v>
      </c>
      <c r="M1667" t="n">
        <v>13.31</v>
      </c>
      <c r="N1667" t="n">
        <v>7492.73</v>
      </c>
      <c r="O1667" t="n">
        <v>4.51</v>
      </c>
      <c r="P1667" t="n">
        <v>4</v>
      </c>
      <c r="Q1667" t="n">
        <v>3</v>
      </c>
      <c r="R1667" t="n">
        <v>2021.9</v>
      </c>
      <c r="S1667" t="b">
        <v>0</v>
      </c>
      <c r="T1667" t="n">
        <v>2261183</v>
      </c>
      <c r="U1667" t="n">
        <v>8</v>
      </c>
      <c r="V1667" t="n">
        <v>0.0497</v>
      </c>
      <c r="W1667" t="n">
        <v>2.02</v>
      </c>
      <c r="X1667" t="n">
        <v>66.95</v>
      </c>
      <c r="Y1667">
        <f>VLOOKUP(D1667,$AB$2:$AC$7,2,FALSE)</f>
        <v/>
      </c>
      <c r="Z1667">
        <f>IF(A1667&lt;Y1667,"Yes","No")</f>
        <v/>
      </c>
    </row>
    <row r="1668">
      <c r="A1668" t="n">
        <v>2016</v>
      </c>
      <c r="B1668" t="inlineStr">
        <is>
          <t>Q4</t>
        </is>
      </c>
      <c r="C1668" t="inlineStr">
        <is>
          <t>Asia</t>
        </is>
      </c>
      <c r="D1668" t="inlineStr">
        <is>
          <t>Model 3</t>
        </is>
      </c>
      <c r="E1668" t="n">
        <v>3342</v>
      </c>
      <c r="F1668" t="n">
        <v>99025.19</v>
      </c>
      <c r="G1668" t="n">
        <v>14</v>
      </c>
      <c r="H1668" t="inlineStr">
        <is>
          <t>Performance</t>
        </is>
      </c>
      <c r="I1668" t="inlineStr">
        <is>
          <t>AWD</t>
        </is>
      </c>
      <c r="J1668" t="inlineStr">
        <is>
          <t>Silver</t>
        </is>
      </c>
      <c r="K1668" t="n">
        <v>659</v>
      </c>
      <c r="L1668" t="n">
        <v>47</v>
      </c>
      <c r="M1668" t="n">
        <v>14.26</v>
      </c>
      <c r="N1668" t="n">
        <v>2388.28</v>
      </c>
      <c r="O1668" t="n">
        <v>4.3</v>
      </c>
      <c r="P1668" t="n">
        <v>8</v>
      </c>
      <c r="Q1668" t="n">
        <v>3</v>
      </c>
      <c r="R1668" t="n">
        <v>2020.9</v>
      </c>
      <c r="S1668" t="b">
        <v>1</v>
      </c>
      <c r="T1668" t="n">
        <v>1303359</v>
      </c>
      <c r="U1668" t="n">
        <v>3</v>
      </c>
      <c r="V1668" t="n">
        <v>0.0281</v>
      </c>
      <c r="W1668" t="n">
        <v>0.53</v>
      </c>
      <c r="X1668" t="n">
        <v>68.81</v>
      </c>
      <c r="Y1668">
        <f>VLOOKUP(D1668,$AB$2:$AC$7,2,FALSE)</f>
        <v/>
      </c>
      <c r="Z1668">
        <f>IF(A1668&lt;Y1668,"Yes","No")</f>
        <v/>
      </c>
    </row>
    <row r="1669">
      <c r="A1669" t="n">
        <v>2022</v>
      </c>
      <c r="B1669" t="inlineStr">
        <is>
          <t>Q3</t>
        </is>
      </c>
      <c r="C1669" t="inlineStr">
        <is>
          <t>Europe</t>
        </is>
      </c>
      <c r="D1669" t="inlineStr">
        <is>
          <t>Model X</t>
        </is>
      </c>
      <c r="E1669" t="n">
        <v>605</v>
      </c>
      <c r="F1669" t="n">
        <v>43802.99</v>
      </c>
      <c r="G1669" t="n">
        <v>57</v>
      </c>
      <c r="H1669" t="inlineStr">
        <is>
          <t>Performance</t>
        </is>
      </c>
      <c r="I1669" t="inlineStr">
        <is>
          <t>AWD</t>
        </is>
      </c>
      <c r="J1669" t="inlineStr">
        <is>
          <t>Black</t>
        </is>
      </c>
      <c r="K1669" t="n">
        <v>530</v>
      </c>
      <c r="L1669" t="n">
        <v>68</v>
      </c>
      <c r="M1669" t="n">
        <v>16.6</v>
      </c>
      <c r="N1669" t="n">
        <v>1207.57</v>
      </c>
      <c r="O1669" t="n">
        <v>4.37</v>
      </c>
      <c r="P1669" t="n">
        <v>5</v>
      </c>
      <c r="Q1669" t="n">
        <v>2</v>
      </c>
      <c r="R1669" t="n">
        <v>2020.3</v>
      </c>
      <c r="S1669" t="b">
        <v>0</v>
      </c>
      <c r="T1669" t="n">
        <v>4837189</v>
      </c>
      <c r="U1669" t="n">
        <v>9</v>
      </c>
      <c r="V1669" t="n">
        <v>0.0659</v>
      </c>
      <c r="W1669" t="n">
        <v>1.98</v>
      </c>
      <c r="X1669" t="n">
        <v>77.69</v>
      </c>
      <c r="Y1669">
        <f>VLOOKUP(D1669,$AB$2:$AC$7,2,FALSE)</f>
        <v/>
      </c>
      <c r="Z1669">
        <f>IF(A1669&lt;Y1669,"Yes","No")</f>
        <v/>
      </c>
    </row>
    <row r="1670">
      <c r="A1670" t="n">
        <v>2023</v>
      </c>
      <c r="B1670" t="inlineStr">
        <is>
          <t>Q2</t>
        </is>
      </c>
      <c r="C1670" t="inlineStr">
        <is>
          <t>Europe</t>
        </is>
      </c>
      <c r="D1670" t="inlineStr">
        <is>
          <t>Model 3</t>
        </is>
      </c>
      <c r="E1670" t="n">
        <v>4619</v>
      </c>
      <c r="F1670" t="n">
        <v>81090.52</v>
      </c>
      <c r="G1670" t="n">
        <v>28</v>
      </c>
      <c r="H1670" t="inlineStr">
        <is>
          <t>Performance</t>
        </is>
      </c>
      <c r="I1670" t="inlineStr">
        <is>
          <t>RWD</t>
        </is>
      </c>
      <c r="J1670" t="inlineStr">
        <is>
          <t>Blue</t>
        </is>
      </c>
      <c r="K1670" t="n">
        <v>549</v>
      </c>
      <c r="L1670" t="n">
        <v>84</v>
      </c>
      <c r="M1670" t="n">
        <v>18.16</v>
      </c>
      <c r="N1670" t="n">
        <v>11489.71</v>
      </c>
      <c r="O1670" t="n">
        <v>4.08</v>
      </c>
      <c r="P1670" t="n">
        <v>5</v>
      </c>
      <c r="Q1670" t="n">
        <v>2</v>
      </c>
      <c r="R1670" t="n">
        <v>2020.4</v>
      </c>
      <c r="S1670" t="b">
        <v>0</v>
      </c>
      <c r="T1670" t="n">
        <v>240048</v>
      </c>
      <c r="U1670" t="n">
        <v>12</v>
      </c>
      <c r="V1670" t="n">
        <v>0.0291</v>
      </c>
      <c r="W1670" t="n">
        <v>1.72</v>
      </c>
      <c r="X1670" t="n">
        <v>89.20999999999999</v>
      </c>
      <c r="Y1670">
        <f>VLOOKUP(D1670,$AB$2:$AC$7,2,FALSE)</f>
        <v/>
      </c>
      <c r="Z1670">
        <f>IF(A1670&lt;Y1670,"Yes","No")</f>
        <v/>
      </c>
    </row>
    <row r="1671">
      <c r="A1671" t="n">
        <v>2020</v>
      </c>
      <c r="B1671" t="inlineStr">
        <is>
          <t>Q2</t>
        </is>
      </c>
      <c r="C1671" t="inlineStr">
        <is>
          <t>South America</t>
        </is>
      </c>
      <c r="D1671" t="inlineStr">
        <is>
          <t>Model Y</t>
        </is>
      </c>
      <c r="E1671" t="n">
        <v>2399</v>
      </c>
      <c r="F1671" t="n">
        <v>59666.71</v>
      </c>
      <c r="G1671" t="n">
        <v>44</v>
      </c>
      <c r="H1671" t="inlineStr">
        <is>
          <t>Performance</t>
        </is>
      </c>
      <c r="I1671" t="inlineStr">
        <is>
          <t>AWD</t>
        </is>
      </c>
      <c r="J1671" t="inlineStr">
        <is>
          <t>Red</t>
        </is>
      </c>
      <c r="K1671" t="n">
        <v>620</v>
      </c>
      <c r="L1671" t="n">
        <v>36</v>
      </c>
      <c r="M1671" t="n">
        <v>19.13</v>
      </c>
      <c r="N1671" t="n">
        <v>3154.53</v>
      </c>
      <c r="O1671" t="n">
        <v>3.74</v>
      </c>
      <c r="P1671" t="n">
        <v>5</v>
      </c>
      <c r="Q1671" t="n">
        <v>3</v>
      </c>
      <c r="R1671" t="n">
        <v>2020.3</v>
      </c>
      <c r="S1671" t="b">
        <v>0</v>
      </c>
      <c r="T1671" t="n">
        <v>3303435</v>
      </c>
      <c r="U1671" t="n">
        <v>5</v>
      </c>
      <c r="V1671" t="n">
        <v>0.0559</v>
      </c>
      <c r="W1671" t="n">
        <v>2.25</v>
      </c>
      <c r="X1671" t="n">
        <v>74.16</v>
      </c>
      <c r="Y1671">
        <f>VLOOKUP(D1671,$AB$2:$AC$7,2,FALSE)</f>
        <v/>
      </c>
      <c r="Z1671">
        <f>IF(A1671&lt;Y1671,"Yes","No")</f>
        <v/>
      </c>
    </row>
    <row r="1672">
      <c r="A1672" t="n">
        <v>2017</v>
      </c>
      <c r="B1672" t="inlineStr">
        <is>
          <t>Q3</t>
        </is>
      </c>
      <c r="C1672" t="inlineStr">
        <is>
          <t>South America</t>
        </is>
      </c>
      <c r="D1672" t="inlineStr">
        <is>
          <t>Model S</t>
        </is>
      </c>
      <c r="E1672" t="n">
        <v>4563</v>
      </c>
      <c r="F1672" t="n">
        <v>62684.84</v>
      </c>
      <c r="G1672" t="n">
        <v>14</v>
      </c>
      <c r="H1672" t="inlineStr">
        <is>
          <t>Standard</t>
        </is>
      </c>
      <c r="I1672" t="inlineStr">
        <is>
          <t>AWD</t>
        </is>
      </c>
      <c r="J1672" t="inlineStr">
        <is>
          <t>Red</t>
        </is>
      </c>
      <c r="K1672" t="n">
        <v>590</v>
      </c>
      <c r="L1672" t="n">
        <v>62</v>
      </c>
      <c r="M1672" t="n">
        <v>17.98</v>
      </c>
      <c r="N1672" t="n">
        <v>5394.56</v>
      </c>
      <c r="O1672" t="n">
        <v>4.74</v>
      </c>
      <c r="P1672" t="n">
        <v>8</v>
      </c>
      <c r="Q1672" t="n">
        <v>3</v>
      </c>
      <c r="R1672" t="n">
        <v>2023.2</v>
      </c>
      <c r="S1672" t="b">
        <v>1</v>
      </c>
      <c r="T1672" t="n">
        <v>4786570</v>
      </c>
      <c r="U1672" t="n">
        <v>10</v>
      </c>
      <c r="V1672" t="n">
        <v>0.0646</v>
      </c>
      <c r="W1672" t="n">
        <v>2.03</v>
      </c>
      <c r="X1672" t="n">
        <v>86.23999999999999</v>
      </c>
      <c r="Y1672">
        <f>VLOOKUP(D1672,$AB$2:$AC$7,2,FALSE)</f>
        <v/>
      </c>
      <c r="Z1672">
        <f>IF(A1672&lt;Y1672,"Yes","No")</f>
        <v/>
      </c>
    </row>
    <row r="1673">
      <c r="A1673" t="n">
        <v>2012</v>
      </c>
      <c r="B1673" t="inlineStr">
        <is>
          <t>Q2</t>
        </is>
      </c>
      <c r="C1673" t="inlineStr">
        <is>
          <t>South America</t>
        </is>
      </c>
      <c r="D1673" t="inlineStr">
        <is>
          <t>Model Y</t>
        </is>
      </c>
      <c r="E1673" t="n">
        <v>2668</v>
      </c>
      <c r="F1673" t="n">
        <v>103325.3</v>
      </c>
      <c r="G1673" t="n">
        <v>17</v>
      </c>
      <c r="H1673" t="inlineStr">
        <is>
          <t>Standard</t>
        </is>
      </c>
      <c r="I1673" t="inlineStr">
        <is>
          <t>RWD</t>
        </is>
      </c>
      <c r="J1673" t="inlineStr">
        <is>
          <t>Silver</t>
        </is>
      </c>
      <c r="K1673" t="n">
        <v>669</v>
      </c>
      <c r="L1673" t="n">
        <v>78</v>
      </c>
      <c r="M1673" t="n">
        <v>23.9</v>
      </c>
      <c r="N1673" t="n">
        <v>2605.18</v>
      </c>
      <c r="O1673" t="n">
        <v>4.75</v>
      </c>
      <c r="P1673" t="n">
        <v>5</v>
      </c>
      <c r="Q1673" t="n">
        <v>3</v>
      </c>
      <c r="R1673" t="n">
        <v>2020.7</v>
      </c>
      <c r="S1673" t="b">
        <v>0</v>
      </c>
      <c r="T1673" t="n">
        <v>4200379</v>
      </c>
      <c r="U1673" t="n">
        <v>10</v>
      </c>
      <c r="V1673" t="n">
        <v>0.0534</v>
      </c>
      <c r="W1673" t="n">
        <v>1.69</v>
      </c>
      <c r="X1673" t="n">
        <v>79.3</v>
      </c>
      <c r="Y1673">
        <f>VLOOKUP(D1673,$AB$2:$AC$7,2,FALSE)</f>
        <v/>
      </c>
      <c r="Z1673">
        <f>IF(A1673&lt;Y1673,"Yes","No")</f>
        <v/>
      </c>
    </row>
    <row r="1674">
      <c r="A1674" t="n">
        <v>2016</v>
      </c>
      <c r="B1674" t="inlineStr">
        <is>
          <t>Q4</t>
        </is>
      </c>
      <c r="C1674" t="inlineStr">
        <is>
          <t>Europe</t>
        </is>
      </c>
      <c r="D1674" t="inlineStr">
        <is>
          <t>Model Y</t>
        </is>
      </c>
      <c r="E1674" t="n">
        <v>2701</v>
      </c>
      <c r="F1674" t="n">
        <v>64036.31</v>
      </c>
      <c r="G1674" t="n">
        <v>56</v>
      </c>
      <c r="H1674" t="inlineStr">
        <is>
          <t>Long Range</t>
        </is>
      </c>
      <c r="I1674" t="inlineStr">
        <is>
          <t>AWD</t>
        </is>
      </c>
      <c r="J1674" t="inlineStr">
        <is>
          <t>Black</t>
        </is>
      </c>
      <c r="K1674" t="n">
        <v>557</v>
      </c>
      <c r="L1674" t="n">
        <v>48</v>
      </c>
      <c r="M1674" t="n">
        <v>19.91</v>
      </c>
      <c r="N1674" t="n">
        <v>3588.05</v>
      </c>
      <c r="O1674" t="n">
        <v>4.92</v>
      </c>
      <c r="P1674" t="n">
        <v>6</v>
      </c>
      <c r="Q1674" t="n">
        <v>0</v>
      </c>
      <c r="R1674" t="n">
        <v>2022.6</v>
      </c>
      <c r="S1674" t="b">
        <v>1</v>
      </c>
      <c r="T1674" t="n">
        <v>3896747</v>
      </c>
      <c r="U1674" t="n">
        <v>7</v>
      </c>
      <c r="V1674" t="n">
        <v>0.0789</v>
      </c>
      <c r="W1674" t="n">
        <v>1.21</v>
      </c>
      <c r="X1674" t="n">
        <v>81.58</v>
      </c>
      <c r="Y1674">
        <f>VLOOKUP(D1674,$AB$2:$AC$7,2,FALSE)</f>
        <v/>
      </c>
      <c r="Z1674">
        <f>IF(A1674&lt;Y1674,"Yes","No")</f>
        <v/>
      </c>
    </row>
    <row r="1675">
      <c r="A1675" t="n">
        <v>2024</v>
      </c>
      <c r="B1675" t="inlineStr">
        <is>
          <t>Q3</t>
        </is>
      </c>
      <c r="C1675" t="inlineStr">
        <is>
          <t>South America</t>
        </is>
      </c>
      <c r="D1675" t="inlineStr">
        <is>
          <t>Cybertruck</t>
        </is>
      </c>
      <c r="E1675" t="n">
        <v>1247</v>
      </c>
      <c r="F1675" t="n">
        <v>118563.35</v>
      </c>
      <c r="G1675" t="n">
        <v>20</v>
      </c>
      <c r="H1675" t="inlineStr">
        <is>
          <t>Standard</t>
        </is>
      </c>
      <c r="I1675" t="inlineStr">
        <is>
          <t>RWD</t>
        </is>
      </c>
      <c r="J1675" t="inlineStr">
        <is>
          <t>Green</t>
        </is>
      </c>
      <c r="K1675" t="n">
        <v>659</v>
      </c>
      <c r="L1675" t="n">
        <v>66</v>
      </c>
      <c r="M1675" t="n">
        <v>24.61</v>
      </c>
      <c r="N1675" t="n">
        <v>2387.25</v>
      </c>
      <c r="O1675" t="n">
        <v>4.72</v>
      </c>
      <c r="P1675" t="n">
        <v>6</v>
      </c>
      <c r="Q1675" t="n">
        <v>0</v>
      </c>
      <c r="R1675" t="n">
        <v>2020.2</v>
      </c>
      <c r="S1675" t="b">
        <v>0</v>
      </c>
      <c r="T1675" t="n">
        <v>3730426</v>
      </c>
      <c r="U1675" t="n">
        <v>9</v>
      </c>
      <c r="V1675" t="n">
        <v>0.09039999999999999</v>
      </c>
      <c r="W1675" t="n">
        <v>2.07</v>
      </c>
      <c r="X1675" t="n">
        <v>76.3</v>
      </c>
      <c r="Y1675">
        <f>VLOOKUP(D1675,$AB$2:$AC$7,2,FALSE)</f>
        <v/>
      </c>
      <c r="Z1675">
        <f>IF(A1675&lt;Y1675,"Yes","No")</f>
        <v/>
      </c>
    </row>
    <row r="1676">
      <c r="A1676" t="n">
        <v>2017</v>
      </c>
      <c r="B1676" t="inlineStr">
        <is>
          <t>Q1</t>
        </is>
      </c>
      <c r="C1676" t="inlineStr">
        <is>
          <t>Asia</t>
        </is>
      </c>
      <c r="D1676" t="inlineStr">
        <is>
          <t>Model Y</t>
        </is>
      </c>
      <c r="E1676" t="n">
        <v>3554</v>
      </c>
      <c r="F1676" t="n">
        <v>59382.18</v>
      </c>
      <c r="G1676" t="n">
        <v>26</v>
      </c>
      <c r="H1676" t="inlineStr">
        <is>
          <t>Long Range</t>
        </is>
      </c>
      <c r="I1676" t="inlineStr">
        <is>
          <t>AWD</t>
        </is>
      </c>
      <c r="J1676" t="inlineStr">
        <is>
          <t>Green</t>
        </is>
      </c>
      <c r="K1676" t="n">
        <v>538</v>
      </c>
      <c r="L1676" t="n">
        <v>33</v>
      </c>
      <c r="M1676" t="n">
        <v>20.93</v>
      </c>
      <c r="N1676" t="n">
        <v>7114.44</v>
      </c>
      <c r="O1676" t="n">
        <v>4.77</v>
      </c>
      <c r="P1676" t="n">
        <v>4</v>
      </c>
      <c r="Q1676" t="n">
        <v>1</v>
      </c>
      <c r="R1676" t="n">
        <v>2024.12</v>
      </c>
      <c r="S1676" t="b">
        <v>1</v>
      </c>
      <c r="T1676" t="n">
        <v>668000</v>
      </c>
      <c r="U1676" t="n">
        <v>11</v>
      </c>
      <c r="V1676" t="n">
        <v>0.0301</v>
      </c>
      <c r="W1676" t="n">
        <v>1.37</v>
      </c>
      <c r="X1676" t="n">
        <v>81.08</v>
      </c>
      <c r="Y1676">
        <f>VLOOKUP(D1676,$AB$2:$AC$7,2,FALSE)</f>
        <v/>
      </c>
      <c r="Z1676">
        <f>IF(A1676&lt;Y1676,"Yes","No")</f>
        <v/>
      </c>
    </row>
    <row r="1677">
      <c r="A1677" t="n">
        <v>2014</v>
      </c>
      <c r="B1677" t="inlineStr">
        <is>
          <t>Q4</t>
        </is>
      </c>
      <c r="C1677" t="inlineStr">
        <is>
          <t>Asia</t>
        </is>
      </c>
      <c r="D1677" t="inlineStr">
        <is>
          <t>Cybertruck</t>
        </is>
      </c>
      <c r="E1677" t="n">
        <v>3558</v>
      </c>
      <c r="F1677" t="n">
        <v>39387.75</v>
      </c>
      <c r="G1677" t="n">
        <v>58</v>
      </c>
      <c r="H1677" t="inlineStr">
        <is>
          <t>Performance</t>
        </is>
      </c>
      <c r="I1677" t="inlineStr">
        <is>
          <t>RWD</t>
        </is>
      </c>
      <c r="J1677" t="inlineStr">
        <is>
          <t>Green</t>
        </is>
      </c>
      <c r="K1677" t="n">
        <v>526</v>
      </c>
      <c r="L1677" t="n">
        <v>54</v>
      </c>
      <c r="M1677" t="n">
        <v>15.43</v>
      </c>
      <c r="N1677" t="n">
        <v>3494.28</v>
      </c>
      <c r="O1677" t="n">
        <v>3.81</v>
      </c>
      <c r="P1677" t="n">
        <v>5</v>
      </c>
      <c r="Q1677" t="n">
        <v>1</v>
      </c>
      <c r="R1677" t="n">
        <v>2022.1</v>
      </c>
      <c r="S1677" t="b">
        <v>0</v>
      </c>
      <c r="T1677" t="n">
        <v>1261039</v>
      </c>
      <c r="U1677" t="n">
        <v>6</v>
      </c>
      <c r="V1677" t="n">
        <v>0.07920000000000001</v>
      </c>
      <c r="W1677" t="n">
        <v>1.4</v>
      </c>
      <c r="X1677" t="n">
        <v>70.17</v>
      </c>
      <c r="Y1677">
        <f>VLOOKUP(D1677,$AB$2:$AC$7,2,FALSE)</f>
        <v/>
      </c>
      <c r="Z1677">
        <f>IF(A1677&lt;Y1677,"Yes","No")</f>
        <v/>
      </c>
    </row>
    <row r="1678">
      <c r="A1678" t="n">
        <v>2017</v>
      </c>
      <c r="B1678" t="inlineStr">
        <is>
          <t>Q3</t>
        </is>
      </c>
      <c r="C1678" t="inlineStr">
        <is>
          <t>Australia</t>
        </is>
      </c>
      <c r="D1678" t="inlineStr">
        <is>
          <t>Cybertruck</t>
        </is>
      </c>
      <c r="E1678" t="n">
        <v>1143</v>
      </c>
      <c r="F1678" t="n">
        <v>69206.42</v>
      </c>
      <c r="G1678" t="n">
        <v>34</v>
      </c>
      <c r="H1678" t="inlineStr">
        <is>
          <t>Performance</t>
        </is>
      </c>
      <c r="I1678" t="inlineStr">
        <is>
          <t>AWD</t>
        </is>
      </c>
      <c r="J1678" t="inlineStr">
        <is>
          <t>Green</t>
        </is>
      </c>
      <c r="K1678" t="n">
        <v>453</v>
      </c>
      <c r="L1678" t="n">
        <v>81</v>
      </c>
      <c r="M1678" t="n">
        <v>14.99</v>
      </c>
      <c r="N1678" t="n">
        <v>1187.22</v>
      </c>
      <c r="O1678" t="n">
        <v>4.52</v>
      </c>
      <c r="P1678" t="n">
        <v>5</v>
      </c>
      <c r="Q1678" t="n">
        <v>3</v>
      </c>
      <c r="R1678" t="n">
        <v>2020.7</v>
      </c>
      <c r="S1678" t="b">
        <v>1</v>
      </c>
      <c r="T1678" t="n">
        <v>4506827</v>
      </c>
      <c r="U1678" t="n">
        <v>12</v>
      </c>
      <c r="V1678" t="n">
        <v>0.0451</v>
      </c>
      <c r="W1678" t="n">
        <v>0.82</v>
      </c>
      <c r="X1678" t="n">
        <v>87.89</v>
      </c>
      <c r="Y1678">
        <f>VLOOKUP(D1678,$AB$2:$AC$7,2,FALSE)</f>
        <v/>
      </c>
      <c r="Z1678">
        <f>IF(A1678&lt;Y1678,"Yes","No")</f>
        <v/>
      </c>
    </row>
    <row r="1679">
      <c r="A1679" t="n">
        <v>2020</v>
      </c>
      <c r="B1679" t="inlineStr">
        <is>
          <t>Q4</t>
        </is>
      </c>
      <c r="C1679" t="inlineStr">
        <is>
          <t>South America</t>
        </is>
      </c>
      <c r="D1679" t="inlineStr">
        <is>
          <t>Model Y</t>
        </is>
      </c>
      <c r="E1679" t="n">
        <v>2105</v>
      </c>
      <c r="F1679" t="n">
        <v>75919.13</v>
      </c>
      <c r="G1679" t="n">
        <v>46</v>
      </c>
      <c r="H1679" t="inlineStr">
        <is>
          <t>Standard</t>
        </is>
      </c>
      <c r="I1679" t="inlineStr">
        <is>
          <t>AWD</t>
        </is>
      </c>
      <c r="J1679" t="inlineStr">
        <is>
          <t>Green</t>
        </is>
      </c>
      <c r="K1679" t="n">
        <v>590</v>
      </c>
      <c r="L1679" t="n">
        <v>31</v>
      </c>
      <c r="M1679" t="n">
        <v>15.51</v>
      </c>
      <c r="N1679" t="n">
        <v>3395.4</v>
      </c>
      <c r="O1679" t="n">
        <v>4.48</v>
      </c>
      <c r="P1679" t="n">
        <v>6</v>
      </c>
      <c r="Q1679" t="n">
        <v>3</v>
      </c>
      <c r="R1679" t="n">
        <v>2024.8</v>
      </c>
      <c r="S1679" t="b">
        <v>1</v>
      </c>
      <c r="T1679" t="n">
        <v>3566241</v>
      </c>
      <c r="U1679" t="n">
        <v>10</v>
      </c>
      <c r="V1679" t="n">
        <v>0.0186</v>
      </c>
      <c r="W1679" t="n">
        <v>2.48</v>
      </c>
      <c r="X1679" t="n">
        <v>65.68000000000001</v>
      </c>
      <c r="Y1679">
        <f>VLOOKUP(D1679,$AB$2:$AC$7,2,FALSE)</f>
        <v/>
      </c>
      <c r="Z1679">
        <f>IF(A1679&lt;Y1679,"Yes","No")</f>
        <v/>
      </c>
    </row>
    <row r="1680">
      <c r="A1680" t="n">
        <v>2013</v>
      </c>
      <c r="B1680" t="inlineStr">
        <is>
          <t>Q2</t>
        </is>
      </c>
      <c r="C1680" t="inlineStr">
        <is>
          <t>Europe</t>
        </is>
      </c>
      <c r="D1680" t="inlineStr">
        <is>
          <t>Semi</t>
        </is>
      </c>
      <c r="E1680" t="n">
        <v>4735</v>
      </c>
      <c r="F1680" t="n">
        <v>115870.91</v>
      </c>
      <c r="G1680" t="n">
        <v>5</v>
      </c>
      <c r="H1680" t="inlineStr">
        <is>
          <t>Performance</t>
        </is>
      </c>
      <c r="I1680" t="inlineStr">
        <is>
          <t>AWD</t>
        </is>
      </c>
      <c r="J1680" t="inlineStr">
        <is>
          <t>Green</t>
        </is>
      </c>
      <c r="K1680" t="n">
        <v>464</v>
      </c>
      <c r="L1680" t="n">
        <v>38</v>
      </c>
      <c r="M1680" t="n">
        <v>19.13</v>
      </c>
      <c r="N1680" t="n">
        <v>8970.049999999999</v>
      </c>
      <c r="O1680" t="n">
        <v>4.8</v>
      </c>
      <c r="P1680" t="n">
        <v>8</v>
      </c>
      <c r="Q1680" t="n">
        <v>1</v>
      </c>
      <c r="R1680" t="n">
        <v>2022.4</v>
      </c>
      <c r="S1680" t="b">
        <v>0</v>
      </c>
      <c r="T1680" t="n">
        <v>895182</v>
      </c>
      <c r="U1680" t="n">
        <v>10</v>
      </c>
      <c r="V1680" t="n">
        <v>0.0424</v>
      </c>
      <c r="W1680" t="n">
        <v>1.18</v>
      </c>
      <c r="X1680" t="n">
        <v>68.34999999999999</v>
      </c>
      <c r="Y1680">
        <f>VLOOKUP(D1680,$AB$2:$AC$7,2,FALSE)</f>
        <v/>
      </c>
      <c r="Z1680">
        <f>IF(A1680&lt;Y1680,"Yes","No")</f>
        <v/>
      </c>
    </row>
    <row r="1681">
      <c r="A1681" t="n">
        <v>2020</v>
      </c>
      <c r="B1681" t="inlineStr">
        <is>
          <t>Q2</t>
        </is>
      </c>
      <c r="C1681" t="inlineStr">
        <is>
          <t>Asia</t>
        </is>
      </c>
      <c r="D1681" t="inlineStr">
        <is>
          <t>Cybertruck</t>
        </is>
      </c>
      <c r="E1681" t="n">
        <v>4390</v>
      </c>
      <c r="F1681" t="n">
        <v>110464.44</v>
      </c>
      <c r="G1681" t="n">
        <v>58</v>
      </c>
      <c r="H1681" t="inlineStr">
        <is>
          <t>Standard</t>
        </is>
      </c>
      <c r="I1681" t="inlineStr">
        <is>
          <t>AWD</t>
        </is>
      </c>
      <c r="J1681" t="inlineStr">
        <is>
          <t>White</t>
        </is>
      </c>
      <c r="K1681" t="n">
        <v>351</v>
      </c>
      <c r="L1681" t="n">
        <v>33</v>
      </c>
      <c r="M1681" t="n">
        <v>23.69</v>
      </c>
      <c r="N1681" t="n">
        <v>5243.03</v>
      </c>
      <c r="O1681" t="n">
        <v>3.84</v>
      </c>
      <c r="P1681" t="n">
        <v>5</v>
      </c>
      <c r="Q1681" t="n">
        <v>1</v>
      </c>
      <c r="R1681" t="n">
        <v>2024.3</v>
      </c>
      <c r="S1681" t="b">
        <v>0</v>
      </c>
      <c r="T1681" t="n">
        <v>4083275</v>
      </c>
      <c r="U1681" t="n">
        <v>5</v>
      </c>
      <c r="V1681" t="n">
        <v>0.0394</v>
      </c>
      <c r="W1681" t="n">
        <v>1.11</v>
      </c>
      <c r="X1681" t="n">
        <v>78.37</v>
      </c>
      <c r="Y1681">
        <f>VLOOKUP(D1681,$AB$2:$AC$7,2,FALSE)</f>
        <v/>
      </c>
      <c r="Z1681">
        <f>IF(A1681&lt;Y1681,"Yes","No")</f>
        <v/>
      </c>
    </row>
    <row r="1682">
      <c r="A1682" t="n">
        <v>2016</v>
      </c>
      <c r="B1682" t="inlineStr">
        <is>
          <t>Q4</t>
        </is>
      </c>
      <c r="C1682" t="inlineStr">
        <is>
          <t>South America</t>
        </is>
      </c>
      <c r="D1682" t="inlineStr">
        <is>
          <t>Cybertruck</t>
        </is>
      </c>
      <c r="E1682" t="n">
        <v>3165</v>
      </c>
      <c r="F1682" t="n">
        <v>65624.61</v>
      </c>
      <c r="G1682" t="n">
        <v>6</v>
      </c>
      <c r="H1682" t="inlineStr">
        <is>
          <t>Long Range</t>
        </is>
      </c>
      <c r="I1682" t="inlineStr">
        <is>
          <t>RWD</t>
        </is>
      </c>
      <c r="J1682" t="inlineStr">
        <is>
          <t>Green</t>
        </is>
      </c>
      <c r="K1682" t="n">
        <v>421</v>
      </c>
      <c r="L1682" t="n">
        <v>35</v>
      </c>
      <c r="M1682" t="n">
        <v>15.34</v>
      </c>
      <c r="N1682" t="n">
        <v>6516.49</v>
      </c>
      <c r="O1682" t="n">
        <v>4.69</v>
      </c>
      <c r="P1682" t="n">
        <v>4</v>
      </c>
      <c r="Q1682" t="n">
        <v>3</v>
      </c>
      <c r="R1682" t="n">
        <v>2021.9</v>
      </c>
      <c r="S1682" t="b">
        <v>0</v>
      </c>
      <c r="T1682" t="n">
        <v>4598364</v>
      </c>
      <c r="U1682" t="n">
        <v>7</v>
      </c>
      <c r="V1682" t="n">
        <v>0.0447</v>
      </c>
      <c r="W1682" t="n">
        <v>2.42</v>
      </c>
      <c r="X1682" t="n">
        <v>66.31</v>
      </c>
      <c r="Y1682">
        <f>VLOOKUP(D1682,$AB$2:$AC$7,2,FALSE)</f>
        <v/>
      </c>
      <c r="Z1682">
        <f>IF(A1682&lt;Y1682,"Yes","No")</f>
        <v/>
      </c>
    </row>
    <row r="1683">
      <c r="A1683" t="n">
        <v>2019</v>
      </c>
      <c r="B1683" t="inlineStr">
        <is>
          <t>Q4</t>
        </is>
      </c>
      <c r="C1683" t="inlineStr">
        <is>
          <t>North America</t>
        </is>
      </c>
      <c r="D1683" t="inlineStr">
        <is>
          <t>Semi</t>
        </is>
      </c>
      <c r="E1683" t="n">
        <v>4341</v>
      </c>
      <c r="F1683" t="n">
        <v>105040.47</v>
      </c>
      <c r="G1683" t="n">
        <v>60</v>
      </c>
      <c r="H1683" t="inlineStr">
        <is>
          <t>Performance</t>
        </is>
      </c>
      <c r="I1683" t="inlineStr">
        <is>
          <t>AWD</t>
        </is>
      </c>
      <c r="J1683" t="inlineStr">
        <is>
          <t>Black</t>
        </is>
      </c>
      <c r="K1683" t="n">
        <v>360</v>
      </c>
      <c r="L1683" t="n">
        <v>66</v>
      </c>
      <c r="M1683" t="n">
        <v>15.04</v>
      </c>
      <c r="N1683" t="n">
        <v>5309.05</v>
      </c>
      <c r="O1683" t="n">
        <v>4.16</v>
      </c>
      <c r="P1683" t="n">
        <v>6</v>
      </c>
      <c r="Q1683" t="n">
        <v>3</v>
      </c>
      <c r="R1683" t="n">
        <v>2023.11</v>
      </c>
      <c r="S1683" t="b">
        <v>1</v>
      </c>
      <c r="T1683" t="n">
        <v>3396149</v>
      </c>
      <c r="U1683" t="n">
        <v>5</v>
      </c>
      <c r="V1683" t="n">
        <v>0.017</v>
      </c>
      <c r="W1683" t="n">
        <v>0.9</v>
      </c>
      <c r="X1683" t="n">
        <v>60.49</v>
      </c>
      <c r="Y1683">
        <f>VLOOKUP(D1683,$AB$2:$AC$7,2,FALSE)</f>
        <v/>
      </c>
      <c r="Z1683">
        <f>IF(A1683&lt;Y1683,"Yes","No")</f>
        <v/>
      </c>
    </row>
    <row r="1684">
      <c r="A1684" t="n">
        <v>2020</v>
      </c>
      <c r="B1684" t="inlineStr">
        <is>
          <t>Q3</t>
        </is>
      </c>
      <c r="C1684" t="inlineStr">
        <is>
          <t>Australia</t>
        </is>
      </c>
      <c r="D1684" t="inlineStr">
        <is>
          <t>Model S</t>
        </is>
      </c>
      <c r="E1684" t="n">
        <v>894</v>
      </c>
      <c r="F1684" t="n">
        <v>74872.61</v>
      </c>
      <c r="G1684" t="n">
        <v>47</v>
      </c>
      <c r="H1684" t="inlineStr">
        <is>
          <t>Long Range</t>
        </is>
      </c>
      <c r="I1684" t="inlineStr">
        <is>
          <t>AWD</t>
        </is>
      </c>
      <c r="J1684" t="inlineStr">
        <is>
          <t>Silver</t>
        </is>
      </c>
      <c r="K1684" t="n">
        <v>357</v>
      </c>
      <c r="L1684" t="n">
        <v>45</v>
      </c>
      <c r="M1684" t="n">
        <v>24.34</v>
      </c>
      <c r="N1684" t="n">
        <v>1700.39</v>
      </c>
      <c r="O1684" t="n">
        <v>4.11</v>
      </c>
      <c r="P1684" t="n">
        <v>4</v>
      </c>
      <c r="Q1684" t="n">
        <v>2</v>
      </c>
      <c r="R1684" t="n">
        <v>2023.5</v>
      </c>
      <c r="S1684" t="b">
        <v>1</v>
      </c>
      <c r="T1684" t="n">
        <v>857532</v>
      </c>
      <c r="U1684" t="n">
        <v>8</v>
      </c>
      <c r="V1684" t="n">
        <v>0.08260000000000001</v>
      </c>
      <c r="W1684" t="n">
        <v>0.98</v>
      </c>
      <c r="X1684" t="n">
        <v>85.59999999999999</v>
      </c>
      <c r="Y1684">
        <f>VLOOKUP(D1684,$AB$2:$AC$7,2,FALSE)</f>
        <v/>
      </c>
      <c r="Z1684">
        <f>IF(A1684&lt;Y1684,"Yes","No")</f>
        <v/>
      </c>
    </row>
    <row r="1685">
      <c r="A1685" t="n">
        <v>2023</v>
      </c>
      <c r="B1685" t="inlineStr">
        <is>
          <t>Q2</t>
        </is>
      </c>
      <c r="C1685" t="inlineStr">
        <is>
          <t>North America</t>
        </is>
      </c>
      <c r="D1685" t="inlineStr">
        <is>
          <t>Model 3</t>
        </is>
      </c>
      <c r="E1685" t="n">
        <v>828</v>
      </c>
      <c r="F1685" t="n">
        <v>40190.36</v>
      </c>
      <c r="G1685" t="n">
        <v>60</v>
      </c>
      <c r="H1685" t="inlineStr">
        <is>
          <t>Performance</t>
        </is>
      </c>
      <c r="I1685" t="inlineStr">
        <is>
          <t>AWD</t>
        </is>
      </c>
      <c r="J1685" t="inlineStr">
        <is>
          <t>Blue</t>
        </is>
      </c>
      <c r="K1685" t="n">
        <v>560</v>
      </c>
      <c r="L1685" t="n">
        <v>45</v>
      </c>
      <c r="M1685" t="n">
        <v>22.22</v>
      </c>
      <c r="N1685" t="n">
        <v>1128.62</v>
      </c>
      <c r="O1685" t="n">
        <v>4.98</v>
      </c>
      <c r="P1685" t="n">
        <v>5</v>
      </c>
      <c r="Q1685" t="n">
        <v>2</v>
      </c>
      <c r="R1685" t="n">
        <v>2022.6</v>
      </c>
      <c r="S1685" t="b">
        <v>0</v>
      </c>
      <c r="T1685" t="n">
        <v>707088</v>
      </c>
      <c r="U1685" t="n">
        <v>6</v>
      </c>
      <c r="V1685" t="n">
        <v>0.0775</v>
      </c>
      <c r="W1685" t="n">
        <v>1.57</v>
      </c>
      <c r="X1685" t="n">
        <v>69.94</v>
      </c>
      <c r="Y1685">
        <f>VLOOKUP(D1685,$AB$2:$AC$7,2,FALSE)</f>
        <v/>
      </c>
      <c r="Z1685">
        <f>IF(A1685&lt;Y1685,"Yes","No")</f>
        <v/>
      </c>
    </row>
    <row r="1686">
      <c r="A1686" t="n">
        <v>2021</v>
      </c>
      <c r="B1686" t="inlineStr">
        <is>
          <t>Q4</t>
        </is>
      </c>
      <c r="C1686" t="inlineStr">
        <is>
          <t>Europe</t>
        </is>
      </c>
      <c r="D1686" t="inlineStr">
        <is>
          <t>Model 3</t>
        </is>
      </c>
      <c r="E1686" t="n">
        <v>4759</v>
      </c>
      <c r="F1686" t="n">
        <v>64919.6</v>
      </c>
      <c r="G1686" t="n">
        <v>48</v>
      </c>
      <c r="H1686" t="inlineStr">
        <is>
          <t>Standard</t>
        </is>
      </c>
      <c r="I1686" t="inlineStr">
        <is>
          <t>AWD</t>
        </is>
      </c>
      <c r="J1686" t="inlineStr">
        <is>
          <t>Silver</t>
        </is>
      </c>
      <c r="K1686" t="n">
        <v>509</v>
      </c>
      <c r="L1686" t="n">
        <v>63</v>
      </c>
      <c r="M1686" t="n">
        <v>18.12</v>
      </c>
      <c r="N1686" t="n">
        <v>2725.81</v>
      </c>
      <c r="O1686" t="n">
        <v>4.6</v>
      </c>
      <c r="P1686" t="n">
        <v>8</v>
      </c>
      <c r="Q1686" t="n">
        <v>0</v>
      </c>
      <c r="R1686" t="n">
        <v>2020.3</v>
      </c>
      <c r="S1686" t="b">
        <v>0</v>
      </c>
      <c r="T1686" t="n">
        <v>151399</v>
      </c>
      <c r="U1686" t="n">
        <v>6</v>
      </c>
      <c r="V1686" t="n">
        <v>0.0477</v>
      </c>
      <c r="W1686" t="n">
        <v>0.54</v>
      </c>
      <c r="X1686" t="n">
        <v>63.12</v>
      </c>
      <c r="Y1686">
        <f>VLOOKUP(D1686,$AB$2:$AC$7,2,FALSE)</f>
        <v/>
      </c>
      <c r="Z1686">
        <f>IF(A1686&lt;Y1686,"Yes","No")</f>
        <v/>
      </c>
    </row>
    <row r="1687">
      <c r="A1687" t="n">
        <v>2016</v>
      </c>
      <c r="B1687" t="inlineStr">
        <is>
          <t>Q3</t>
        </is>
      </c>
      <c r="C1687" t="inlineStr">
        <is>
          <t>Europe</t>
        </is>
      </c>
      <c r="D1687" t="inlineStr">
        <is>
          <t>Cybertruck</t>
        </is>
      </c>
      <c r="E1687" t="n">
        <v>917</v>
      </c>
      <c r="F1687" t="n">
        <v>112266.21</v>
      </c>
      <c r="G1687" t="n">
        <v>46</v>
      </c>
      <c r="H1687" t="inlineStr">
        <is>
          <t>Long Range</t>
        </is>
      </c>
      <c r="I1687" t="inlineStr">
        <is>
          <t>AWD</t>
        </is>
      </c>
      <c r="J1687" t="inlineStr">
        <is>
          <t>White</t>
        </is>
      </c>
      <c r="K1687" t="n">
        <v>492</v>
      </c>
      <c r="L1687" t="n">
        <v>34</v>
      </c>
      <c r="M1687" t="n">
        <v>24.57</v>
      </c>
      <c r="N1687" t="n">
        <v>1222.2</v>
      </c>
      <c r="O1687" t="n">
        <v>4.44</v>
      </c>
      <c r="P1687" t="n">
        <v>6</v>
      </c>
      <c r="Q1687" t="n">
        <v>2</v>
      </c>
      <c r="R1687" t="n">
        <v>2023.4</v>
      </c>
      <c r="S1687" t="b">
        <v>1</v>
      </c>
      <c r="T1687" t="n">
        <v>738817</v>
      </c>
      <c r="U1687" t="n">
        <v>8</v>
      </c>
      <c r="V1687" t="n">
        <v>0.0414</v>
      </c>
      <c r="W1687" t="n">
        <v>2.25</v>
      </c>
      <c r="X1687" t="n">
        <v>87.34</v>
      </c>
      <c r="Y1687">
        <f>VLOOKUP(D1687,$AB$2:$AC$7,2,FALSE)</f>
        <v/>
      </c>
      <c r="Z1687">
        <f>IF(A1687&lt;Y1687,"Yes","No")</f>
        <v/>
      </c>
    </row>
    <row r="1688">
      <c r="A1688" t="n">
        <v>2016</v>
      </c>
      <c r="B1688" t="inlineStr">
        <is>
          <t>Q2</t>
        </is>
      </c>
      <c r="C1688" t="inlineStr">
        <is>
          <t>Europe</t>
        </is>
      </c>
      <c r="D1688" t="inlineStr">
        <is>
          <t>Cybertruck</t>
        </is>
      </c>
      <c r="E1688" t="n">
        <v>4737</v>
      </c>
      <c r="F1688" t="n">
        <v>51578.58</v>
      </c>
      <c r="G1688" t="n">
        <v>17</v>
      </c>
      <c r="H1688" t="inlineStr">
        <is>
          <t>Performance</t>
        </is>
      </c>
      <c r="I1688" t="inlineStr">
        <is>
          <t>RWD</t>
        </is>
      </c>
      <c r="J1688" t="inlineStr">
        <is>
          <t>Red</t>
        </is>
      </c>
      <c r="K1688" t="n">
        <v>585</v>
      </c>
      <c r="L1688" t="n">
        <v>34</v>
      </c>
      <c r="M1688" t="n">
        <v>22.6</v>
      </c>
      <c r="N1688" t="n">
        <v>8453.07</v>
      </c>
      <c r="O1688" t="n">
        <v>3.52</v>
      </c>
      <c r="P1688" t="n">
        <v>8</v>
      </c>
      <c r="Q1688" t="n">
        <v>1</v>
      </c>
      <c r="R1688" t="n">
        <v>2024.9</v>
      </c>
      <c r="S1688" t="b">
        <v>0</v>
      </c>
      <c r="T1688" t="n">
        <v>301143</v>
      </c>
      <c r="U1688" t="n">
        <v>4</v>
      </c>
      <c r="V1688" t="n">
        <v>0.0319</v>
      </c>
      <c r="W1688" t="n">
        <v>1.82</v>
      </c>
      <c r="X1688" t="n">
        <v>89.70999999999999</v>
      </c>
      <c r="Y1688">
        <f>VLOOKUP(D1688,$AB$2:$AC$7,2,FALSE)</f>
        <v/>
      </c>
      <c r="Z1688">
        <f>IF(A1688&lt;Y1688,"Yes","No")</f>
        <v/>
      </c>
    </row>
    <row r="1689">
      <c r="A1689" t="n">
        <v>2022</v>
      </c>
      <c r="B1689" t="inlineStr">
        <is>
          <t>Q1</t>
        </is>
      </c>
      <c r="C1689" t="inlineStr">
        <is>
          <t>Australia</t>
        </is>
      </c>
      <c r="D1689" t="inlineStr">
        <is>
          <t>Model Y</t>
        </is>
      </c>
      <c r="E1689" t="n">
        <v>3691</v>
      </c>
      <c r="F1689" t="n">
        <v>43014.3</v>
      </c>
      <c r="G1689" t="n">
        <v>34</v>
      </c>
      <c r="H1689" t="inlineStr">
        <is>
          <t>Long Range</t>
        </is>
      </c>
      <c r="I1689" t="inlineStr">
        <is>
          <t>AWD</t>
        </is>
      </c>
      <c r="J1689" t="inlineStr">
        <is>
          <t>Black</t>
        </is>
      </c>
      <c r="K1689" t="n">
        <v>686</v>
      </c>
      <c r="L1689" t="n">
        <v>42</v>
      </c>
      <c r="M1689" t="n">
        <v>22.31</v>
      </c>
      <c r="N1689" t="n">
        <v>5533.67</v>
      </c>
      <c r="O1689" t="n">
        <v>3.62</v>
      </c>
      <c r="P1689" t="n">
        <v>8</v>
      </c>
      <c r="Q1689" t="n">
        <v>2</v>
      </c>
      <c r="R1689" t="n">
        <v>2022.5</v>
      </c>
      <c r="S1689" t="b">
        <v>1</v>
      </c>
      <c r="T1689" t="n">
        <v>1531973</v>
      </c>
      <c r="U1689" t="n">
        <v>11</v>
      </c>
      <c r="V1689" t="n">
        <v>0.0927</v>
      </c>
      <c r="W1689" t="n">
        <v>2.23</v>
      </c>
      <c r="X1689" t="n">
        <v>80.84999999999999</v>
      </c>
      <c r="Y1689">
        <f>VLOOKUP(D1689,$AB$2:$AC$7,2,FALSE)</f>
        <v/>
      </c>
      <c r="Z1689">
        <f>IF(A1689&lt;Y1689,"Yes","No")</f>
        <v/>
      </c>
    </row>
    <row r="1690">
      <c r="A1690" t="n">
        <v>2016</v>
      </c>
      <c r="B1690" t="inlineStr">
        <is>
          <t>Q2</t>
        </is>
      </c>
      <c r="C1690" t="inlineStr">
        <is>
          <t>Europe</t>
        </is>
      </c>
      <c r="D1690" t="inlineStr">
        <is>
          <t>Model S</t>
        </is>
      </c>
      <c r="E1690" t="n">
        <v>1523</v>
      </c>
      <c r="F1690" t="n">
        <v>78149.85000000001</v>
      </c>
      <c r="G1690" t="n">
        <v>42</v>
      </c>
      <c r="H1690" t="inlineStr">
        <is>
          <t>Performance</t>
        </is>
      </c>
      <c r="I1690" t="inlineStr">
        <is>
          <t>AWD</t>
        </is>
      </c>
      <c r="J1690" t="inlineStr">
        <is>
          <t>White</t>
        </is>
      </c>
      <c r="K1690" t="n">
        <v>684</v>
      </c>
      <c r="L1690" t="n">
        <v>41</v>
      </c>
      <c r="M1690" t="n">
        <v>13.57</v>
      </c>
      <c r="N1690" t="n">
        <v>2548.01</v>
      </c>
      <c r="O1690" t="n">
        <v>5</v>
      </c>
      <c r="P1690" t="n">
        <v>6</v>
      </c>
      <c r="Q1690" t="n">
        <v>1</v>
      </c>
      <c r="R1690" t="n">
        <v>2020.8</v>
      </c>
      <c r="S1690" t="b">
        <v>0</v>
      </c>
      <c r="T1690" t="n">
        <v>4693125</v>
      </c>
      <c r="U1690" t="n">
        <v>2</v>
      </c>
      <c r="V1690" t="n">
        <v>0.0208</v>
      </c>
      <c r="W1690" t="n">
        <v>2.13</v>
      </c>
      <c r="X1690" t="n">
        <v>72.51000000000001</v>
      </c>
      <c r="Y1690">
        <f>VLOOKUP(D1690,$AB$2:$AC$7,2,FALSE)</f>
        <v/>
      </c>
      <c r="Z1690">
        <f>IF(A1690&lt;Y1690,"Yes","No")</f>
        <v/>
      </c>
    </row>
    <row r="1691">
      <c r="A1691" t="n">
        <v>2018</v>
      </c>
      <c r="B1691" t="inlineStr">
        <is>
          <t>Q2</t>
        </is>
      </c>
      <c r="C1691" t="inlineStr">
        <is>
          <t>Asia</t>
        </is>
      </c>
      <c r="D1691" t="inlineStr">
        <is>
          <t>Model S</t>
        </is>
      </c>
      <c r="E1691" t="n">
        <v>2733</v>
      </c>
      <c r="F1691" t="n">
        <v>99535.7</v>
      </c>
      <c r="G1691" t="n">
        <v>30</v>
      </c>
      <c r="H1691" t="inlineStr">
        <is>
          <t>Performance</t>
        </is>
      </c>
      <c r="I1691" t="inlineStr">
        <is>
          <t>AWD</t>
        </is>
      </c>
      <c r="J1691" t="inlineStr">
        <is>
          <t>Green</t>
        </is>
      </c>
      <c r="K1691" t="n">
        <v>419</v>
      </c>
      <c r="L1691" t="n">
        <v>47</v>
      </c>
      <c r="M1691" t="n">
        <v>22</v>
      </c>
      <c r="N1691" t="n">
        <v>4646.88</v>
      </c>
      <c r="O1691" t="n">
        <v>3.85</v>
      </c>
      <c r="P1691" t="n">
        <v>6</v>
      </c>
      <c r="Q1691" t="n">
        <v>1</v>
      </c>
      <c r="R1691" t="n">
        <v>2020.4</v>
      </c>
      <c r="S1691" t="b">
        <v>1</v>
      </c>
      <c r="T1691" t="n">
        <v>3164985</v>
      </c>
      <c r="U1691" t="n">
        <v>2</v>
      </c>
      <c r="V1691" t="n">
        <v>0.07679999999999999</v>
      </c>
      <c r="W1691" t="n">
        <v>0.84</v>
      </c>
      <c r="X1691" t="n">
        <v>67.52</v>
      </c>
      <c r="Y1691">
        <f>VLOOKUP(D1691,$AB$2:$AC$7,2,FALSE)</f>
        <v/>
      </c>
      <c r="Z1691">
        <f>IF(A1691&lt;Y1691,"Yes","No")</f>
        <v/>
      </c>
    </row>
    <row r="1692">
      <c r="A1692" t="n">
        <v>2018</v>
      </c>
      <c r="B1692" t="inlineStr">
        <is>
          <t>Q2</t>
        </is>
      </c>
      <c r="C1692" t="inlineStr">
        <is>
          <t>Europe</t>
        </is>
      </c>
      <c r="D1692" t="inlineStr">
        <is>
          <t>Cybertruck</t>
        </is>
      </c>
      <c r="E1692" t="n">
        <v>1937</v>
      </c>
      <c r="F1692" t="n">
        <v>77995.41</v>
      </c>
      <c r="G1692" t="n">
        <v>18</v>
      </c>
      <c r="H1692" t="inlineStr">
        <is>
          <t>Long Range</t>
        </is>
      </c>
      <c r="I1692" t="inlineStr">
        <is>
          <t>AWD</t>
        </is>
      </c>
      <c r="J1692" t="inlineStr">
        <is>
          <t>Green</t>
        </is>
      </c>
      <c r="K1692" t="n">
        <v>468</v>
      </c>
      <c r="L1692" t="n">
        <v>60</v>
      </c>
      <c r="M1692" t="n">
        <v>20.71</v>
      </c>
      <c r="N1692" t="n">
        <v>2342.92</v>
      </c>
      <c r="O1692" t="n">
        <v>3.82</v>
      </c>
      <c r="P1692" t="n">
        <v>6</v>
      </c>
      <c r="Q1692" t="n">
        <v>1</v>
      </c>
      <c r="R1692" t="n">
        <v>2024.6</v>
      </c>
      <c r="S1692" t="b">
        <v>1</v>
      </c>
      <c r="T1692" t="n">
        <v>1702872</v>
      </c>
      <c r="U1692" t="n">
        <v>5</v>
      </c>
      <c r="V1692" t="n">
        <v>0.0987</v>
      </c>
      <c r="W1692" t="n">
        <v>1.55</v>
      </c>
      <c r="X1692" t="n">
        <v>79.22</v>
      </c>
      <c r="Y1692">
        <f>VLOOKUP(D1692,$AB$2:$AC$7,2,FALSE)</f>
        <v/>
      </c>
      <c r="Z1692">
        <f>IF(A1692&lt;Y1692,"Yes","No")</f>
        <v/>
      </c>
    </row>
    <row r="1693">
      <c r="A1693" t="n">
        <v>2013</v>
      </c>
      <c r="B1693" t="inlineStr">
        <is>
          <t>Q3</t>
        </is>
      </c>
      <c r="C1693" t="inlineStr">
        <is>
          <t>South America</t>
        </is>
      </c>
      <c r="D1693" t="inlineStr">
        <is>
          <t>Model Y</t>
        </is>
      </c>
      <c r="E1693" t="n">
        <v>2063</v>
      </c>
      <c r="F1693" t="n">
        <v>105506.51</v>
      </c>
      <c r="G1693" t="n">
        <v>37</v>
      </c>
      <c r="H1693" t="inlineStr">
        <is>
          <t>Performance</t>
        </is>
      </c>
      <c r="I1693" t="inlineStr">
        <is>
          <t>AWD</t>
        </is>
      </c>
      <c r="J1693" t="inlineStr">
        <is>
          <t>Silver</t>
        </is>
      </c>
      <c r="K1693" t="n">
        <v>513</v>
      </c>
      <c r="L1693" t="n">
        <v>81</v>
      </c>
      <c r="M1693" t="n">
        <v>13.24</v>
      </c>
      <c r="N1693" t="n">
        <v>5052.69</v>
      </c>
      <c r="O1693" t="n">
        <v>4.63</v>
      </c>
      <c r="P1693" t="n">
        <v>6</v>
      </c>
      <c r="Q1693" t="n">
        <v>3</v>
      </c>
      <c r="R1693" t="n">
        <v>2020.6</v>
      </c>
      <c r="S1693" t="b">
        <v>1</v>
      </c>
      <c r="T1693" t="n">
        <v>2742017</v>
      </c>
      <c r="U1693" t="n">
        <v>3</v>
      </c>
      <c r="V1693" t="n">
        <v>0.0601</v>
      </c>
      <c r="W1693" t="n">
        <v>2.32</v>
      </c>
      <c r="X1693" t="n">
        <v>74</v>
      </c>
      <c r="Y1693">
        <f>VLOOKUP(D1693,$AB$2:$AC$7,2,FALSE)</f>
        <v/>
      </c>
      <c r="Z1693">
        <f>IF(A1693&lt;Y1693,"Yes","No")</f>
        <v/>
      </c>
    </row>
    <row r="1694">
      <c r="A1694" t="n">
        <v>2014</v>
      </c>
      <c r="B1694" t="inlineStr">
        <is>
          <t>Q1</t>
        </is>
      </c>
      <c r="C1694" t="inlineStr">
        <is>
          <t>North America</t>
        </is>
      </c>
      <c r="D1694" t="inlineStr">
        <is>
          <t>Cybertruck</t>
        </is>
      </c>
      <c r="E1694" t="n">
        <v>475</v>
      </c>
      <c r="F1694" t="n">
        <v>76080.71000000001</v>
      </c>
      <c r="G1694" t="n">
        <v>18</v>
      </c>
      <c r="H1694" t="inlineStr">
        <is>
          <t>Long Range</t>
        </is>
      </c>
      <c r="I1694" t="inlineStr">
        <is>
          <t>RWD</t>
        </is>
      </c>
      <c r="J1694" t="inlineStr">
        <is>
          <t>Silver</t>
        </is>
      </c>
      <c r="K1694" t="n">
        <v>468</v>
      </c>
      <c r="L1694" t="n">
        <v>66</v>
      </c>
      <c r="M1694" t="n">
        <v>14.29</v>
      </c>
      <c r="N1694" t="n">
        <v>305.64</v>
      </c>
      <c r="O1694" t="n">
        <v>3.69</v>
      </c>
      <c r="P1694" t="n">
        <v>6</v>
      </c>
      <c r="Q1694" t="n">
        <v>0</v>
      </c>
      <c r="R1694" t="n">
        <v>2020.4</v>
      </c>
      <c r="S1694" t="b">
        <v>0</v>
      </c>
      <c r="T1694" t="n">
        <v>3090914</v>
      </c>
      <c r="U1694" t="n">
        <v>8</v>
      </c>
      <c r="V1694" t="n">
        <v>0.0575</v>
      </c>
      <c r="W1694" t="n">
        <v>2.28</v>
      </c>
      <c r="X1694" t="n">
        <v>80.63</v>
      </c>
      <c r="Y1694">
        <f>VLOOKUP(D1694,$AB$2:$AC$7,2,FALSE)</f>
        <v/>
      </c>
      <c r="Z1694">
        <f>IF(A1694&lt;Y1694,"Yes","No")</f>
        <v/>
      </c>
    </row>
    <row r="1695">
      <c r="A1695" t="n">
        <v>2020</v>
      </c>
      <c r="B1695" t="inlineStr">
        <is>
          <t>Q4</t>
        </is>
      </c>
      <c r="C1695" t="inlineStr">
        <is>
          <t>Asia</t>
        </is>
      </c>
      <c r="D1695" t="inlineStr">
        <is>
          <t>Semi</t>
        </is>
      </c>
      <c r="E1695" t="n">
        <v>4037</v>
      </c>
      <c r="F1695" t="n">
        <v>99116.53</v>
      </c>
      <c r="G1695" t="n">
        <v>30</v>
      </c>
      <c r="H1695" t="inlineStr">
        <is>
          <t>Long Range</t>
        </is>
      </c>
      <c r="I1695" t="inlineStr">
        <is>
          <t>RWD</t>
        </is>
      </c>
      <c r="J1695" t="inlineStr">
        <is>
          <t>Silver</t>
        </is>
      </c>
      <c r="K1695" t="n">
        <v>543</v>
      </c>
      <c r="L1695" t="n">
        <v>55</v>
      </c>
      <c r="M1695" t="n">
        <v>17.52</v>
      </c>
      <c r="N1695" t="n">
        <v>2058.16</v>
      </c>
      <c r="O1695" t="n">
        <v>3.7</v>
      </c>
      <c r="P1695" t="n">
        <v>8</v>
      </c>
      <c r="Q1695" t="n">
        <v>3</v>
      </c>
      <c r="R1695" t="n">
        <v>2020.5</v>
      </c>
      <c r="S1695" t="b">
        <v>0</v>
      </c>
      <c r="T1695" t="n">
        <v>2308859</v>
      </c>
      <c r="U1695" t="n">
        <v>3</v>
      </c>
      <c r="V1695" t="n">
        <v>0.0233</v>
      </c>
      <c r="W1695" t="n">
        <v>1.62</v>
      </c>
      <c r="X1695" t="n">
        <v>76.3</v>
      </c>
      <c r="Y1695">
        <f>VLOOKUP(D1695,$AB$2:$AC$7,2,FALSE)</f>
        <v/>
      </c>
      <c r="Z1695">
        <f>IF(A1695&lt;Y1695,"Yes","No")</f>
        <v/>
      </c>
    </row>
    <row r="1696">
      <c r="A1696" t="n">
        <v>2015</v>
      </c>
      <c r="B1696" t="inlineStr">
        <is>
          <t>Q4</t>
        </is>
      </c>
      <c r="C1696" t="inlineStr">
        <is>
          <t>South America</t>
        </is>
      </c>
      <c r="D1696" t="inlineStr">
        <is>
          <t>Cybertruck</t>
        </is>
      </c>
      <c r="E1696" t="n">
        <v>1776</v>
      </c>
      <c r="F1696" t="n">
        <v>77591.00999999999</v>
      </c>
      <c r="G1696" t="n">
        <v>9</v>
      </c>
      <c r="H1696" t="inlineStr">
        <is>
          <t>Long Range</t>
        </is>
      </c>
      <c r="I1696" t="inlineStr">
        <is>
          <t>AWD</t>
        </is>
      </c>
      <c r="J1696" t="inlineStr">
        <is>
          <t>Silver</t>
        </is>
      </c>
      <c r="K1696" t="n">
        <v>697</v>
      </c>
      <c r="L1696" t="n">
        <v>90</v>
      </c>
      <c r="M1696" t="n">
        <v>20.03</v>
      </c>
      <c r="N1696" t="n">
        <v>1889.8</v>
      </c>
      <c r="O1696" t="n">
        <v>3.96</v>
      </c>
      <c r="P1696" t="n">
        <v>5</v>
      </c>
      <c r="Q1696" t="n">
        <v>2</v>
      </c>
      <c r="R1696" t="n">
        <v>2020.7</v>
      </c>
      <c r="S1696" t="b">
        <v>1</v>
      </c>
      <c r="T1696" t="n">
        <v>1246994</v>
      </c>
      <c r="U1696" t="n">
        <v>8</v>
      </c>
      <c r="V1696" t="n">
        <v>0.06469999999999999</v>
      </c>
      <c r="W1696" t="n">
        <v>1.92</v>
      </c>
      <c r="X1696" t="n">
        <v>74.48999999999999</v>
      </c>
      <c r="Y1696">
        <f>VLOOKUP(D1696,$AB$2:$AC$7,2,FALSE)</f>
        <v/>
      </c>
      <c r="Z1696">
        <f>IF(A1696&lt;Y1696,"Yes","No")</f>
        <v/>
      </c>
    </row>
    <row r="1697">
      <c r="A1697" t="n">
        <v>2019</v>
      </c>
      <c r="B1697" t="inlineStr">
        <is>
          <t>Q3</t>
        </is>
      </c>
      <c r="C1697" t="inlineStr">
        <is>
          <t>Europe</t>
        </is>
      </c>
      <c r="D1697" t="inlineStr">
        <is>
          <t>Semi</t>
        </is>
      </c>
      <c r="E1697" t="n">
        <v>3577</v>
      </c>
      <c r="F1697" t="n">
        <v>70592.53</v>
      </c>
      <c r="G1697" t="n">
        <v>18</v>
      </c>
      <c r="H1697" t="inlineStr">
        <is>
          <t>Performance</t>
        </is>
      </c>
      <c r="I1697" t="inlineStr">
        <is>
          <t>AWD</t>
        </is>
      </c>
      <c r="J1697" t="inlineStr">
        <is>
          <t>Black</t>
        </is>
      </c>
      <c r="K1697" t="n">
        <v>691</v>
      </c>
      <c r="L1697" t="n">
        <v>77</v>
      </c>
      <c r="M1697" t="n">
        <v>14.18</v>
      </c>
      <c r="N1697" t="n">
        <v>3192.82</v>
      </c>
      <c r="O1697" t="n">
        <v>4.2</v>
      </c>
      <c r="P1697" t="n">
        <v>4</v>
      </c>
      <c r="Q1697" t="n">
        <v>3</v>
      </c>
      <c r="R1697" t="n">
        <v>2022.3</v>
      </c>
      <c r="S1697" t="b">
        <v>0</v>
      </c>
      <c r="T1697" t="n">
        <v>4742889</v>
      </c>
      <c r="U1697" t="n">
        <v>3</v>
      </c>
      <c r="V1697" t="n">
        <v>0.0324</v>
      </c>
      <c r="W1697" t="n">
        <v>0.99</v>
      </c>
      <c r="X1697" t="n">
        <v>71.56</v>
      </c>
      <c r="Y1697">
        <f>VLOOKUP(D1697,$AB$2:$AC$7,2,FALSE)</f>
        <v/>
      </c>
      <c r="Z1697">
        <f>IF(A1697&lt;Y1697,"Yes","No")</f>
        <v/>
      </c>
    </row>
    <row r="1698">
      <c r="A1698" t="n">
        <v>2016</v>
      </c>
      <c r="B1698" t="inlineStr">
        <is>
          <t>Q2</t>
        </is>
      </c>
      <c r="C1698" t="inlineStr">
        <is>
          <t>South America</t>
        </is>
      </c>
      <c r="D1698" t="inlineStr">
        <is>
          <t>Cybertruck</t>
        </is>
      </c>
      <c r="E1698" t="n">
        <v>1934</v>
      </c>
      <c r="F1698" t="n">
        <v>99248.60000000001</v>
      </c>
      <c r="G1698" t="n">
        <v>14</v>
      </c>
      <c r="H1698" t="inlineStr">
        <is>
          <t>Standard</t>
        </is>
      </c>
      <c r="I1698" t="inlineStr">
        <is>
          <t>AWD</t>
        </is>
      </c>
      <c r="J1698" t="inlineStr">
        <is>
          <t>Silver</t>
        </is>
      </c>
      <c r="K1698" t="n">
        <v>533</v>
      </c>
      <c r="L1698" t="n">
        <v>45</v>
      </c>
      <c r="M1698" t="n">
        <v>20.19</v>
      </c>
      <c r="N1698" t="n">
        <v>1491.69</v>
      </c>
      <c r="O1698" t="n">
        <v>4.55</v>
      </c>
      <c r="P1698" t="n">
        <v>8</v>
      </c>
      <c r="Q1698" t="n">
        <v>0</v>
      </c>
      <c r="R1698" t="n">
        <v>2024.11</v>
      </c>
      <c r="S1698" t="b">
        <v>0</v>
      </c>
      <c r="T1698" t="n">
        <v>1678786</v>
      </c>
      <c r="U1698" t="n">
        <v>4</v>
      </c>
      <c r="V1698" t="n">
        <v>0.064</v>
      </c>
      <c r="W1698" t="n">
        <v>1.62</v>
      </c>
      <c r="X1698" t="n">
        <v>74.04000000000001</v>
      </c>
      <c r="Y1698">
        <f>VLOOKUP(D1698,$AB$2:$AC$7,2,FALSE)</f>
        <v/>
      </c>
      <c r="Z1698">
        <f>IF(A1698&lt;Y1698,"Yes","No")</f>
        <v/>
      </c>
    </row>
    <row r="1699">
      <c r="A1699" t="n">
        <v>2015</v>
      </c>
      <c r="B1699" t="inlineStr">
        <is>
          <t>Q3</t>
        </is>
      </c>
      <c r="C1699" t="inlineStr">
        <is>
          <t>North America</t>
        </is>
      </c>
      <c r="D1699" t="inlineStr">
        <is>
          <t>Model S</t>
        </is>
      </c>
      <c r="E1699" t="n">
        <v>738</v>
      </c>
      <c r="F1699" t="n">
        <v>56586.5</v>
      </c>
      <c r="G1699" t="n">
        <v>51</v>
      </c>
      <c r="H1699" t="inlineStr">
        <is>
          <t>Performance</t>
        </is>
      </c>
      <c r="I1699" t="inlineStr">
        <is>
          <t>RWD</t>
        </is>
      </c>
      <c r="J1699" t="inlineStr">
        <is>
          <t>Green</t>
        </is>
      </c>
      <c r="K1699" t="n">
        <v>505</v>
      </c>
      <c r="L1699" t="n">
        <v>59</v>
      </c>
      <c r="M1699" t="n">
        <v>24.74</v>
      </c>
      <c r="N1699" t="n">
        <v>770.97</v>
      </c>
      <c r="O1699" t="n">
        <v>4.23</v>
      </c>
      <c r="P1699" t="n">
        <v>8</v>
      </c>
      <c r="Q1699" t="n">
        <v>3</v>
      </c>
      <c r="R1699" t="n">
        <v>2020.5</v>
      </c>
      <c r="S1699" t="b">
        <v>1</v>
      </c>
      <c r="T1699" t="n">
        <v>4931196</v>
      </c>
      <c r="U1699" t="n">
        <v>8</v>
      </c>
      <c r="V1699" t="n">
        <v>0.0513</v>
      </c>
      <c r="W1699" t="n">
        <v>0.64</v>
      </c>
      <c r="X1699" t="n">
        <v>69.3</v>
      </c>
      <c r="Y1699">
        <f>VLOOKUP(D1699,$AB$2:$AC$7,2,FALSE)</f>
        <v/>
      </c>
      <c r="Z1699">
        <f>IF(A1699&lt;Y1699,"Yes","No")</f>
        <v/>
      </c>
    </row>
    <row r="1700">
      <c r="A1700" t="n">
        <v>2024</v>
      </c>
      <c r="B1700" t="inlineStr">
        <is>
          <t>Q4</t>
        </is>
      </c>
      <c r="C1700" t="inlineStr">
        <is>
          <t>Asia</t>
        </is>
      </c>
      <c r="D1700" t="inlineStr">
        <is>
          <t>Cybertruck</t>
        </is>
      </c>
      <c r="E1700" t="n">
        <v>3976</v>
      </c>
      <c r="F1700" t="n">
        <v>115393.67</v>
      </c>
      <c r="G1700" t="n">
        <v>14</v>
      </c>
      <c r="H1700" t="inlineStr">
        <is>
          <t>Performance</t>
        </is>
      </c>
      <c r="I1700" t="inlineStr">
        <is>
          <t>RWD</t>
        </is>
      </c>
      <c r="J1700" t="inlineStr">
        <is>
          <t>Red</t>
        </is>
      </c>
      <c r="K1700" t="n">
        <v>366</v>
      </c>
      <c r="L1700" t="n">
        <v>72</v>
      </c>
      <c r="M1700" t="n">
        <v>15.41</v>
      </c>
      <c r="N1700" t="n">
        <v>7452.36</v>
      </c>
      <c r="O1700" t="n">
        <v>3.53</v>
      </c>
      <c r="P1700" t="n">
        <v>8</v>
      </c>
      <c r="Q1700" t="n">
        <v>1</v>
      </c>
      <c r="R1700" t="n">
        <v>2023.9</v>
      </c>
      <c r="S1700" t="b">
        <v>1</v>
      </c>
      <c r="T1700" t="n">
        <v>529315</v>
      </c>
      <c r="U1700" t="n">
        <v>10</v>
      </c>
      <c r="V1700" t="n">
        <v>0.08790000000000001</v>
      </c>
      <c r="W1700" t="n">
        <v>0.54</v>
      </c>
      <c r="X1700" t="n">
        <v>84.31</v>
      </c>
      <c r="Y1700">
        <f>VLOOKUP(D1700,$AB$2:$AC$7,2,FALSE)</f>
        <v/>
      </c>
      <c r="Z1700">
        <f>IF(A1700&lt;Y1700,"Yes","No")</f>
        <v/>
      </c>
    </row>
    <row r="1701">
      <c r="A1701" t="n">
        <v>2023</v>
      </c>
      <c r="B1701" t="inlineStr">
        <is>
          <t>Q4</t>
        </is>
      </c>
      <c r="C1701" t="inlineStr">
        <is>
          <t>Asia</t>
        </is>
      </c>
      <c r="D1701" t="inlineStr">
        <is>
          <t>Model Y</t>
        </is>
      </c>
      <c r="E1701" t="n">
        <v>2326</v>
      </c>
      <c r="F1701" t="n">
        <v>110684.61</v>
      </c>
      <c r="G1701" t="n">
        <v>2</v>
      </c>
      <c r="H1701" t="inlineStr">
        <is>
          <t>Long Range</t>
        </is>
      </c>
      <c r="I1701" t="inlineStr">
        <is>
          <t>AWD</t>
        </is>
      </c>
      <c r="J1701" t="inlineStr">
        <is>
          <t>Red</t>
        </is>
      </c>
      <c r="K1701" t="n">
        <v>700</v>
      </c>
      <c r="L1701" t="n">
        <v>62</v>
      </c>
      <c r="M1701" t="n">
        <v>20.92</v>
      </c>
      <c r="N1701" t="n">
        <v>3518.07</v>
      </c>
      <c r="O1701" t="n">
        <v>4.49</v>
      </c>
      <c r="P1701" t="n">
        <v>4</v>
      </c>
      <c r="Q1701" t="n">
        <v>3</v>
      </c>
      <c r="R1701" t="n">
        <v>2024.1</v>
      </c>
      <c r="S1701" t="b">
        <v>1</v>
      </c>
      <c r="T1701" t="n">
        <v>3348115</v>
      </c>
      <c r="U1701" t="n">
        <v>7</v>
      </c>
      <c r="V1701" t="n">
        <v>0.0556</v>
      </c>
      <c r="W1701" t="n">
        <v>0.86</v>
      </c>
      <c r="X1701" t="n">
        <v>72.31</v>
      </c>
      <c r="Y1701">
        <f>VLOOKUP(D1701,$AB$2:$AC$7,2,FALSE)</f>
        <v/>
      </c>
      <c r="Z1701">
        <f>IF(A1701&lt;Y1701,"Yes","No")</f>
        <v/>
      </c>
    </row>
    <row r="1702">
      <c r="A1702" t="n">
        <v>2016</v>
      </c>
      <c r="B1702" t="inlineStr">
        <is>
          <t>Q1</t>
        </is>
      </c>
      <c r="C1702" t="inlineStr">
        <is>
          <t>North America</t>
        </is>
      </c>
      <c r="D1702" t="inlineStr">
        <is>
          <t>Model S</t>
        </is>
      </c>
      <c r="E1702" t="n">
        <v>2210</v>
      </c>
      <c r="F1702" t="n">
        <v>80732.44</v>
      </c>
      <c r="G1702" t="n">
        <v>21</v>
      </c>
      <c r="H1702" t="inlineStr">
        <is>
          <t>Long Range</t>
        </is>
      </c>
      <c r="I1702" t="inlineStr">
        <is>
          <t>RWD</t>
        </is>
      </c>
      <c r="J1702" t="inlineStr">
        <is>
          <t>Blue</t>
        </is>
      </c>
      <c r="K1702" t="n">
        <v>406</v>
      </c>
      <c r="L1702" t="n">
        <v>90</v>
      </c>
      <c r="M1702" t="n">
        <v>14.74</v>
      </c>
      <c r="N1702" t="n">
        <v>2553.4</v>
      </c>
      <c r="O1702" t="n">
        <v>4.22</v>
      </c>
      <c r="P1702" t="n">
        <v>5</v>
      </c>
      <c r="Q1702" t="n">
        <v>0</v>
      </c>
      <c r="R1702" t="n">
        <v>2024.3</v>
      </c>
      <c r="S1702" t="b">
        <v>1</v>
      </c>
      <c r="T1702" t="n">
        <v>1494575</v>
      </c>
      <c r="U1702" t="n">
        <v>9</v>
      </c>
      <c r="V1702" t="n">
        <v>0.07820000000000001</v>
      </c>
      <c r="W1702" t="n">
        <v>1.75</v>
      </c>
      <c r="X1702" t="n">
        <v>85.44</v>
      </c>
      <c r="Y1702">
        <f>VLOOKUP(D1702,$AB$2:$AC$7,2,FALSE)</f>
        <v/>
      </c>
      <c r="Z1702">
        <f>IF(A1702&lt;Y1702,"Yes","No")</f>
        <v/>
      </c>
    </row>
    <row r="1703">
      <c r="A1703" t="n">
        <v>2020</v>
      </c>
      <c r="B1703" t="inlineStr">
        <is>
          <t>Q3</t>
        </is>
      </c>
      <c r="C1703" t="inlineStr">
        <is>
          <t>Europe</t>
        </is>
      </c>
      <c r="D1703" t="inlineStr">
        <is>
          <t>Model X</t>
        </is>
      </c>
      <c r="E1703" t="n">
        <v>4780</v>
      </c>
      <c r="F1703" t="n">
        <v>116199.09</v>
      </c>
      <c r="G1703" t="n">
        <v>37</v>
      </c>
      <c r="H1703" t="inlineStr">
        <is>
          <t>Standard</t>
        </is>
      </c>
      <c r="I1703" t="inlineStr">
        <is>
          <t>RWD</t>
        </is>
      </c>
      <c r="J1703" t="inlineStr">
        <is>
          <t>Red</t>
        </is>
      </c>
      <c r="K1703" t="n">
        <v>676</v>
      </c>
      <c r="L1703" t="n">
        <v>63</v>
      </c>
      <c r="M1703" t="n">
        <v>16.51</v>
      </c>
      <c r="N1703" t="n">
        <v>9264.049999999999</v>
      </c>
      <c r="O1703" t="n">
        <v>4.02</v>
      </c>
      <c r="P1703" t="n">
        <v>6</v>
      </c>
      <c r="Q1703" t="n">
        <v>2</v>
      </c>
      <c r="R1703" t="n">
        <v>2021.8</v>
      </c>
      <c r="S1703" t="b">
        <v>1</v>
      </c>
      <c r="T1703" t="n">
        <v>617675</v>
      </c>
      <c r="U1703" t="n">
        <v>6</v>
      </c>
      <c r="V1703" t="n">
        <v>0.0293</v>
      </c>
      <c r="W1703" t="n">
        <v>2.3</v>
      </c>
      <c r="X1703" t="n">
        <v>66.09999999999999</v>
      </c>
      <c r="Y1703">
        <f>VLOOKUP(D1703,$AB$2:$AC$7,2,FALSE)</f>
        <v/>
      </c>
      <c r="Z1703">
        <f>IF(A1703&lt;Y1703,"Yes","No")</f>
        <v/>
      </c>
    </row>
    <row r="1704">
      <c r="A1704" t="n">
        <v>2020</v>
      </c>
      <c r="B1704" t="inlineStr">
        <is>
          <t>Q3</t>
        </is>
      </c>
      <c r="C1704" t="inlineStr">
        <is>
          <t>Asia</t>
        </is>
      </c>
      <c r="D1704" t="inlineStr">
        <is>
          <t>Cybertruck</t>
        </is>
      </c>
      <c r="E1704" t="n">
        <v>3355</v>
      </c>
      <c r="F1704" t="n">
        <v>117530.14</v>
      </c>
      <c r="G1704" t="n">
        <v>1</v>
      </c>
      <c r="H1704" t="inlineStr">
        <is>
          <t>Long Range</t>
        </is>
      </c>
      <c r="I1704" t="inlineStr">
        <is>
          <t>AWD</t>
        </is>
      </c>
      <c r="J1704" t="inlineStr">
        <is>
          <t>Blue</t>
        </is>
      </c>
      <c r="K1704" t="n">
        <v>668</v>
      </c>
      <c r="L1704" t="n">
        <v>83</v>
      </c>
      <c r="M1704" t="n">
        <v>16.07</v>
      </c>
      <c r="N1704" t="n">
        <v>5350.8</v>
      </c>
      <c r="O1704" t="n">
        <v>4.88</v>
      </c>
      <c r="P1704" t="n">
        <v>4</v>
      </c>
      <c r="Q1704" t="n">
        <v>2</v>
      </c>
      <c r="R1704" t="n">
        <v>2022.1</v>
      </c>
      <c r="S1704" t="b">
        <v>1</v>
      </c>
      <c r="T1704" t="n">
        <v>595849</v>
      </c>
      <c r="U1704" t="n">
        <v>6</v>
      </c>
      <c r="V1704" t="n">
        <v>0.0133</v>
      </c>
      <c r="W1704" t="n">
        <v>1.39</v>
      </c>
      <c r="X1704" t="n">
        <v>72.31</v>
      </c>
      <c r="Y1704">
        <f>VLOOKUP(D1704,$AB$2:$AC$7,2,FALSE)</f>
        <v/>
      </c>
      <c r="Z1704">
        <f>IF(A1704&lt;Y1704,"Yes","No")</f>
        <v/>
      </c>
    </row>
    <row r="1705">
      <c r="A1705" t="n">
        <v>2014</v>
      </c>
      <c r="B1705" t="inlineStr">
        <is>
          <t>Q2</t>
        </is>
      </c>
      <c r="C1705" t="inlineStr">
        <is>
          <t>North America</t>
        </is>
      </c>
      <c r="D1705" t="inlineStr">
        <is>
          <t>Model S</t>
        </is>
      </c>
      <c r="E1705" t="n">
        <v>3513</v>
      </c>
      <c r="F1705" t="n">
        <v>61549.63</v>
      </c>
      <c r="G1705" t="n">
        <v>49</v>
      </c>
      <c r="H1705" t="inlineStr">
        <is>
          <t>Standard</t>
        </is>
      </c>
      <c r="I1705" t="inlineStr">
        <is>
          <t>RWD</t>
        </is>
      </c>
      <c r="J1705" t="inlineStr">
        <is>
          <t>Silver</t>
        </is>
      </c>
      <c r="K1705" t="n">
        <v>598</v>
      </c>
      <c r="L1705" t="n">
        <v>40</v>
      </c>
      <c r="M1705" t="n">
        <v>20.01</v>
      </c>
      <c r="N1705" t="n">
        <v>5438.51</v>
      </c>
      <c r="O1705" t="n">
        <v>3.74</v>
      </c>
      <c r="P1705" t="n">
        <v>6</v>
      </c>
      <c r="Q1705" t="n">
        <v>2</v>
      </c>
      <c r="R1705" t="n">
        <v>2021.8</v>
      </c>
      <c r="S1705" t="b">
        <v>1</v>
      </c>
      <c r="T1705" t="n">
        <v>2342928</v>
      </c>
      <c r="U1705" t="n">
        <v>6</v>
      </c>
      <c r="V1705" t="n">
        <v>0.09950000000000001</v>
      </c>
      <c r="W1705" t="n">
        <v>1.92</v>
      </c>
      <c r="X1705" t="n">
        <v>77.27</v>
      </c>
      <c r="Y1705">
        <f>VLOOKUP(D1705,$AB$2:$AC$7,2,FALSE)</f>
        <v/>
      </c>
      <c r="Z1705">
        <f>IF(A1705&lt;Y1705,"Yes","No")</f>
        <v/>
      </c>
    </row>
    <row r="1706">
      <c r="A1706" t="n">
        <v>2023</v>
      </c>
      <c r="B1706" t="inlineStr">
        <is>
          <t>Q2</t>
        </is>
      </c>
      <c r="C1706" t="inlineStr">
        <is>
          <t>Asia</t>
        </is>
      </c>
      <c r="D1706" t="inlineStr">
        <is>
          <t>Model S</t>
        </is>
      </c>
      <c r="E1706" t="n">
        <v>4937</v>
      </c>
      <c r="F1706" t="n">
        <v>75837.45</v>
      </c>
      <c r="G1706" t="n">
        <v>12</v>
      </c>
      <c r="H1706" t="inlineStr">
        <is>
          <t>Long Range</t>
        </is>
      </c>
      <c r="I1706" t="inlineStr">
        <is>
          <t>RWD</t>
        </is>
      </c>
      <c r="J1706" t="inlineStr">
        <is>
          <t>Green</t>
        </is>
      </c>
      <c r="K1706" t="n">
        <v>514</v>
      </c>
      <c r="L1706" t="n">
        <v>47</v>
      </c>
      <c r="M1706" t="n">
        <v>18.34</v>
      </c>
      <c r="N1706" t="n">
        <v>11746.59</v>
      </c>
      <c r="O1706" t="n">
        <v>4.26</v>
      </c>
      <c r="P1706" t="n">
        <v>8</v>
      </c>
      <c r="Q1706" t="n">
        <v>1</v>
      </c>
      <c r="R1706" t="n">
        <v>2023.2</v>
      </c>
      <c r="S1706" t="b">
        <v>1</v>
      </c>
      <c r="T1706" t="n">
        <v>2806286</v>
      </c>
      <c r="U1706" t="n">
        <v>5</v>
      </c>
      <c r="V1706" t="n">
        <v>0.0977</v>
      </c>
      <c r="W1706" t="n">
        <v>1.99</v>
      </c>
      <c r="X1706" t="n">
        <v>64.29000000000001</v>
      </c>
      <c r="Y1706">
        <f>VLOOKUP(D1706,$AB$2:$AC$7,2,FALSE)</f>
        <v/>
      </c>
      <c r="Z1706">
        <f>IF(A1706&lt;Y1706,"Yes","No")</f>
        <v/>
      </c>
    </row>
    <row r="1707">
      <c r="A1707" t="n">
        <v>2022</v>
      </c>
      <c r="B1707" t="inlineStr">
        <is>
          <t>Q1</t>
        </is>
      </c>
      <c r="C1707" t="inlineStr">
        <is>
          <t>Australia</t>
        </is>
      </c>
      <c r="D1707" t="inlineStr">
        <is>
          <t>Semi</t>
        </is>
      </c>
      <c r="E1707" t="n">
        <v>4109</v>
      </c>
      <c r="F1707" t="n">
        <v>74065.2</v>
      </c>
      <c r="G1707" t="n">
        <v>35</v>
      </c>
      <c r="H1707" t="inlineStr">
        <is>
          <t>Long Range</t>
        </is>
      </c>
      <c r="I1707" t="inlineStr">
        <is>
          <t>AWD</t>
        </is>
      </c>
      <c r="J1707" t="inlineStr">
        <is>
          <t>Green</t>
        </is>
      </c>
      <c r="K1707" t="n">
        <v>555</v>
      </c>
      <c r="L1707" t="n">
        <v>30</v>
      </c>
      <c r="M1707" t="n">
        <v>22.21</v>
      </c>
      <c r="N1707" t="n">
        <v>2932.33</v>
      </c>
      <c r="O1707" t="n">
        <v>3.93</v>
      </c>
      <c r="P1707" t="n">
        <v>5</v>
      </c>
      <c r="Q1707" t="n">
        <v>0</v>
      </c>
      <c r="R1707" t="n">
        <v>2022.1</v>
      </c>
      <c r="S1707" t="b">
        <v>1</v>
      </c>
      <c r="T1707" t="n">
        <v>3037642</v>
      </c>
      <c r="U1707" t="n">
        <v>8</v>
      </c>
      <c r="V1707" t="n">
        <v>0.0959</v>
      </c>
      <c r="W1707" t="n">
        <v>0.62</v>
      </c>
      <c r="X1707" t="n">
        <v>68.81</v>
      </c>
      <c r="Y1707">
        <f>VLOOKUP(D1707,$AB$2:$AC$7,2,FALSE)</f>
        <v/>
      </c>
      <c r="Z1707">
        <f>IF(A1707&lt;Y1707,"Yes","No")</f>
        <v/>
      </c>
    </row>
    <row r="1708">
      <c r="A1708" t="n">
        <v>2015</v>
      </c>
      <c r="B1708" t="inlineStr">
        <is>
          <t>Q1</t>
        </is>
      </c>
      <c r="C1708" t="inlineStr">
        <is>
          <t>Australia</t>
        </is>
      </c>
      <c r="D1708" t="inlineStr">
        <is>
          <t>Semi</t>
        </is>
      </c>
      <c r="E1708" t="n">
        <v>3300</v>
      </c>
      <c r="F1708" t="n">
        <v>106971.41</v>
      </c>
      <c r="G1708" t="n">
        <v>29</v>
      </c>
      <c r="H1708" t="inlineStr">
        <is>
          <t>Long Range</t>
        </is>
      </c>
      <c r="I1708" t="inlineStr">
        <is>
          <t>AWD</t>
        </is>
      </c>
      <c r="J1708" t="inlineStr">
        <is>
          <t>Blue</t>
        </is>
      </c>
      <c r="K1708" t="n">
        <v>350</v>
      </c>
      <c r="L1708" t="n">
        <v>58</v>
      </c>
      <c r="M1708" t="n">
        <v>14.33</v>
      </c>
      <c r="N1708" t="n">
        <v>2677.95</v>
      </c>
      <c r="O1708" t="n">
        <v>4.17</v>
      </c>
      <c r="P1708" t="n">
        <v>8</v>
      </c>
      <c r="Q1708" t="n">
        <v>0</v>
      </c>
      <c r="R1708" t="n">
        <v>2023.7</v>
      </c>
      <c r="S1708" t="b">
        <v>1</v>
      </c>
      <c r="T1708" t="n">
        <v>2832968</v>
      </c>
      <c r="U1708" t="n">
        <v>2</v>
      </c>
      <c r="V1708" t="n">
        <v>0.0469</v>
      </c>
      <c r="W1708" t="n">
        <v>2.09</v>
      </c>
      <c r="X1708" t="n">
        <v>68.87</v>
      </c>
      <c r="Y1708">
        <f>VLOOKUP(D1708,$AB$2:$AC$7,2,FALSE)</f>
        <v/>
      </c>
      <c r="Z1708">
        <f>IF(A1708&lt;Y1708,"Yes","No")</f>
        <v/>
      </c>
    </row>
    <row r="1709">
      <c r="A1709" t="n">
        <v>2023</v>
      </c>
      <c r="B1709" t="inlineStr">
        <is>
          <t>Q4</t>
        </is>
      </c>
      <c r="C1709" t="inlineStr">
        <is>
          <t>Europe</t>
        </is>
      </c>
      <c r="D1709" t="inlineStr">
        <is>
          <t>Cybertruck</t>
        </is>
      </c>
      <c r="E1709" t="n">
        <v>242</v>
      </c>
      <c r="F1709" t="n">
        <v>93442.10000000001</v>
      </c>
      <c r="G1709" t="n">
        <v>13</v>
      </c>
      <c r="H1709" t="inlineStr">
        <is>
          <t>Performance</t>
        </is>
      </c>
      <c r="I1709" t="inlineStr">
        <is>
          <t>AWD</t>
        </is>
      </c>
      <c r="J1709" t="inlineStr">
        <is>
          <t>Blue</t>
        </is>
      </c>
      <c r="K1709" t="n">
        <v>558</v>
      </c>
      <c r="L1709" t="n">
        <v>59</v>
      </c>
      <c r="M1709" t="n">
        <v>17.77</v>
      </c>
      <c r="N1709" t="n">
        <v>572.53</v>
      </c>
      <c r="O1709" t="n">
        <v>3.75</v>
      </c>
      <c r="P1709" t="n">
        <v>8</v>
      </c>
      <c r="Q1709" t="n">
        <v>0</v>
      </c>
      <c r="R1709" t="n">
        <v>2021.12</v>
      </c>
      <c r="S1709" t="b">
        <v>0</v>
      </c>
      <c r="T1709" t="n">
        <v>2717336</v>
      </c>
      <c r="U1709" t="n">
        <v>5</v>
      </c>
      <c r="V1709" t="n">
        <v>0.0956</v>
      </c>
      <c r="W1709" t="n">
        <v>1.29</v>
      </c>
      <c r="X1709" t="n">
        <v>89.52</v>
      </c>
      <c r="Y1709">
        <f>VLOOKUP(D1709,$AB$2:$AC$7,2,FALSE)</f>
        <v/>
      </c>
      <c r="Z1709">
        <f>IF(A1709&lt;Y1709,"Yes","No")</f>
        <v/>
      </c>
    </row>
    <row r="1710">
      <c r="A1710" t="n">
        <v>2015</v>
      </c>
      <c r="B1710" t="inlineStr">
        <is>
          <t>Q1</t>
        </is>
      </c>
      <c r="C1710" t="inlineStr">
        <is>
          <t>Asia</t>
        </is>
      </c>
      <c r="D1710" t="inlineStr">
        <is>
          <t>Cybertruck</t>
        </is>
      </c>
      <c r="E1710" t="n">
        <v>2581</v>
      </c>
      <c r="F1710" t="n">
        <v>119626.97</v>
      </c>
      <c r="G1710" t="n">
        <v>17</v>
      </c>
      <c r="H1710" t="inlineStr">
        <is>
          <t>Long Range</t>
        </is>
      </c>
      <c r="I1710" t="inlineStr">
        <is>
          <t>AWD</t>
        </is>
      </c>
      <c r="J1710" t="inlineStr">
        <is>
          <t>White</t>
        </is>
      </c>
      <c r="K1710" t="n">
        <v>564</v>
      </c>
      <c r="L1710" t="n">
        <v>33</v>
      </c>
      <c r="M1710" t="n">
        <v>22.91</v>
      </c>
      <c r="N1710" t="n">
        <v>3272.45</v>
      </c>
      <c r="O1710" t="n">
        <v>4.2</v>
      </c>
      <c r="P1710" t="n">
        <v>5</v>
      </c>
      <c r="Q1710" t="n">
        <v>0</v>
      </c>
      <c r="R1710" t="n">
        <v>2021.7</v>
      </c>
      <c r="S1710" t="b">
        <v>1</v>
      </c>
      <c r="T1710" t="n">
        <v>3378108</v>
      </c>
      <c r="U1710" t="n">
        <v>3</v>
      </c>
      <c r="V1710" t="n">
        <v>0.0388</v>
      </c>
      <c r="W1710" t="n">
        <v>2.09</v>
      </c>
      <c r="X1710" t="n">
        <v>70.53</v>
      </c>
      <c r="Y1710">
        <f>VLOOKUP(D1710,$AB$2:$AC$7,2,FALSE)</f>
        <v/>
      </c>
      <c r="Z1710">
        <f>IF(A1710&lt;Y1710,"Yes","No")</f>
        <v/>
      </c>
    </row>
    <row r="1711">
      <c r="A1711" t="n">
        <v>2022</v>
      </c>
      <c r="B1711" t="inlineStr">
        <is>
          <t>Q2</t>
        </is>
      </c>
      <c r="C1711" t="inlineStr">
        <is>
          <t>Australia</t>
        </is>
      </c>
      <c r="D1711" t="inlineStr">
        <is>
          <t>Model S</t>
        </is>
      </c>
      <c r="E1711" t="n">
        <v>1996</v>
      </c>
      <c r="F1711" t="n">
        <v>56876.14</v>
      </c>
      <c r="G1711" t="n">
        <v>44</v>
      </c>
      <c r="H1711" t="inlineStr">
        <is>
          <t>Performance</t>
        </is>
      </c>
      <c r="I1711" t="inlineStr">
        <is>
          <t>RWD</t>
        </is>
      </c>
      <c r="J1711" t="inlineStr">
        <is>
          <t>Black</t>
        </is>
      </c>
      <c r="K1711" t="n">
        <v>397</v>
      </c>
      <c r="L1711" t="n">
        <v>85</v>
      </c>
      <c r="M1711" t="n">
        <v>14.62</v>
      </c>
      <c r="N1711" t="n">
        <v>4163.51</v>
      </c>
      <c r="O1711" t="n">
        <v>4.51</v>
      </c>
      <c r="P1711" t="n">
        <v>8</v>
      </c>
      <c r="Q1711" t="n">
        <v>3</v>
      </c>
      <c r="R1711" t="n">
        <v>2023.7</v>
      </c>
      <c r="S1711" t="b">
        <v>0</v>
      </c>
      <c r="T1711" t="n">
        <v>2809282</v>
      </c>
      <c r="U1711" t="n">
        <v>6</v>
      </c>
      <c r="V1711" t="n">
        <v>0.06900000000000001</v>
      </c>
      <c r="W1711" t="n">
        <v>1.15</v>
      </c>
      <c r="X1711" t="n">
        <v>82.08</v>
      </c>
      <c r="Y1711">
        <f>VLOOKUP(D1711,$AB$2:$AC$7,2,FALSE)</f>
        <v/>
      </c>
      <c r="Z1711">
        <f>IF(A1711&lt;Y1711,"Yes","No")</f>
        <v/>
      </c>
    </row>
    <row r="1712">
      <c r="A1712" t="n">
        <v>2014</v>
      </c>
      <c r="B1712" t="inlineStr">
        <is>
          <t>Q3</t>
        </is>
      </c>
      <c r="C1712" t="inlineStr">
        <is>
          <t>Europe</t>
        </is>
      </c>
      <c r="D1712" t="inlineStr">
        <is>
          <t>Semi</t>
        </is>
      </c>
      <c r="E1712" t="n">
        <v>983</v>
      </c>
      <c r="F1712" t="n">
        <v>93786.52</v>
      </c>
      <c r="G1712" t="n">
        <v>26</v>
      </c>
      <c r="H1712" t="inlineStr">
        <is>
          <t>Performance</t>
        </is>
      </c>
      <c r="I1712" t="inlineStr">
        <is>
          <t>RWD</t>
        </is>
      </c>
      <c r="J1712" t="inlineStr">
        <is>
          <t>Black</t>
        </is>
      </c>
      <c r="K1712" t="n">
        <v>521</v>
      </c>
      <c r="L1712" t="n">
        <v>44</v>
      </c>
      <c r="M1712" t="n">
        <v>21.42</v>
      </c>
      <c r="N1712" t="n">
        <v>2349.46</v>
      </c>
      <c r="O1712" t="n">
        <v>4.25</v>
      </c>
      <c r="P1712" t="n">
        <v>8</v>
      </c>
      <c r="Q1712" t="n">
        <v>0</v>
      </c>
      <c r="R1712" t="n">
        <v>2023.9</v>
      </c>
      <c r="S1712" t="b">
        <v>1</v>
      </c>
      <c r="T1712" t="n">
        <v>3167655</v>
      </c>
      <c r="U1712" t="n">
        <v>10</v>
      </c>
      <c r="V1712" t="n">
        <v>0.0901</v>
      </c>
      <c r="W1712" t="n">
        <v>0.98</v>
      </c>
      <c r="X1712" t="n">
        <v>89.01000000000001</v>
      </c>
      <c r="Y1712">
        <f>VLOOKUP(D1712,$AB$2:$AC$7,2,FALSE)</f>
        <v/>
      </c>
      <c r="Z1712">
        <f>IF(A1712&lt;Y1712,"Yes","No")</f>
        <v/>
      </c>
    </row>
    <row r="1713">
      <c r="A1713" t="n">
        <v>2012</v>
      </c>
      <c r="B1713" t="inlineStr">
        <is>
          <t>Q3</t>
        </is>
      </c>
      <c r="C1713" t="inlineStr">
        <is>
          <t>Australia</t>
        </is>
      </c>
      <c r="D1713" t="inlineStr">
        <is>
          <t>Model 3</t>
        </is>
      </c>
      <c r="E1713" t="n">
        <v>1580</v>
      </c>
      <c r="F1713" t="n">
        <v>44838.29</v>
      </c>
      <c r="G1713" t="n">
        <v>24</v>
      </c>
      <c r="H1713" t="inlineStr">
        <is>
          <t>Long Range</t>
        </is>
      </c>
      <c r="I1713" t="inlineStr">
        <is>
          <t>RWD</t>
        </is>
      </c>
      <c r="J1713" t="inlineStr">
        <is>
          <t>White</t>
        </is>
      </c>
      <c r="K1713" t="n">
        <v>532</v>
      </c>
      <c r="L1713" t="n">
        <v>51</v>
      </c>
      <c r="M1713" t="n">
        <v>22.99</v>
      </c>
      <c r="N1713" t="n">
        <v>1211.49</v>
      </c>
      <c r="O1713" t="n">
        <v>3.67</v>
      </c>
      <c r="P1713" t="n">
        <v>4</v>
      </c>
      <c r="Q1713" t="n">
        <v>0</v>
      </c>
      <c r="R1713" t="n">
        <v>2023.1</v>
      </c>
      <c r="S1713" t="b">
        <v>0</v>
      </c>
      <c r="T1713" t="n">
        <v>3165168</v>
      </c>
      <c r="U1713" t="n">
        <v>9</v>
      </c>
      <c r="V1713" t="n">
        <v>0.0108</v>
      </c>
      <c r="W1713" t="n">
        <v>2.43</v>
      </c>
      <c r="X1713" t="n">
        <v>64.69</v>
      </c>
      <c r="Y1713">
        <f>VLOOKUP(D1713,$AB$2:$AC$7,2,FALSE)</f>
        <v/>
      </c>
      <c r="Z1713">
        <f>IF(A1713&lt;Y1713,"Yes","No")</f>
        <v/>
      </c>
    </row>
    <row r="1714">
      <c r="A1714" t="n">
        <v>2017</v>
      </c>
      <c r="B1714" t="inlineStr">
        <is>
          <t>Q1</t>
        </is>
      </c>
      <c r="C1714" t="inlineStr">
        <is>
          <t>South America</t>
        </is>
      </c>
      <c r="D1714" t="inlineStr">
        <is>
          <t>Model Y</t>
        </is>
      </c>
      <c r="E1714" t="n">
        <v>4404</v>
      </c>
      <c r="F1714" t="n">
        <v>76880.52</v>
      </c>
      <c r="G1714" t="n">
        <v>51</v>
      </c>
      <c r="H1714" t="inlineStr">
        <is>
          <t>Long Range</t>
        </is>
      </c>
      <c r="I1714" t="inlineStr">
        <is>
          <t>RWD</t>
        </is>
      </c>
      <c r="J1714" t="inlineStr">
        <is>
          <t>Red</t>
        </is>
      </c>
      <c r="K1714" t="n">
        <v>414</v>
      </c>
      <c r="L1714" t="n">
        <v>79</v>
      </c>
      <c r="M1714" t="n">
        <v>15.29</v>
      </c>
      <c r="N1714" t="n">
        <v>10379.23</v>
      </c>
      <c r="O1714" t="n">
        <v>4.38</v>
      </c>
      <c r="P1714" t="n">
        <v>8</v>
      </c>
      <c r="Q1714" t="n">
        <v>1</v>
      </c>
      <c r="R1714" t="n">
        <v>2022.9</v>
      </c>
      <c r="S1714" t="b">
        <v>0</v>
      </c>
      <c r="T1714" t="n">
        <v>1362226</v>
      </c>
      <c r="U1714" t="n">
        <v>8</v>
      </c>
      <c r="V1714" t="n">
        <v>0.0322</v>
      </c>
      <c r="W1714" t="n">
        <v>1.36</v>
      </c>
      <c r="X1714" t="n">
        <v>61.05</v>
      </c>
      <c r="Y1714">
        <f>VLOOKUP(D1714,$AB$2:$AC$7,2,FALSE)</f>
        <v/>
      </c>
      <c r="Z1714">
        <f>IF(A1714&lt;Y1714,"Yes","No")</f>
        <v/>
      </c>
    </row>
    <row r="1715">
      <c r="A1715" t="n">
        <v>2022</v>
      </c>
      <c r="B1715" t="inlineStr">
        <is>
          <t>Q2</t>
        </is>
      </c>
      <c r="C1715" t="inlineStr">
        <is>
          <t>Asia</t>
        </is>
      </c>
      <c r="D1715" t="inlineStr">
        <is>
          <t>Semi</t>
        </is>
      </c>
      <c r="E1715" t="n">
        <v>2883</v>
      </c>
      <c r="F1715" t="n">
        <v>40347.23</v>
      </c>
      <c r="G1715" t="n">
        <v>5</v>
      </c>
      <c r="H1715" t="inlineStr">
        <is>
          <t>Long Range</t>
        </is>
      </c>
      <c r="I1715" t="inlineStr">
        <is>
          <t>RWD</t>
        </is>
      </c>
      <c r="J1715" t="inlineStr">
        <is>
          <t>Green</t>
        </is>
      </c>
      <c r="K1715" t="n">
        <v>535</v>
      </c>
      <c r="L1715" t="n">
        <v>34</v>
      </c>
      <c r="M1715" t="n">
        <v>23.39</v>
      </c>
      <c r="N1715" t="n">
        <v>2599.06</v>
      </c>
      <c r="O1715" t="n">
        <v>4.82</v>
      </c>
      <c r="P1715" t="n">
        <v>6</v>
      </c>
      <c r="Q1715" t="n">
        <v>2</v>
      </c>
      <c r="R1715" t="n">
        <v>2021.2</v>
      </c>
      <c r="S1715" t="b">
        <v>1</v>
      </c>
      <c r="T1715" t="n">
        <v>3911300</v>
      </c>
      <c r="U1715" t="n">
        <v>5</v>
      </c>
      <c r="V1715" t="n">
        <v>0.034</v>
      </c>
      <c r="W1715" t="n">
        <v>2.24</v>
      </c>
      <c r="X1715" t="n">
        <v>84.22</v>
      </c>
      <c r="Y1715">
        <f>VLOOKUP(D1715,$AB$2:$AC$7,2,FALSE)</f>
        <v/>
      </c>
      <c r="Z1715">
        <f>IF(A1715&lt;Y1715,"Yes","No")</f>
        <v/>
      </c>
    </row>
    <row r="1716">
      <c r="A1716" t="n">
        <v>2017</v>
      </c>
      <c r="B1716" t="inlineStr">
        <is>
          <t>Q1</t>
        </is>
      </c>
      <c r="C1716" t="inlineStr">
        <is>
          <t>North America</t>
        </is>
      </c>
      <c r="D1716" t="inlineStr">
        <is>
          <t>Cybertruck</t>
        </is>
      </c>
      <c r="E1716" t="n">
        <v>4084</v>
      </c>
      <c r="F1716" t="n">
        <v>70964.39</v>
      </c>
      <c r="G1716" t="n">
        <v>10</v>
      </c>
      <c r="H1716" t="inlineStr">
        <is>
          <t>Standard</t>
        </is>
      </c>
      <c r="I1716" t="inlineStr">
        <is>
          <t>AWD</t>
        </is>
      </c>
      <c r="J1716" t="inlineStr">
        <is>
          <t>White</t>
        </is>
      </c>
      <c r="K1716" t="n">
        <v>563</v>
      </c>
      <c r="L1716" t="n">
        <v>78</v>
      </c>
      <c r="M1716" t="n">
        <v>14.07</v>
      </c>
      <c r="N1716" t="n">
        <v>4306.43</v>
      </c>
      <c r="O1716" t="n">
        <v>4.07</v>
      </c>
      <c r="P1716" t="n">
        <v>6</v>
      </c>
      <c r="Q1716" t="n">
        <v>1</v>
      </c>
      <c r="R1716" t="n">
        <v>2023.6</v>
      </c>
      <c r="S1716" t="b">
        <v>1</v>
      </c>
      <c r="T1716" t="n">
        <v>1368092</v>
      </c>
      <c r="U1716" t="n">
        <v>4</v>
      </c>
      <c r="V1716" t="n">
        <v>0.0215</v>
      </c>
      <c r="W1716" t="n">
        <v>1.85</v>
      </c>
      <c r="X1716" t="n">
        <v>67.84999999999999</v>
      </c>
      <c r="Y1716">
        <f>VLOOKUP(D1716,$AB$2:$AC$7,2,FALSE)</f>
        <v/>
      </c>
      <c r="Z1716">
        <f>IF(A1716&lt;Y1716,"Yes","No")</f>
        <v/>
      </c>
    </row>
    <row r="1717">
      <c r="A1717" t="n">
        <v>2024</v>
      </c>
      <c r="B1717" t="inlineStr">
        <is>
          <t>Q4</t>
        </is>
      </c>
      <c r="C1717" t="inlineStr">
        <is>
          <t>North America</t>
        </is>
      </c>
      <c r="D1717" t="inlineStr">
        <is>
          <t>Semi</t>
        </is>
      </c>
      <c r="E1717" t="n">
        <v>4228</v>
      </c>
      <c r="F1717" t="n">
        <v>43056.34</v>
      </c>
      <c r="G1717" t="n">
        <v>0</v>
      </c>
      <c r="H1717" t="inlineStr">
        <is>
          <t>Standard</t>
        </is>
      </c>
      <c r="I1717" t="inlineStr">
        <is>
          <t>RWD</t>
        </is>
      </c>
      <c r="J1717" t="inlineStr">
        <is>
          <t>Silver</t>
        </is>
      </c>
      <c r="K1717" t="n">
        <v>405</v>
      </c>
      <c r="L1717" t="n">
        <v>40</v>
      </c>
      <c r="M1717" t="n">
        <v>19.99</v>
      </c>
      <c r="N1717" t="n">
        <v>5857.71</v>
      </c>
      <c r="O1717" t="n">
        <v>4.42</v>
      </c>
      <c r="P1717" t="n">
        <v>6</v>
      </c>
      <c r="Q1717" t="n">
        <v>0</v>
      </c>
      <c r="R1717" t="n">
        <v>2024.1</v>
      </c>
      <c r="S1717" t="b">
        <v>0</v>
      </c>
      <c r="T1717" t="n">
        <v>2165766</v>
      </c>
      <c r="U1717" t="n">
        <v>9</v>
      </c>
      <c r="V1717" t="n">
        <v>0.0791</v>
      </c>
      <c r="W1717" t="n">
        <v>2.4</v>
      </c>
      <c r="X1717" t="n">
        <v>76.61</v>
      </c>
      <c r="Y1717">
        <f>VLOOKUP(D1717,$AB$2:$AC$7,2,FALSE)</f>
        <v/>
      </c>
      <c r="Z1717">
        <f>IF(A1717&lt;Y1717,"Yes","No")</f>
        <v/>
      </c>
    </row>
    <row r="1718">
      <c r="A1718" t="n">
        <v>2024</v>
      </c>
      <c r="B1718" t="inlineStr">
        <is>
          <t>Q1</t>
        </is>
      </c>
      <c r="C1718" t="inlineStr">
        <is>
          <t>Europe</t>
        </is>
      </c>
      <c r="D1718" t="inlineStr">
        <is>
          <t>Model Y</t>
        </is>
      </c>
      <c r="E1718" t="n">
        <v>4271</v>
      </c>
      <c r="F1718" t="n">
        <v>44347.08</v>
      </c>
      <c r="G1718" t="n">
        <v>48</v>
      </c>
      <c r="H1718" t="inlineStr">
        <is>
          <t>Performance</t>
        </is>
      </c>
      <c r="I1718" t="inlineStr">
        <is>
          <t>AWD</t>
        </is>
      </c>
      <c r="J1718" t="inlineStr">
        <is>
          <t>Red</t>
        </is>
      </c>
      <c r="K1718" t="n">
        <v>357</v>
      </c>
      <c r="L1718" t="n">
        <v>63</v>
      </c>
      <c r="M1718" t="n">
        <v>23.22</v>
      </c>
      <c r="N1718" t="n">
        <v>4899.95</v>
      </c>
      <c r="O1718" t="n">
        <v>4.31</v>
      </c>
      <c r="P1718" t="n">
        <v>4</v>
      </c>
      <c r="Q1718" t="n">
        <v>2</v>
      </c>
      <c r="R1718" t="n">
        <v>2024.1</v>
      </c>
      <c r="S1718" t="b">
        <v>1</v>
      </c>
      <c r="T1718" t="n">
        <v>2346223</v>
      </c>
      <c r="U1718" t="n">
        <v>2</v>
      </c>
      <c r="V1718" t="n">
        <v>0.0273</v>
      </c>
      <c r="W1718" t="n">
        <v>1.07</v>
      </c>
      <c r="X1718" t="n">
        <v>85.18000000000001</v>
      </c>
      <c r="Y1718">
        <f>VLOOKUP(D1718,$AB$2:$AC$7,2,FALSE)</f>
        <v/>
      </c>
      <c r="Z1718">
        <f>IF(A1718&lt;Y1718,"Yes","No")</f>
        <v/>
      </c>
    </row>
    <row r="1719">
      <c r="A1719" t="n">
        <v>2017</v>
      </c>
      <c r="B1719" t="inlineStr">
        <is>
          <t>Q1</t>
        </is>
      </c>
      <c r="C1719" t="inlineStr">
        <is>
          <t>South America</t>
        </is>
      </c>
      <c r="D1719" t="inlineStr">
        <is>
          <t>Semi</t>
        </is>
      </c>
      <c r="E1719" t="n">
        <v>970</v>
      </c>
      <c r="F1719" t="n">
        <v>94064.64</v>
      </c>
      <c r="G1719" t="n">
        <v>57</v>
      </c>
      <c r="H1719" t="inlineStr">
        <is>
          <t>Standard</t>
        </is>
      </c>
      <c r="I1719" t="inlineStr">
        <is>
          <t>RWD</t>
        </is>
      </c>
      <c r="J1719" t="inlineStr">
        <is>
          <t>Blue</t>
        </is>
      </c>
      <c r="K1719" t="n">
        <v>463</v>
      </c>
      <c r="L1719" t="n">
        <v>51</v>
      </c>
      <c r="M1719" t="n">
        <v>24.49</v>
      </c>
      <c r="N1719" t="n">
        <v>1490.33</v>
      </c>
      <c r="O1719" t="n">
        <v>4.74</v>
      </c>
      <c r="P1719" t="n">
        <v>8</v>
      </c>
      <c r="Q1719" t="n">
        <v>0</v>
      </c>
      <c r="R1719" t="n">
        <v>2021.2</v>
      </c>
      <c r="S1719" t="b">
        <v>1</v>
      </c>
      <c r="T1719" t="n">
        <v>674512</v>
      </c>
      <c r="U1719" t="n">
        <v>3</v>
      </c>
      <c r="V1719" t="n">
        <v>0.047</v>
      </c>
      <c r="W1719" t="n">
        <v>1.33</v>
      </c>
      <c r="X1719" t="n">
        <v>69.09999999999999</v>
      </c>
      <c r="Y1719">
        <f>VLOOKUP(D1719,$AB$2:$AC$7,2,FALSE)</f>
        <v/>
      </c>
      <c r="Z1719">
        <f>IF(A1719&lt;Y1719,"Yes","No")</f>
        <v/>
      </c>
    </row>
    <row r="1720">
      <c r="A1720" t="n">
        <v>2012</v>
      </c>
      <c r="B1720" t="inlineStr">
        <is>
          <t>Q2</t>
        </is>
      </c>
      <c r="C1720" t="inlineStr">
        <is>
          <t>North America</t>
        </is>
      </c>
      <c r="D1720" t="inlineStr">
        <is>
          <t>Model 3</t>
        </is>
      </c>
      <c r="E1720" t="n">
        <v>2430</v>
      </c>
      <c r="F1720" t="n">
        <v>111986</v>
      </c>
      <c r="G1720" t="n">
        <v>28</v>
      </c>
      <c r="H1720" t="inlineStr">
        <is>
          <t>Long Range</t>
        </is>
      </c>
      <c r="I1720" t="inlineStr">
        <is>
          <t>RWD</t>
        </is>
      </c>
      <c r="J1720" t="inlineStr">
        <is>
          <t>Black</t>
        </is>
      </c>
      <c r="K1720" t="n">
        <v>608</v>
      </c>
      <c r="L1720" t="n">
        <v>37</v>
      </c>
      <c r="M1720" t="n">
        <v>14.79</v>
      </c>
      <c r="N1720" t="n">
        <v>4546.15</v>
      </c>
      <c r="O1720" t="n">
        <v>4.59</v>
      </c>
      <c r="P1720" t="n">
        <v>5</v>
      </c>
      <c r="Q1720" t="n">
        <v>3</v>
      </c>
      <c r="R1720" t="n">
        <v>2021.1</v>
      </c>
      <c r="S1720" t="b">
        <v>0</v>
      </c>
      <c r="T1720" t="n">
        <v>2343752</v>
      </c>
      <c r="U1720" t="n">
        <v>11</v>
      </c>
      <c r="V1720" t="n">
        <v>0.0558</v>
      </c>
      <c r="W1720" t="n">
        <v>1.62</v>
      </c>
      <c r="X1720" t="n">
        <v>85.18000000000001</v>
      </c>
      <c r="Y1720">
        <f>VLOOKUP(D1720,$AB$2:$AC$7,2,FALSE)</f>
        <v/>
      </c>
      <c r="Z1720">
        <f>IF(A1720&lt;Y1720,"Yes","No")</f>
        <v/>
      </c>
    </row>
    <row r="1721">
      <c r="A1721" t="n">
        <v>2021</v>
      </c>
      <c r="B1721" t="inlineStr">
        <is>
          <t>Q3</t>
        </is>
      </c>
      <c r="C1721" t="inlineStr">
        <is>
          <t>South America</t>
        </is>
      </c>
      <c r="D1721" t="inlineStr">
        <is>
          <t>Model S</t>
        </is>
      </c>
      <c r="E1721" t="n">
        <v>1460</v>
      </c>
      <c r="F1721" t="n">
        <v>68047.39</v>
      </c>
      <c r="G1721" t="n">
        <v>55</v>
      </c>
      <c r="H1721" t="inlineStr">
        <is>
          <t>Performance</t>
        </is>
      </c>
      <c r="I1721" t="inlineStr">
        <is>
          <t>AWD</t>
        </is>
      </c>
      <c r="J1721" t="inlineStr">
        <is>
          <t>Red</t>
        </is>
      </c>
      <c r="K1721" t="n">
        <v>475</v>
      </c>
      <c r="L1721" t="n">
        <v>44</v>
      </c>
      <c r="M1721" t="n">
        <v>13.95</v>
      </c>
      <c r="N1721" t="n">
        <v>3192.81</v>
      </c>
      <c r="O1721" t="n">
        <v>4.62</v>
      </c>
      <c r="P1721" t="n">
        <v>6</v>
      </c>
      <c r="Q1721" t="n">
        <v>3</v>
      </c>
      <c r="R1721" t="n">
        <v>2022.8</v>
      </c>
      <c r="S1721" t="b">
        <v>1</v>
      </c>
      <c r="T1721" t="n">
        <v>3619606</v>
      </c>
      <c r="U1721" t="n">
        <v>8</v>
      </c>
      <c r="V1721" t="n">
        <v>0.0419</v>
      </c>
      <c r="W1721" t="n">
        <v>2.2</v>
      </c>
      <c r="X1721" t="n">
        <v>87.56999999999999</v>
      </c>
      <c r="Y1721">
        <f>VLOOKUP(D1721,$AB$2:$AC$7,2,FALSE)</f>
        <v/>
      </c>
      <c r="Z1721">
        <f>IF(A1721&lt;Y1721,"Yes","No")</f>
        <v/>
      </c>
    </row>
    <row r="1722">
      <c r="A1722" t="n">
        <v>2022</v>
      </c>
      <c r="B1722" t="inlineStr">
        <is>
          <t>Q1</t>
        </is>
      </c>
      <c r="C1722" t="inlineStr">
        <is>
          <t>Europe</t>
        </is>
      </c>
      <c r="D1722" t="inlineStr">
        <is>
          <t>Model S</t>
        </is>
      </c>
      <c r="E1722" t="n">
        <v>2388</v>
      </c>
      <c r="F1722" t="n">
        <v>118297.75</v>
      </c>
      <c r="G1722" t="n">
        <v>39</v>
      </c>
      <c r="H1722" t="inlineStr">
        <is>
          <t>Long Range</t>
        </is>
      </c>
      <c r="I1722" t="inlineStr">
        <is>
          <t>AWD</t>
        </is>
      </c>
      <c r="J1722" t="inlineStr">
        <is>
          <t>White</t>
        </is>
      </c>
      <c r="K1722" t="n">
        <v>470</v>
      </c>
      <c r="L1722" t="n">
        <v>89</v>
      </c>
      <c r="M1722" t="n">
        <v>19.02</v>
      </c>
      <c r="N1722" t="n">
        <v>4419.77</v>
      </c>
      <c r="O1722" t="n">
        <v>4.09</v>
      </c>
      <c r="P1722" t="n">
        <v>4</v>
      </c>
      <c r="Q1722" t="n">
        <v>3</v>
      </c>
      <c r="R1722" t="n">
        <v>2022.6</v>
      </c>
      <c r="S1722" t="b">
        <v>1</v>
      </c>
      <c r="T1722" t="n">
        <v>4532231</v>
      </c>
      <c r="U1722" t="n">
        <v>8</v>
      </c>
      <c r="V1722" t="n">
        <v>0.023</v>
      </c>
      <c r="W1722" t="n">
        <v>1.95</v>
      </c>
      <c r="X1722" t="n">
        <v>87.95999999999999</v>
      </c>
      <c r="Y1722">
        <f>VLOOKUP(D1722,$AB$2:$AC$7,2,FALSE)</f>
        <v/>
      </c>
      <c r="Z1722">
        <f>IF(A1722&lt;Y1722,"Yes","No")</f>
        <v/>
      </c>
    </row>
    <row r="1723">
      <c r="A1723" t="n">
        <v>2017</v>
      </c>
      <c r="B1723" t="inlineStr">
        <is>
          <t>Q2</t>
        </is>
      </c>
      <c r="C1723" t="inlineStr">
        <is>
          <t>Europe</t>
        </is>
      </c>
      <c r="D1723" t="inlineStr">
        <is>
          <t>Model 3</t>
        </is>
      </c>
      <c r="E1723" t="n">
        <v>1902</v>
      </c>
      <c r="F1723" t="n">
        <v>36952.19</v>
      </c>
      <c r="G1723" t="n">
        <v>9</v>
      </c>
      <c r="H1723" t="inlineStr">
        <is>
          <t>Long Range</t>
        </is>
      </c>
      <c r="I1723" t="inlineStr">
        <is>
          <t>RWD</t>
        </is>
      </c>
      <c r="J1723" t="inlineStr">
        <is>
          <t>Blue</t>
        </is>
      </c>
      <c r="K1723" t="n">
        <v>480</v>
      </c>
      <c r="L1723" t="n">
        <v>36</v>
      </c>
      <c r="M1723" t="n">
        <v>24</v>
      </c>
      <c r="N1723" t="n">
        <v>2522.89</v>
      </c>
      <c r="O1723" t="n">
        <v>4.84</v>
      </c>
      <c r="P1723" t="n">
        <v>6</v>
      </c>
      <c r="Q1723" t="n">
        <v>2</v>
      </c>
      <c r="R1723" t="n">
        <v>2023.5</v>
      </c>
      <c r="S1723" t="b">
        <v>0</v>
      </c>
      <c r="T1723" t="n">
        <v>4664141</v>
      </c>
      <c r="U1723" t="n">
        <v>8</v>
      </c>
      <c r="V1723" t="n">
        <v>0.0207</v>
      </c>
      <c r="W1723" t="n">
        <v>1.99</v>
      </c>
      <c r="X1723" t="n">
        <v>80.63</v>
      </c>
      <c r="Y1723">
        <f>VLOOKUP(D1723,$AB$2:$AC$7,2,FALSE)</f>
        <v/>
      </c>
      <c r="Z1723">
        <f>IF(A1723&lt;Y1723,"Yes","No")</f>
        <v/>
      </c>
    </row>
    <row r="1724">
      <c r="A1724" t="n">
        <v>2020</v>
      </c>
      <c r="B1724" t="inlineStr">
        <is>
          <t>Q2</t>
        </is>
      </c>
      <c r="C1724" t="inlineStr">
        <is>
          <t>South America</t>
        </is>
      </c>
      <c r="D1724" t="inlineStr">
        <is>
          <t>Model 3</t>
        </is>
      </c>
      <c r="E1724" t="n">
        <v>2608</v>
      </c>
      <c r="F1724" t="n">
        <v>110183.54</v>
      </c>
      <c r="G1724" t="n">
        <v>2</v>
      </c>
      <c r="H1724" t="inlineStr">
        <is>
          <t>Performance</t>
        </is>
      </c>
      <c r="I1724" t="inlineStr">
        <is>
          <t>AWD</t>
        </is>
      </c>
      <c r="J1724" t="inlineStr">
        <is>
          <t>White</t>
        </is>
      </c>
      <c r="K1724" t="n">
        <v>488</v>
      </c>
      <c r="L1724" t="n">
        <v>70</v>
      </c>
      <c r="M1724" t="n">
        <v>22.79</v>
      </c>
      <c r="N1724" t="n">
        <v>2760.59</v>
      </c>
      <c r="O1724" t="n">
        <v>3.71</v>
      </c>
      <c r="P1724" t="n">
        <v>8</v>
      </c>
      <c r="Q1724" t="n">
        <v>2</v>
      </c>
      <c r="R1724" t="n">
        <v>2024.9</v>
      </c>
      <c r="S1724" t="b">
        <v>1</v>
      </c>
      <c r="T1724" t="n">
        <v>1542711</v>
      </c>
      <c r="U1724" t="n">
        <v>2</v>
      </c>
      <c r="V1724" t="n">
        <v>0.049</v>
      </c>
      <c r="W1724" t="n">
        <v>1.27</v>
      </c>
      <c r="X1724" t="n">
        <v>71.43000000000001</v>
      </c>
      <c r="Y1724">
        <f>VLOOKUP(D1724,$AB$2:$AC$7,2,FALSE)</f>
        <v/>
      </c>
      <c r="Z1724">
        <f>IF(A1724&lt;Y1724,"Yes","No")</f>
        <v/>
      </c>
    </row>
    <row r="1725">
      <c r="A1725" t="n">
        <v>2015</v>
      </c>
      <c r="B1725" t="inlineStr">
        <is>
          <t>Q2</t>
        </is>
      </c>
      <c r="C1725" t="inlineStr">
        <is>
          <t>Asia</t>
        </is>
      </c>
      <c r="D1725" t="inlineStr">
        <is>
          <t>Semi</t>
        </is>
      </c>
      <c r="E1725" t="n">
        <v>4948</v>
      </c>
      <c r="F1725" t="n">
        <v>70256.88</v>
      </c>
      <c r="G1725" t="n">
        <v>9</v>
      </c>
      <c r="H1725" t="inlineStr">
        <is>
          <t>Long Range</t>
        </is>
      </c>
      <c r="I1725" t="inlineStr">
        <is>
          <t>RWD</t>
        </is>
      </c>
      <c r="J1725" t="inlineStr">
        <is>
          <t>Green</t>
        </is>
      </c>
      <c r="K1725" t="n">
        <v>433</v>
      </c>
      <c r="L1725" t="n">
        <v>38</v>
      </c>
      <c r="M1725" t="n">
        <v>15.88</v>
      </c>
      <c r="N1725" t="n">
        <v>7806.68</v>
      </c>
      <c r="O1725" t="n">
        <v>3.62</v>
      </c>
      <c r="P1725" t="n">
        <v>5</v>
      </c>
      <c r="Q1725" t="n">
        <v>3</v>
      </c>
      <c r="R1725" t="n">
        <v>2022.4</v>
      </c>
      <c r="S1725" t="b">
        <v>0</v>
      </c>
      <c r="T1725" t="n">
        <v>1129834</v>
      </c>
      <c r="U1725" t="n">
        <v>10</v>
      </c>
      <c r="V1725" t="n">
        <v>0.0285</v>
      </c>
      <c r="W1725" t="n">
        <v>1.98</v>
      </c>
      <c r="X1725" t="n">
        <v>81.11</v>
      </c>
      <c r="Y1725">
        <f>VLOOKUP(D1725,$AB$2:$AC$7,2,FALSE)</f>
        <v/>
      </c>
      <c r="Z1725">
        <f>IF(A1725&lt;Y1725,"Yes","No")</f>
        <v/>
      </c>
    </row>
    <row r="1726">
      <c r="A1726" t="n">
        <v>2017</v>
      </c>
      <c r="B1726" t="inlineStr">
        <is>
          <t>Q3</t>
        </is>
      </c>
      <c r="C1726" t="inlineStr">
        <is>
          <t>Australia</t>
        </is>
      </c>
      <c r="D1726" t="inlineStr">
        <is>
          <t>Cybertruck</t>
        </is>
      </c>
      <c r="E1726" t="n">
        <v>318</v>
      </c>
      <c r="F1726" t="n">
        <v>48684.93</v>
      </c>
      <c r="G1726" t="n">
        <v>50</v>
      </c>
      <c r="H1726" t="inlineStr">
        <is>
          <t>Standard</t>
        </is>
      </c>
      <c r="I1726" t="inlineStr">
        <is>
          <t>AWD</t>
        </is>
      </c>
      <c r="J1726" t="inlineStr">
        <is>
          <t>Red</t>
        </is>
      </c>
      <c r="K1726" t="n">
        <v>582</v>
      </c>
      <c r="L1726" t="n">
        <v>61</v>
      </c>
      <c r="M1726" t="n">
        <v>13.97</v>
      </c>
      <c r="N1726" t="n">
        <v>777.9299999999999</v>
      </c>
      <c r="O1726" t="n">
        <v>4.13</v>
      </c>
      <c r="P1726" t="n">
        <v>6</v>
      </c>
      <c r="Q1726" t="n">
        <v>2</v>
      </c>
      <c r="R1726" t="n">
        <v>2020.3</v>
      </c>
      <c r="S1726" t="b">
        <v>0</v>
      </c>
      <c r="T1726" t="n">
        <v>4893182</v>
      </c>
      <c r="U1726" t="n">
        <v>6</v>
      </c>
      <c r="V1726" t="n">
        <v>0.0341</v>
      </c>
      <c r="W1726" t="n">
        <v>0.95</v>
      </c>
      <c r="X1726" t="n">
        <v>70.94</v>
      </c>
      <c r="Y1726">
        <f>VLOOKUP(D1726,$AB$2:$AC$7,2,FALSE)</f>
        <v/>
      </c>
      <c r="Z1726">
        <f>IF(A1726&lt;Y1726,"Yes","No")</f>
        <v/>
      </c>
    </row>
    <row r="1727">
      <c r="A1727" t="n">
        <v>2015</v>
      </c>
      <c r="B1727" t="inlineStr">
        <is>
          <t>Q3</t>
        </is>
      </c>
      <c r="C1727" t="inlineStr">
        <is>
          <t>North America</t>
        </is>
      </c>
      <c r="D1727" t="inlineStr">
        <is>
          <t>Semi</t>
        </is>
      </c>
      <c r="E1727" t="n">
        <v>2359</v>
      </c>
      <c r="F1727" t="n">
        <v>94203.97</v>
      </c>
      <c r="G1727" t="n">
        <v>39</v>
      </c>
      <c r="H1727" t="inlineStr">
        <is>
          <t>Standard</t>
        </is>
      </c>
      <c r="I1727" t="inlineStr">
        <is>
          <t>AWD</t>
        </is>
      </c>
      <c r="J1727" t="inlineStr">
        <is>
          <t>Green</t>
        </is>
      </c>
      <c r="K1727" t="n">
        <v>461</v>
      </c>
      <c r="L1727" t="n">
        <v>41</v>
      </c>
      <c r="M1727" t="n">
        <v>24.4</v>
      </c>
      <c r="N1727" t="n">
        <v>4651.74</v>
      </c>
      <c r="O1727" t="n">
        <v>3.69</v>
      </c>
      <c r="P1727" t="n">
        <v>8</v>
      </c>
      <c r="Q1727" t="n">
        <v>3</v>
      </c>
      <c r="R1727" t="n">
        <v>2023.1</v>
      </c>
      <c r="S1727" t="b">
        <v>1</v>
      </c>
      <c r="T1727" t="n">
        <v>3661389</v>
      </c>
      <c r="U1727" t="n">
        <v>8</v>
      </c>
      <c r="V1727" t="n">
        <v>0.06759999999999999</v>
      </c>
      <c r="W1727" t="n">
        <v>2.42</v>
      </c>
      <c r="X1727" t="n">
        <v>67.70999999999999</v>
      </c>
      <c r="Y1727">
        <f>VLOOKUP(D1727,$AB$2:$AC$7,2,FALSE)</f>
        <v/>
      </c>
      <c r="Z1727">
        <f>IF(A1727&lt;Y1727,"Yes","No")</f>
        <v/>
      </c>
    </row>
    <row r="1728">
      <c r="A1728" t="n">
        <v>2019</v>
      </c>
      <c r="B1728" t="inlineStr">
        <is>
          <t>Q2</t>
        </is>
      </c>
      <c r="C1728" t="inlineStr">
        <is>
          <t>North America</t>
        </is>
      </c>
      <c r="D1728" t="inlineStr">
        <is>
          <t>Semi</t>
        </is>
      </c>
      <c r="E1728" t="n">
        <v>849</v>
      </c>
      <c r="F1728" t="n">
        <v>41755.21</v>
      </c>
      <c r="G1728" t="n">
        <v>55</v>
      </c>
      <c r="H1728" t="inlineStr">
        <is>
          <t>Standard</t>
        </is>
      </c>
      <c r="I1728" t="inlineStr">
        <is>
          <t>RWD</t>
        </is>
      </c>
      <c r="J1728" t="inlineStr">
        <is>
          <t>Red</t>
        </is>
      </c>
      <c r="K1728" t="n">
        <v>632</v>
      </c>
      <c r="L1728" t="n">
        <v>44</v>
      </c>
      <c r="M1728" t="n">
        <v>19.11</v>
      </c>
      <c r="N1728" t="n">
        <v>843.74</v>
      </c>
      <c r="O1728" t="n">
        <v>4.2</v>
      </c>
      <c r="P1728" t="n">
        <v>5</v>
      </c>
      <c r="Q1728" t="n">
        <v>3</v>
      </c>
      <c r="R1728" t="n">
        <v>2020.2</v>
      </c>
      <c r="S1728" t="b">
        <v>0</v>
      </c>
      <c r="T1728" t="n">
        <v>4032374</v>
      </c>
      <c r="U1728" t="n">
        <v>9</v>
      </c>
      <c r="V1728" t="n">
        <v>0.08069999999999999</v>
      </c>
      <c r="W1728" t="n">
        <v>2.01</v>
      </c>
      <c r="X1728" t="n">
        <v>79.33</v>
      </c>
      <c r="Y1728">
        <f>VLOOKUP(D1728,$AB$2:$AC$7,2,FALSE)</f>
        <v/>
      </c>
      <c r="Z1728">
        <f>IF(A1728&lt;Y1728,"Yes","No")</f>
        <v/>
      </c>
    </row>
    <row r="1729">
      <c r="A1729" t="n">
        <v>2015</v>
      </c>
      <c r="B1729" t="inlineStr">
        <is>
          <t>Q3</t>
        </is>
      </c>
      <c r="C1729" t="inlineStr">
        <is>
          <t>Europe</t>
        </is>
      </c>
      <c r="D1729" t="inlineStr">
        <is>
          <t>Model 3</t>
        </is>
      </c>
      <c r="E1729" t="n">
        <v>2708</v>
      </c>
      <c r="F1729" t="n">
        <v>52998.18</v>
      </c>
      <c r="G1729" t="n">
        <v>14</v>
      </c>
      <c r="H1729" t="inlineStr">
        <is>
          <t>Performance</t>
        </is>
      </c>
      <c r="I1729" t="inlineStr">
        <is>
          <t>AWD</t>
        </is>
      </c>
      <c r="J1729" t="inlineStr">
        <is>
          <t>Black</t>
        </is>
      </c>
      <c r="K1729" t="n">
        <v>485</v>
      </c>
      <c r="L1729" t="n">
        <v>38</v>
      </c>
      <c r="M1729" t="n">
        <v>17.32</v>
      </c>
      <c r="N1729" t="n">
        <v>5492.78</v>
      </c>
      <c r="O1729" t="n">
        <v>4.22</v>
      </c>
      <c r="P1729" t="n">
        <v>5</v>
      </c>
      <c r="Q1729" t="n">
        <v>3</v>
      </c>
      <c r="R1729" t="n">
        <v>2023.5</v>
      </c>
      <c r="S1729" t="b">
        <v>0</v>
      </c>
      <c r="T1729" t="n">
        <v>3840491</v>
      </c>
      <c r="U1729" t="n">
        <v>12</v>
      </c>
      <c r="V1729" t="n">
        <v>0.0405</v>
      </c>
      <c r="W1729" t="n">
        <v>0.83</v>
      </c>
      <c r="X1729" t="n">
        <v>63.2</v>
      </c>
      <c r="Y1729">
        <f>VLOOKUP(D1729,$AB$2:$AC$7,2,FALSE)</f>
        <v/>
      </c>
      <c r="Z1729">
        <f>IF(A1729&lt;Y1729,"Yes","No")</f>
        <v/>
      </c>
    </row>
    <row r="1730">
      <c r="A1730" t="n">
        <v>2024</v>
      </c>
      <c r="B1730" t="inlineStr">
        <is>
          <t>Q3</t>
        </is>
      </c>
      <c r="C1730" t="inlineStr">
        <is>
          <t>Europe</t>
        </is>
      </c>
      <c r="D1730" t="inlineStr">
        <is>
          <t>Model S</t>
        </is>
      </c>
      <c r="E1730" t="n">
        <v>867</v>
      </c>
      <c r="F1730" t="n">
        <v>114533.2</v>
      </c>
      <c r="G1730" t="n">
        <v>18</v>
      </c>
      <c r="H1730" t="inlineStr">
        <is>
          <t>Performance</t>
        </is>
      </c>
      <c r="I1730" t="inlineStr">
        <is>
          <t>RWD</t>
        </is>
      </c>
      <c r="J1730" t="inlineStr">
        <is>
          <t>Blue</t>
        </is>
      </c>
      <c r="K1730" t="n">
        <v>367</v>
      </c>
      <c r="L1730" t="n">
        <v>44</v>
      </c>
      <c r="M1730" t="n">
        <v>21.53</v>
      </c>
      <c r="N1730" t="n">
        <v>762.27</v>
      </c>
      <c r="O1730" t="n">
        <v>3.85</v>
      </c>
      <c r="P1730" t="n">
        <v>8</v>
      </c>
      <c r="Q1730" t="n">
        <v>3</v>
      </c>
      <c r="R1730" t="n">
        <v>2024.9</v>
      </c>
      <c r="S1730" t="b">
        <v>0</v>
      </c>
      <c r="T1730" t="n">
        <v>1579297</v>
      </c>
      <c r="U1730" t="n">
        <v>2</v>
      </c>
      <c r="V1730" t="n">
        <v>0.07820000000000001</v>
      </c>
      <c r="W1730" t="n">
        <v>2.09</v>
      </c>
      <c r="X1730" t="n">
        <v>68.56</v>
      </c>
      <c r="Y1730">
        <f>VLOOKUP(D1730,$AB$2:$AC$7,2,FALSE)</f>
        <v/>
      </c>
      <c r="Z1730">
        <f>IF(A1730&lt;Y1730,"Yes","No")</f>
        <v/>
      </c>
    </row>
    <row r="1731">
      <c r="A1731" t="n">
        <v>2017</v>
      </c>
      <c r="B1731" t="inlineStr">
        <is>
          <t>Q2</t>
        </is>
      </c>
      <c r="C1731" t="inlineStr">
        <is>
          <t>Asia</t>
        </is>
      </c>
      <c r="D1731" t="inlineStr">
        <is>
          <t>Semi</t>
        </is>
      </c>
      <c r="E1731" t="n">
        <v>4170</v>
      </c>
      <c r="F1731" t="n">
        <v>102285.63</v>
      </c>
      <c r="G1731" t="n">
        <v>19</v>
      </c>
      <c r="H1731" t="inlineStr">
        <is>
          <t>Long Range</t>
        </is>
      </c>
      <c r="I1731" t="inlineStr">
        <is>
          <t>RWD</t>
        </is>
      </c>
      <c r="J1731" t="inlineStr">
        <is>
          <t>Red</t>
        </is>
      </c>
      <c r="K1731" t="n">
        <v>546</v>
      </c>
      <c r="L1731" t="n">
        <v>66</v>
      </c>
      <c r="M1731" t="n">
        <v>21.42</v>
      </c>
      <c r="N1731" t="n">
        <v>8108.7</v>
      </c>
      <c r="O1731" t="n">
        <v>3.87</v>
      </c>
      <c r="P1731" t="n">
        <v>5</v>
      </c>
      <c r="Q1731" t="n">
        <v>2</v>
      </c>
      <c r="R1731" t="n">
        <v>2021.3</v>
      </c>
      <c r="S1731" t="b">
        <v>1</v>
      </c>
      <c r="T1731" t="n">
        <v>1360081</v>
      </c>
      <c r="U1731" t="n">
        <v>7</v>
      </c>
      <c r="V1731" t="n">
        <v>0.0379</v>
      </c>
      <c r="W1731" t="n">
        <v>0.66</v>
      </c>
      <c r="X1731" t="n">
        <v>72.59</v>
      </c>
      <c r="Y1731">
        <f>VLOOKUP(D1731,$AB$2:$AC$7,2,FALSE)</f>
        <v/>
      </c>
      <c r="Z1731">
        <f>IF(A1731&lt;Y1731,"Yes","No")</f>
        <v/>
      </c>
    </row>
    <row r="1732">
      <c r="A1732" t="n">
        <v>2022</v>
      </c>
      <c r="B1732" t="inlineStr">
        <is>
          <t>Q4</t>
        </is>
      </c>
      <c r="C1732" t="inlineStr">
        <is>
          <t>South America</t>
        </is>
      </c>
      <c r="D1732" t="inlineStr">
        <is>
          <t>Model X</t>
        </is>
      </c>
      <c r="E1732" t="n">
        <v>3421</v>
      </c>
      <c r="F1732" t="n">
        <v>98421.09</v>
      </c>
      <c r="G1732" t="n">
        <v>28</v>
      </c>
      <c r="H1732" t="inlineStr">
        <is>
          <t>Performance</t>
        </is>
      </c>
      <c r="I1732" t="inlineStr">
        <is>
          <t>RWD</t>
        </is>
      </c>
      <c r="J1732" t="inlineStr">
        <is>
          <t>Silver</t>
        </is>
      </c>
      <c r="K1732" t="n">
        <v>690</v>
      </c>
      <c r="L1732" t="n">
        <v>80</v>
      </c>
      <c r="M1732" t="n">
        <v>13.82</v>
      </c>
      <c r="N1732" t="n">
        <v>8509.15</v>
      </c>
      <c r="O1732" t="n">
        <v>4.35</v>
      </c>
      <c r="P1732" t="n">
        <v>8</v>
      </c>
      <c r="Q1732" t="n">
        <v>1</v>
      </c>
      <c r="R1732" t="n">
        <v>2023.12</v>
      </c>
      <c r="S1732" t="b">
        <v>1</v>
      </c>
      <c r="T1732" t="n">
        <v>1985969</v>
      </c>
      <c r="U1732" t="n">
        <v>11</v>
      </c>
      <c r="V1732" t="n">
        <v>0.0393</v>
      </c>
      <c r="W1732" t="n">
        <v>1.94</v>
      </c>
      <c r="X1732" t="n">
        <v>83.41</v>
      </c>
      <c r="Y1732">
        <f>VLOOKUP(D1732,$AB$2:$AC$7,2,FALSE)</f>
        <v/>
      </c>
      <c r="Z1732">
        <f>IF(A1732&lt;Y1732,"Yes","No")</f>
        <v/>
      </c>
    </row>
    <row r="1733">
      <c r="A1733" t="n">
        <v>2017</v>
      </c>
      <c r="B1733" t="inlineStr">
        <is>
          <t>Q2</t>
        </is>
      </c>
      <c r="C1733" t="inlineStr">
        <is>
          <t>North America</t>
        </is>
      </c>
      <c r="D1733" t="inlineStr">
        <is>
          <t>Model S</t>
        </is>
      </c>
      <c r="E1733" t="n">
        <v>4639</v>
      </c>
      <c r="F1733" t="n">
        <v>63501.86</v>
      </c>
      <c r="G1733" t="n">
        <v>28</v>
      </c>
      <c r="H1733" t="inlineStr">
        <is>
          <t>Standard</t>
        </is>
      </c>
      <c r="I1733" t="inlineStr">
        <is>
          <t>AWD</t>
        </is>
      </c>
      <c r="J1733" t="inlineStr">
        <is>
          <t>Green</t>
        </is>
      </c>
      <c r="K1733" t="n">
        <v>520</v>
      </c>
      <c r="L1733" t="n">
        <v>70</v>
      </c>
      <c r="M1733" t="n">
        <v>13.62</v>
      </c>
      <c r="N1733" t="n">
        <v>8060.47</v>
      </c>
      <c r="O1733" t="n">
        <v>4.19</v>
      </c>
      <c r="P1733" t="n">
        <v>8</v>
      </c>
      <c r="Q1733" t="n">
        <v>3</v>
      </c>
      <c r="R1733" t="n">
        <v>2024.7</v>
      </c>
      <c r="S1733" t="b">
        <v>1</v>
      </c>
      <c r="T1733" t="n">
        <v>3464069</v>
      </c>
      <c r="U1733" t="n">
        <v>12</v>
      </c>
      <c r="V1733" t="n">
        <v>0.0277</v>
      </c>
      <c r="W1733" t="n">
        <v>2.33</v>
      </c>
      <c r="X1733" t="n">
        <v>77.5</v>
      </c>
      <c r="Y1733">
        <f>VLOOKUP(D1733,$AB$2:$AC$7,2,FALSE)</f>
        <v/>
      </c>
      <c r="Z1733">
        <f>IF(A1733&lt;Y1733,"Yes","No")</f>
        <v/>
      </c>
    </row>
    <row r="1734">
      <c r="A1734" t="n">
        <v>2017</v>
      </c>
      <c r="B1734" t="inlineStr">
        <is>
          <t>Q3</t>
        </is>
      </c>
      <c r="C1734" t="inlineStr">
        <is>
          <t>South America</t>
        </is>
      </c>
      <c r="D1734" t="inlineStr">
        <is>
          <t>Cybertruck</t>
        </is>
      </c>
      <c r="E1734" t="n">
        <v>4092</v>
      </c>
      <c r="F1734" t="n">
        <v>92712.14</v>
      </c>
      <c r="G1734" t="n">
        <v>36</v>
      </c>
      <c r="H1734" t="inlineStr">
        <is>
          <t>Standard</t>
        </is>
      </c>
      <c r="I1734" t="inlineStr">
        <is>
          <t>RWD</t>
        </is>
      </c>
      <c r="J1734" t="inlineStr">
        <is>
          <t>Silver</t>
        </is>
      </c>
      <c r="K1734" t="n">
        <v>671</v>
      </c>
      <c r="L1734" t="n">
        <v>70</v>
      </c>
      <c r="M1734" t="n">
        <v>14.84</v>
      </c>
      <c r="N1734" t="n">
        <v>9126.27</v>
      </c>
      <c r="O1734" t="n">
        <v>3.7</v>
      </c>
      <c r="P1734" t="n">
        <v>4</v>
      </c>
      <c r="Q1734" t="n">
        <v>0</v>
      </c>
      <c r="R1734" t="n">
        <v>2020.1</v>
      </c>
      <c r="S1734" t="b">
        <v>1</v>
      </c>
      <c r="T1734" t="n">
        <v>2243478</v>
      </c>
      <c r="U1734" t="n">
        <v>4</v>
      </c>
      <c r="V1734" t="n">
        <v>0.0554</v>
      </c>
      <c r="W1734" t="n">
        <v>1.32</v>
      </c>
      <c r="X1734" t="n">
        <v>72.48999999999999</v>
      </c>
      <c r="Y1734">
        <f>VLOOKUP(D1734,$AB$2:$AC$7,2,FALSE)</f>
        <v/>
      </c>
      <c r="Z1734">
        <f>IF(A1734&lt;Y1734,"Yes","No")</f>
        <v/>
      </c>
    </row>
    <row r="1735">
      <c r="A1735" t="n">
        <v>2012</v>
      </c>
      <c r="B1735" t="inlineStr">
        <is>
          <t>Q4</t>
        </is>
      </c>
      <c r="C1735" t="inlineStr">
        <is>
          <t>Europe</t>
        </is>
      </c>
      <c r="D1735" t="inlineStr">
        <is>
          <t>Model X</t>
        </is>
      </c>
      <c r="E1735" t="n">
        <v>752</v>
      </c>
      <c r="F1735" t="n">
        <v>62353.98</v>
      </c>
      <c r="G1735" t="n">
        <v>20</v>
      </c>
      <c r="H1735" t="inlineStr">
        <is>
          <t>Performance</t>
        </is>
      </c>
      <c r="I1735" t="inlineStr">
        <is>
          <t>RWD</t>
        </is>
      </c>
      <c r="J1735" t="inlineStr">
        <is>
          <t>Red</t>
        </is>
      </c>
      <c r="K1735" t="n">
        <v>479</v>
      </c>
      <c r="L1735" t="n">
        <v>85</v>
      </c>
      <c r="M1735" t="n">
        <v>19.99</v>
      </c>
      <c r="N1735" t="n">
        <v>1511.15</v>
      </c>
      <c r="O1735" t="n">
        <v>3.56</v>
      </c>
      <c r="P1735" t="n">
        <v>8</v>
      </c>
      <c r="Q1735" t="n">
        <v>3</v>
      </c>
      <c r="R1735" t="n">
        <v>2020.11</v>
      </c>
      <c r="S1735" t="b">
        <v>1</v>
      </c>
      <c r="T1735" t="n">
        <v>4388703</v>
      </c>
      <c r="U1735" t="n">
        <v>2</v>
      </c>
      <c r="V1735" t="n">
        <v>0.0101</v>
      </c>
      <c r="W1735" t="n">
        <v>1.03</v>
      </c>
      <c r="X1735" t="n">
        <v>88.2</v>
      </c>
      <c r="Y1735">
        <f>VLOOKUP(D1735,$AB$2:$AC$7,2,FALSE)</f>
        <v/>
      </c>
      <c r="Z1735">
        <f>IF(A1735&lt;Y1735,"Yes","No")</f>
        <v/>
      </c>
    </row>
    <row r="1736">
      <c r="A1736" t="n">
        <v>2020</v>
      </c>
      <c r="B1736" t="inlineStr">
        <is>
          <t>Q4</t>
        </is>
      </c>
      <c r="C1736" t="inlineStr">
        <is>
          <t>Europe</t>
        </is>
      </c>
      <c r="D1736" t="inlineStr">
        <is>
          <t>Model X</t>
        </is>
      </c>
      <c r="E1736" t="n">
        <v>1333</v>
      </c>
      <c r="F1736" t="n">
        <v>91011.42999999999</v>
      </c>
      <c r="G1736" t="n">
        <v>30</v>
      </c>
      <c r="H1736" t="inlineStr">
        <is>
          <t>Performance</t>
        </is>
      </c>
      <c r="I1736" t="inlineStr">
        <is>
          <t>RWD</t>
        </is>
      </c>
      <c r="J1736" t="inlineStr">
        <is>
          <t>Green</t>
        </is>
      </c>
      <c r="K1736" t="n">
        <v>651</v>
      </c>
      <c r="L1736" t="n">
        <v>55</v>
      </c>
      <c r="M1736" t="n">
        <v>18.08</v>
      </c>
      <c r="N1736" t="n">
        <v>2542.75</v>
      </c>
      <c r="O1736" t="n">
        <v>3.69</v>
      </c>
      <c r="P1736" t="n">
        <v>6</v>
      </c>
      <c r="Q1736" t="n">
        <v>1</v>
      </c>
      <c r="R1736" t="n">
        <v>2020.6</v>
      </c>
      <c r="S1736" t="b">
        <v>1</v>
      </c>
      <c r="T1736" t="n">
        <v>3930559</v>
      </c>
      <c r="U1736" t="n">
        <v>3</v>
      </c>
      <c r="V1736" t="n">
        <v>0.06279999999999999</v>
      </c>
      <c r="W1736" t="n">
        <v>0.8100000000000001</v>
      </c>
      <c r="X1736" t="n">
        <v>69.95999999999999</v>
      </c>
      <c r="Y1736">
        <f>VLOOKUP(D1736,$AB$2:$AC$7,2,FALSE)</f>
        <v/>
      </c>
      <c r="Z1736">
        <f>IF(A1736&lt;Y1736,"Yes","No")</f>
        <v/>
      </c>
    </row>
    <row r="1737">
      <c r="A1737" t="n">
        <v>2014</v>
      </c>
      <c r="B1737" t="inlineStr">
        <is>
          <t>Q2</t>
        </is>
      </c>
      <c r="C1737" t="inlineStr">
        <is>
          <t>Asia</t>
        </is>
      </c>
      <c r="D1737" t="inlineStr">
        <is>
          <t>Model 3</t>
        </is>
      </c>
      <c r="E1737" t="n">
        <v>1975</v>
      </c>
      <c r="F1737" t="n">
        <v>62841.46</v>
      </c>
      <c r="G1737" t="n">
        <v>60</v>
      </c>
      <c r="H1737" t="inlineStr">
        <is>
          <t>Long Range</t>
        </is>
      </c>
      <c r="I1737" t="inlineStr">
        <is>
          <t>RWD</t>
        </is>
      </c>
      <c r="J1737" t="inlineStr">
        <is>
          <t>White</t>
        </is>
      </c>
      <c r="K1737" t="n">
        <v>695</v>
      </c>
      <c r="L1737" t="n">
        <v>58</v>
      </c>
      <c r="M1737" t="n">
        <v>21.16</v>
      </c>
      <c r="N1737" t="n">
        <v>2953.44</v>
      </c>
      <c r="O1737" t="n">
        <v>3.82</v>
      </c>
      <c r="P1737" t="n">
        <v>5</v>
      </c>
      <c r="Q1737" t="n">
        <v>3</v>
      </c>
      <c r="R1737" t="n">
        <v>2022.9</v>
      </c>
      <c r="S1737" t="b">
        <v>0</v>
      </c>
      <c r="T1737" t="n">
        <v>2806759</v>
      </c>
      <c r="U1737" t="n">
        <v>2</v>
      </c>
      <c r="V1737" t="n">
        <v>0.0286</v>
      </c>
      <c r="W1737" t="n">
        <v>0.64</v>
      </c>
      <c r="X1737" t="n">
        <v>68.98999999999999</v>
      </c>
      <c r="Y1737">
        <f>VLOOKUP(D1737,$AB$2:$AC$7,2,FALSE)</f>
        <v/>
      </c>
      <c r="Z1737">
        <f>IF(A1737&lt;Y1737,"Yes","No")</f>
        <v/>
      </c>
    </row>
    <row r="1738">
      <c r="A1738" t="n">
        <v>2022</v>
      </c>
      <c r="B1738" t="inlineStr">
        <is>
          <t>Q4</t>
        </is>
      </c>
      <c r="C1738" t="inlineStr">
        <is>
          <t>South America</t>
        </is>
      </c>
      <c r="D1738" t="inlineStr">
        <is>
          <t>Model S</t>
        </is>
      </c>
      <c r="E1738" t="n">
        <v>2153</v>
      </c>
      <c r="F1738" t="n">
        <v>35085.81</v>
      </c>
      <c r="G1738" t="n">
        <v>58</v>
      </c>
      <c r="H1738" t="inlineStr">
        <is>
          <t>Long Range</t>
        </is>
      </c>
      <c r="I1738" t="inlineStr">
        <is>
          <t>AWD</t>
        </is>
      </c>
      <c r="J1738" t="inlineStr">
        <is>
          <t>Green</t>
        </is>
      </c>
      <c r="K1738" t="n">
        <v>671</v>
      </c>
      <c r="L1738" t="n">
        <v>41</v>
      </c>
      <c r="M1738" t="n">
        <v>23.41</v>
      </c>
      <c r="N1738" t="n">
        <v>1205.02</v>
      </c>
      <c r="O1738" t="n">
        <v>4.68</v>
      </c>
      <c r="P1738" t="n">
        <v>4</v>
      </c>
      <c r="Q1738" t="n">
        <v>0</v>
      </c>
      <c r="R1738" t="n">
        <v>2023.5</v>
      </c>
      <c r="S1738" t="b">
        <v>0</v>
      </c>
      <c r="T1738" t="n">
        <v>3397029</v>
      </c>
      <c r="U1738" t="n">
        <v>8</v>
      </c>
      <c r="V1738" t="n">
        <v>0.0644</v>
      </c>
      <c r="W1738" t="n">
        <v>1.5</v>
      </c>
      <c r="X1738" t="n">
        <v>80.06</v>
      </c>
      <c r="Y1738">
        <f>VLOOKUP(D1738,$AB$2:$AC$7,2,FALSE)</f>
        <v/>
      </c>
      <c r="Z1738">
        <f>IF(A1738&lt;Y1738,"Yes","No")</f>
        <v/>
      </c>
    </row>
    <row r="1739">
      <c r="A1739" t="n">
        <v>2019</v>
      </c>
      <c r="B1739" t="inlineStr">
        <is>
          <t>Q2</t>
        </is>
      </c>
      <c r="C1739" t="inlineStr">
        <is>
          <t>North America</t>
        </is>
      </c>
      <c r="D1739" t="inlineStr">
        <is>
          <t>Model Y</t>
        </is>
      </c>
      <c r="E1739" t="n">
        <v>1030</v>
      </c>
      <c r="F1739" t="n">
        <v>98809.39</v>
      </c>
      <c r="G1739" t="n">
        <v>10</v>
      </c>
      <c r="H1739" t="inlineStr">
        <is>
          <t>Long Range</t>
        </is>
      </c>
      <c r="I1739" t="inlineStr">
        <is>
          <t>AWD</t>
        </is>
      </c>
      <c r="J1739" t="inlineStr">
        <is>
          <t>White</t>
        </is>
      </c>
      <c r="K1739" t="n">
        <v>549</v>
      </c>
      <c r="L1739" t="n">
        <v>57</v>
      </c>
      <c r="M1739" t="n">
        <v>19.01</v>
      </c>
      <c r="N1739" t="n">
        <v>2182.92</v>
      </c>
      <c r="O1739" t="n">
        <v>4.67</v>
      </c>
      <c r="P1739" t="n">
        <v>4</v>
      </c>
      <c r="Q1739" t="n">
        <v>1</v>
      </c>
      <c r="R1739" t="n">
        <v>2021.6</v>
      </c>
      <c r="S1739" t="b">
        <v>1</v>
      </c>
      <c r="T1739" t="n">
        <v>3345194</v>
      </c>
      <c r="U1739" t="n">
        <v>11</v>
      </c>
      <c r="V1739" t="n">
        <v>0.0435</v>
      </c>
      <c r="W1739" t="n">
        <v>0.79</v>
      </c>
      <c r="X1739" t="n">
        <v>70.87</v>
      </c>
      <c r="Y1739">
        <f>VLOOKUP(D1739,$AB$2:$AC$7,2,FALSE)</f>
        <v/>
      </c>
      <c r="Z1739">
        <f>IF(A1739&lt;Y1739,"Yes","No")</f>
        <v/>
      </c>
    </row>
    <row r="1740">
      <c r="A1740" t="n">
        <v>2020</v>
      </c>
      <c r="B1740" t="inlineStr">
        <is>
          <t>Q4</t>
        </is>
      </c>
      <c r="C1740" t="inlineStr">
        <is>
          <t>Australia</t>
        </is>
      </c>
      <c r="D1740" t="inlineStr">
        <is>
          <t>Model Y</t>
        </is>
      </c>
      <c r="E1740" t="n">
        <v>1744</v>
      </c>
      <c r="F1740" t="n">
        <v>62214.95</v>
      </c>
      <c r="G1740" t="n">
        <v>0</v>
      </c>
      <c r="H1740" t="inlineStr">
        <is>
          <t>Long Range</t>
        </is>
      </c>
      <c r="I1740" t="inlineStr">
        <is>
          <t>AWD</t>
        </is>
      </c>
      <c r="J1740" t="inlineStr">
        <is>
          <t>Green</t>
        </is>
      </c>
      <c r="K1740" t="n">
        <v>378</v>
      </c>
      <c r="L1740" t="n">
        <v>72</v>
      </c>
      <c r="M1740" t="n">
        <v>18.99</v>
      </c>
      <c r="N1740" t="n">
        <v>2694.8</v>
      </c>
      <c r="O1740" t="n">
        <v>3.84</v>
      </c>
      <c r="P1740" t="n">
        <v>6</v>
      </c>
      <c r="Q1740" t="n">
        <v>3</v>
      </c>
      <c r="R1740" t="n">
        <v>2023.5</v>
      </c>
      <c r="S1740" t="b">
        <v>0</v>
      </c>
      <c r="T1740" t="n">
        <v>703781</v>
      </c>
      <c r="U1740" t="n">
        <v>4</v>
      </c>
      <c r="V1740" t="n">
        <v>0.0712</v>
      </c>
      <c r="W1740" t="n">
        <v>0.68</v>
      </c>
      <c r="X1740" t="n">
        <v>78.28</v>
      </c>
      <c r="Y1740">
        <f>VLOOKUP(D1740,$AB$2:$AC$7,2,FALSE)</f>
        <v/>
      </c>
      <c r="Z1740">
        <f>IF(A1740&lt;Y1740,"Yes","No")</f>
        <v/>
      </c>
    </row>
    <row r="1741">
      <c r="A1741" t="n">
        <v>2022</v>
      </c>
      <c r="B1741" t="inlineStr">
        <is>
          <t>Q2</t>
        </is>
      </c>
      <c r="C1741" t="inlineStr">
        <is>
          <t>Australia</t>
        </is>
      </c>
      <c r="D1741" t="inlineStr">
        <is>
          <t>Semi</t>
        </is>
      </c>
      <c r="E1741" t="n">
        <v>1987</v>
      </c>
      <c r="F1741" t="n">
        <v>44121.92</v>
      </c>
      <c r="G1741" t="n">
        <v>36</v>
      </c>
      <c r="H1741" t="inlineStr">
        <is>
          <t>Long Range</t>
        </is>
      </c>
      <c r="I1741" t="inlineStr">
        <is>
          <t>AWD</t>
        </is>
      </c>
      <c r="J1741" t="inlineStr">
        <is>
          <t>Blue</t>
        </is>
      </c>
      <c r="K1741" t="n">
        <v>520</v>
      </c>
      <c r="L1741" t="n">
        <v>55</v>
      </c>
      <c r="M1741" t="n">
        <v>21.38</v>
      </c>
      <c r="N1741" t="n">
        <v>2009.52</v>
      </c>
      <c r="O1741" t="n">
        <v>4.37</v>
      </c>
      <c r="P1741" t="n">
        <v>4</v>
      </c>
      <c r="Q1741" t="n">
        <v>2</v>
      </c>
      <c r="R1741" t="n">
        <v>2020.11</v>
      </c>
      <c r="S1741" t="b">
        <v>0</v>
      </c>
      <c r="T1741" t="n">
        <v>3398809</v>
      </c>
      <c r="U1741" t="n">
        <v>8</v>
      </c>
      <c r="V1741" t="n">
        <v>0.0296</v>
      </c>
      <c r="W1741" t="n">
        <v>0.53</v>
      </c>
      <c r="X1741" t="n">
        <v>79.56</v>
      </c>
      <c r="Y1741">
        <f>VLOOKUP(D1741,$AB$2:$AC$7,2,FALSE)</f>
        <v/>
      </c>
      <c r="Z1741">
        <f>IF(A1741&lt;Y1741,"Yes","No")</f>
        <v/>
      </c>
    </row>
    <row r="1742">
      <c r="A1742" t="n">
        <v>2015</v>
      </c>
      <c r="B1742" t="inlineStr">
        <is>
          <t>Q4</t>
        </is>
      </c>
      <c r="C1742" t="inlineStr">
        <is>
          <t>Europe</t>
        </is>
      </c>
      <c r="D1742" t="inlineStr">
        <is>
          <t>Semi</t>
        </is>
      </c>
      <c r="E1742" t="n">
        <v>1017</v>
      </c>
      <c r="F1742" t="n">
        <v>102366.09</v>
      </c>
      <c r="G1742" t="n">
        <v>3</v>
      </c>
      <c r="H1742" t="inlineStr">
        <is>
          <t>Long Range</t>
        </is>
      </c>
      <c r="I1742" t="inlineStr">
        <is>
          <t>AWD</t>
        </is>
      </c>
      <c r="J1742" t="inlineStr">
        <is>
          <t>Blue</t>
        </is>
      </c>
      <c r="K1742" t="n">
        <v>482</v>
      </c>
      <c r="L1742" t="n">
        <v>33</v>
      </c>
      <c r="M1742" t="n">
        <v>18.34</v>
      </c>
      <c r="N1742" t="n">
        <v>1448.86</v>
      </c>
      <c r="O1742" t="n">
        <v>4.61</v>
      </c>
      <c r="P1742" t="n">
        <v>4</v>
      </c>
      <c r="Q1742" t="n">
        <v>2</v>
      </c>
      <c r="R1742" t="n">
        <v>2024.2</v>
      </c>
      <c r="S1742" t="b">
        <v>1</v>
      </c>
      <c r="T1742" t="n">
        <v>1815316</v>
      </c>
      <c r="U1742" t="n">
        <v>12</v>
      </c>
      <c r="V1742" t="n">
        <v>0.0428</v>
      </c>
      <c r="W1742" t="n">
        <v>2.23</v>
      </c>
      <c r="X1742" t="n">
        <v>82.61</v>
      </c>
      <c r="Y1742">
        <f>VLOOKUP(D1742,$AB$2:$AC$7,2,FALSE)</f>
        <v/>
      </c>
      <c r="Z1742">
        <f>IF(A1742&lt;Y1742,"Yes","No")</f>
        <v/>
      </c>
    </row>
    <row r="1743">
      <c r="A1743" t="n">
        <v>2023</v>
      </c>
      <c r="B1743" t="inlineStr">
        <is>
          <t>Q4</t>
        </is>
      </c>
      <c r="C1743" t="inlineStr">
        <is>
          <t>Europe</t>
        </is>
      </c>
      <c r="D1743" t="inlineStr">
        <is>
          <t>Cybertruck</t>
        </is>
      </c>
      <c r="E1743" t="n">
        <v>3454</v>
      </c>
      <c r="F1743" t="n">
        <v>66015.69</v>
      </c>
      <c r="G1743" t="n">
        <v>10</v>
      </c>
      <c r="H1743" t="inlineStr">
        <is>
          <t>Long Range</t>
        </is>
      </c>
      <c r="I1743" t="inlineStr">
        <is>
          <t>AWD</t>
        </is>
      </c>
      <c r="J1743" t="inlineStr">
        <is>
          <t>Silver</t>
        </is>
      </c>
      <c r="K1743" t="n">
        <v>512</v>
      </c>
      <c r="L1743" t="n">
        <v>67</v>
      </c>
      <c r="M1743" t="n">
        <v>21.99</v>
      </c>
      <c r="N1743" t="n">
        <v>4438.85</v>
      </c>
      <c r="O1743" t="n">
        <v>4.19</v>
      </c>
      <c r="P1743" t="n">
        <v>4</v>
      </c>
      <c r="Q1743" t="n">
        <v>2</v>
      </c>
      <c r="R1743" t="n">
        <v>2022.5</v>
      </c>
      <c r="S1743" t="b">
        <v>1</v>
      </c>
      <c r="T1743" t="n">
        <v>4077905</v>
      </c>
      <c r="U1743" t="n">
        <v>3</v>
      </c>
      <c r="V1743" t="n">
        <v>0.0987</v>
      </c>
      <c r="W1743" t="n">
        <v>1.89</v>
      </c>
      <c r="X1743" t="n">
        <v>87.59999999999999</v>
      </c>
      <c r="Y1743">
        <f>VLOOKUP(D1743,$AB$2:$AC$7,2,FALSE)</f>
        <v/>
      </c>
      <c r="Z1743">
        <f>IF(A1743&lt;Y1743,"Yes","No")</f>
        <v/>
      </c>
    </row>
    <row r="1744">
      <c r="A1744" t="n">
        <v>2018</v>
      </c>
      <c r="B1744" t="inlineStr">
        <is>
          <t>Q1</t>
        </is>
      </c>
      <c r="C1744" t="inlineStr">
        <is>
          <t>Asia</t>
        </is>
      </c>
      <c r="D1744" t="inlineStr">
        <is>
          <t>Model X</t>
        </is>
      </c>
      <c r="E1744" t="n">
        <v>4548</v>
      </c>
      <c r="F1744" t="n">
        <v>50561.86</v>
      </c>
      <c r="G1744" t="n">
        <v>52</v>
      </c>
      <c r="H1744" t="inlineStr">
        <is>
          <t>Long Range</t>
        </is>
      </c>
      <c r="I1744" t="inlineStr">
        <is>
          <t>AWD</t>
        </is>
      </c>
      <c r="J1744" t="inlineStr">
        <is>
          <t>Red</t>
        </is>
      </c>
      <c r="K1744" t="n">
        <v>686</v>
      </c>
      <c r="L1744" t="n">
        <v>38</v>
      </c>
      <c r="M1744" t="n">
        <v>19.89</v>
      </c>
      <c r="N1744" t="n">
        <v>4246.84</v>
      </c>
      <c r="O1744" t="n">
        <v>4.54</v>
      </c>
      <c r="P1744" t="n">
        <v>4</v>
      </c>
      <c r="Q1744" t="n">
        <v>1</v>
      </c>
      <c r="R1744" t="n">
        <v>2021.7</v>
      </c>
      <c r="S1744" t="b">
        <v>1</v>
      </c>
      <c r="T1744" t="n">
        <v>4050741</v>
      </c>
      <c r="U1744" t="n">
        <v>6</v>
      </c>
      <c r="V1744" t="n">
        <v>0.0479</v>
      </c>
      <c r="W1744" t="n">
        <v>0.8100000000000001</v>
      </c>
      <c r="X1744" t="n">
        <v>67.48999999999999</v>
      </c>
      <c r="Y1744">
        <f>VLOOKUP(D1744,$AB$2:$AC$7,2,FALSE)</f>
        <v/>
      </c>
      <c r="Z1744">
        <f>IF(A1744&lt;Y1744,"Yes","No")</f>
        <v/>
      </c>
    </row>
    <row r="1745">
      <c r="A1745" t="n">
        <v>2024</v>
      </c>
      <c r="B1745" t="inlineStr">
        <is>
          <t>Q3</t>
        </is>
      </c>
      <c r="C1745" t="inlineStr">
        <is>
          <t>North America</t>
        </is>
      </c>
      <c r="D1745" t="inlineStr">
        <is>
          <t>Model X</t>
        </is>
      </c>
      <c r="E1745" t="n">
        <v>4143</v>
      </c>
      <c r="F1745" t="n">
        <v>75972.50999999999</v>
      </c>
      <c r="G1745" t="n">
        <v>44</v>
      </c>
      <c r="H1745" t="inlineStr">
        <is>
          <t>Standard</t>
        </is>
      </c>
      <c r="I1745" t="inlineStr">
        <is>
          <t>AWD</t>
        </is>
      </c>
      <c r="J1745" t="inlineStr">
        <is>
          <t>Silver</t>
        </is>
      </c>
      <c r="K1745" t="n">
        <v>486</v>
      </c>
      <c r="L1745" t="n">
        <v>41</v>
      </c>
      <c r="M1745" t="n">
        <v>21.4</v>
      </c>
      <c r="N1745" t="n">
        <v>7425.48</v>
      </c>
      <c r="O1745" t="n">
        <v>3.59</v>
      </c>
      <c r="P1745" t="n">
        <v>6</v>
      </c>
      <c r="Q1745" t="n">
        <v>3</v>
      </c>
      <c r="R1745" t="n">
        <v>2020.8</v>
      </c>
      <c r="S1745" t="b">
        <v>0</v>
      </c>
      <c r="T1745" t="n">
        <v>3158381</v>
      </c>
      <c r="U1745" t="n">
        <v>7</v>
      </c>
      <c r="V1745" t="n">
        <v>0.0602</v>
      </c>
      <c r="W1745" t="n">
        <v>0.8100000000000001</v>
      </c>
      <c r="X1745" t="n">
        <v>66.59999999999999</v>
      </c>
      <c r="Y1745">
        <f>VLOOKUP(D1745,$AB$2:$AC$7,2,FALSE)</f>
        <v/>
      </c>
      <c r="Z1745">
        <f>IF(A1745&lt;Y1745,"Yes","No")</f>
        <v/>
      </c>
    </row>
    <row r="1746">
      <c r="A1746" t="n">
        <v>2017</v>
      </c>
      <c r="B1746" t="inlineStr">
        <is>
          <t>Q3</t>
        </is>
      </c>
      <c r="C1746" t="inlineStr">
        <is>
          <t>Europe</t>
        </is>
      </c>
      <c r="D1746" t="inlineStr">
        <is>
          <t>Semi</t>
        </is>
      </c>
      <c r="E1746" t="n">
        <v>4529</v>
      </c>
      <c r="F1746" t="n">
        <v>62468.9</v>
      </c>
      <c r="G1746" t="n">
        <v>31</v>
      </c>
      <c r="H1746" t="inlineStr">
        <is>
          <t>Performance</t>
        </is>
      </c>
      <c r="I1746" t="inlineStr">
        <is>
          <t>AWD</t>
        </is>
      </c>
      <c r="J1746" t="inlineStr">
        <is>
          <t>Blue</t>
        </is>
      </c>
      <c r="K1746" t="n">
        <v>449</v>
      </c>
      <c r="L1746" t="n">
        <v>30</v>
      </c>
      <c r="M1746" t="n">
        <v>22.41</v>
      </c>
      <c r="N1746" t="n">
        <v>3635.53</v>
      </c>
      <c r="O1746" t="n">
        <v>3.72</v>
      </c>
      <c r="P1746" t="n">
        <v>5</v>
      </c>
      <c r="Q1746" t="n">
        <v>1</v>
      </c>
      <c r="R1746" t="n">
        <v>2021.6</v>
      </c>
      <c r="S1746" t="b">
        <v>1</v>
      </c>
      <c r="T1746" t="n">
        <v>4656422</v>
      </c>
      <c r="U1746" t="n">
        <v>9</v>
      </c>
      <c r="V1746" t="n">
        <v>0.0574</v>
      </c>
      <c r="W1746" t="n">
        <v>1.5</v>
      </c>
      <c r="X1746" t="n">
        <v>71.23999999999999</v>
      </c>
      <c r="Y1746">
        <f>VLOOKUP(D1746,$AB$2:$AC$7,2,FALSE)</f>
        <v/>
      </c>
      <c r="Z1746">
        <f>IF(A1746&lt;Y1746,"Yes","No")</f>
        <v/>
      </c>
    </row>
    <row r="1747">
      <c r="A1747" t="n">
        <v>2015</v>
      </c>
      <c r="B1747" t="inlineStr">
        <is>
          <t>Q3</t>
        </is>
      </c>
      <c r="C1747" t="inlineStr">
        <is>
          <t>South America</t>
        </is>
      </c>
      <c r="D1747" t="inlineStr">
        <is>
          <t>Semi</t>
        </is>
      </c>
      <c r="E1747" t="n">
        <v>3408</v>
      </c>
      <c r="F1747" t="n">
        <v>60527.26</v>
      </c>
      <c r="G1747" t="n">
        <v>60</v>
      </c>
      <c r="H1747" t="inlineStr">
        <is>
          <t>Standard</t>
        </is>
      </c>
      <c r="I1747" t="inlineStr">
        <is>
          <t>RWD</t>
        </is>
      </c>
      <c r="J1747" t="inlineStr">
        <is>
          <t>Silver</t>
        </is>
      </c>
      <c r="K1747" t="n">
        <v>690</v>
      </c>
      <c r="L1747" t="n">
        <v>49</v>
      </c>
      <c r="M1747" t="n">
        <v>23.21</v>
      </c>
      <c r="N1747" t="n">
        <v>5104.07</v>
      </c>
      <c r="O1747" t="n">
        <v>4.12</v>
      </c>
      <c r="P1747" t="n">
        <v>6</v>
      </c>
      <c r="Q1747" t="n">
        <v>2</v>
      </c>
      <c r="R1747" t="n">
        <v>2020.8</v>
      </c>
      <c r="S1747" t="b">
        <v>1</v>
      </c>
      <c r="T1747" t="n">
        <v>4461411</v>
      </c>
      <c r="U1747" t="n">
        <v>5</v>
      </c>
      <c r="V1747" t="n">
        <v>0.0192</v>
      </c>
      <c r="W1747" t="n">
        <v>0.52</v>
      </c>
      <c r="X1747" t="n">
        <v>88.95</v>
      </c>
      <c r="Y1747">
        <f>VLOOKUP(D1747,$AB$2:$AC$7,2,FALSE)</f>
        <v/>
      </c>
      <c r="Z1747">
        <f>IF(A1747&lt;Y1747,"Yes","No")</f>
        <v/>
      </c>
    </row>
    <row r="1748">
      <c r="A1748" t="n">
        <v>2020</v>
      </c>
      <c r="B1748" t="inlineStr">
        <is>
          <t>Q3</t>
        </is>
      </c>
      <c r="C1748" t="inlineStr">
        <is>
          <t>North America</t>
        </is>
      </c>
      <c r="D1748" t="inlineStr">
        <is>
          <t>Cybertruck</t>
        </is>
      </c>
      <c r="E1748" t="n">
        <v>4525</v>
      </c>
      <c r="F1748" t="n">
        <v>39175</v>
      </c>
      <c r="G1748" t="n">
        <v>34</v>
      </c>
      <c r="H1748" t="inlineStr">
        <is>
          <t>Long Range</t>
        </is>
      </c>
      <c r="I1748" t="inlineStr">
        <is>
          <t>RWD</t>
        </is>
      </c>
      <c r="J1748" t="inlineStr">
        <is>
          <t>Blue</t>
        </is>
      </c>
      <c r="K1748" t="n">
        <v>508</v>
      </c>
      <c r="L1748" t="n">
        <v>82</v>
      </c>
      <c r="M1748" t="n">
        <v>24.23</v>
      </c>
      <c r="N1748" t="n">
        <v>5435.61</v>
      </c>
      <c r="O1748" t="n">
        <v>3.54</v>
      </c>
      <c r="P1748" t="n">
        <v>6</v>
      </c>
      <c r="Q1748" t="n">
        <v>0</v>
      </c>
      <c r="R1748" t="n">
        <v>2020.6</v>
      </c>
      <c r="S1748" t="b">
        <v>1</v>
      </c>
      <c r="T1748" t="n">
        <v>1013287</v>
      </c>
      <c r="U1748" t="n">
        <v>2</v>
      </c>
      <c r="V1748" t="n">
        <v>0.0606</v>
      </c>
      <c r="W1748" t="n">
        <v>1.78</v>
      </c>
      <c r="X1748" t="n">
        <v>86.69</v>
      </c>
      <c r="Y1748">
        <f>VLOOKUP(D1748,$AB$2:$AC$7,2,FALSE)</f>
        <v/>
      </c>
      <c r="Z1748">
        <f>IF(A1748&lt;Y1748,"Yes","No")</f>
        <v/>
      </c>
    </row>
    <row r="1749">
      <c r="A1749" t="n">
        <v>2018</v>
      </c>
      <c r="B1749" t="inlineStr">
        <is>
          <t>Q4</t>
        </is>
      </c>
      <c r="C1749" t="inlineStr">
        <is>
          <t>South America</t>
        </is>
      </c>
      <c r="D1749" t="inlineStr">
        <is>
          <t>Model Y</t>
        </is>
      </c>
      <c r="E1749" t="n">
        <v>2179</v>
      </c>
      <c r="F1749" t="n">
        <v>56559.29</v>
      </c>
      <c r="G1749" t="n">
        <v>27</v>
      </c>
      <c r="H1749" t="inlineStr">
        <is>
          <t>Standard</t>
        </is>
      </c>
      <c r="I1749" t="inlineStr">
        <is>
          <t>AWD</t>
        </is>
      </c>
      <c r="J1749" t="inlineStr">
        <is>
          <t>Blue</t>
        </is>
      </c>
      <c r="K1749" t="n">
        <v>622</v>
      </c>
      <c r="L1749" t="n">
        <v>81</v>
      </c>
      <c r="M1749" t="n">
        <v>22.26</v>
      </c>
      <c r="N1749" t="n">
        <v>3477.92</v>
      </c>
      <c r="O1749" t="n">
        <v>4.14</v>
      </c>
      <c r="P1749" t="n">
        <v>5</v>
      </c>
      <c r="Q1749" t="n">
        <v>3</v>
      </c>
      <c r="R1749" t="n">
        <v>2022.7</v>
      </c>
      <c r="S1749" t="b">
        <v>0</v>
      </c>
      <c r="T1749" t="n">
        <v>2132030</v>
      </c>
      <c r="U1749" t="n">
        <v>5</v>
      </c>
      <c r="V1749" t="n">
        <v>0.0311</v>
      </c>
      <c r="W1749" t="n">
        <v>2.13</v>
      </c>
      <c r="X1749" t="n">
        <v>73.28</v>
      </c>
      <c r="Y1749">
        <f>VLOOKUP(D1749,$AB$2:$AC$7,2,FALSE)</f>
        <v/>
      </c>
      <c r="Z1749">
        <f>IF(A1749&lt;Y1749,"Yes","No")</f>
        <v/>
      </c>
    </row>
    <row r="1750">
      <c r="A1750" t="n">
        <v>2023</v>
      </c>
      <c r="B1750" t="inlineStr">
        <is>
          <t>Q4</t>
        </is>
      </c>
      <c r="C1750" t="inlineStr">
        <is>
          <t>Europe</t>
        </is>
      </c>
      <c r="D1750" t="inlineStr">
        <is>
          <t>Model 3</t>
        </is>
      </c>
      <c r="E1750" t="n">
        <v>3978</v>
      </c>
      <c r="F1750" t="n">
        <v>84058.35000000001</v>
      </c>
      <c r="G1750" t="n">
        <v>55</v>
      </c>
      <c r="H1750" t="inlineStr">
        <is>
          <t>Standard</t>
        </is>
      </c>
      <c r="I1750" t="inlineStr">
        <is>
          <t>AWD</t>
        </is>
      </c>
      <c r="J1750" t="inlineStr">
        <is>
          <t>Green</t>
        </is>
      </c>
      <c r="K1750" t="n">
        <v>570</v>
      </c>
      <c r="L1750" t="n">
        <v>88</v>
      </c>
      <c r="M1750" t="n">
        <v>23.71</v>
      </c>
      <c r="N1750" t="n">
        <v>5982.9</v>
      </c>
      <c r="O1750" t="n">
        <v>4.42</v>
      </c>
      <c r="P1750" t="n">
        <v>4</v>
      </c>
      <c r="Q1750" t="n">
        <v>2</v>
      </c>
      <c r="R1750" t="n">
        <v>2020.3</v>
      </c>
      <c r="S1750" t="b">
        <v>1</v>
      </c>
      <c r="T1750" t="n">
        <v>4167831</v>
      </c>
      <c r="U1750" t="n">
        <v>6</v>
      </c>
      <c r="V1750" t="n">
        <v>0.0286</v>
      </c>
      <c r="W1750" t="n">
        <v>2.27</v>
      </c>
      <c r="X1750" t="n">
        <v>74.95999999999999</v>
      </c>
      <c r="Y1750">
        <f>VLOOKUP(D1750,$AB$2:$AC$7,2,FALSE)</f>
        <v/>
      </c>
      <c r="Z1750">
        <f>IF(A1750&lt;Y1750,"Yes","No")</f>
        <v/>
      </c>
    </row>
    <row r="1751">
      <c r="A1751" t="n">
        <v>2016</v>
      </c>
      <c r="B1751" t="inlineStr">
        <is>
          <t>Q3</t>
        </is>
      </c>
      <c r="C1751" t="inlineStr">
        <is>
          <t>North America</t>
        </is>
      </c>
      <c r="D1751" t="inlineStr">
        <is>
          <t>Model X</t>
        </is>
      </c>
      <c r="E1751" t="n">
        <v>1398</v>
      </c>
      <c r="F1751" t="n">
        <v>44800.83</v>
      </c>
      <c r="G1751" t="n">
        <v>18</v>
      </c>
      <c r="H1751" t="inlineStr">
        <is>
          <t>Standard</t>
        </is>
      </c>
      <c r="I1751" t="inlineStr">
        <is>
          <t>RWD</t>
        </is>
      </c>
      <c r="J1751" t="inlineStr">
        <is>
          <t>Green</t>
        </is>
      </c>
      <c r="K1751" t="n">
        <v>351</v>
      </c>
      <c r="L1751" t="n">
        <v>46</v>
      </c>
      <c r="M1751" t="n">
        <v>18.68</v>
      </c>
      <c r="N1751" t="n">
        <v>2800.33</v>
      </c>
      <c r="O1751" t="n">
        <v>3.54</v>
      </c>
      <c r="P1751" t="n">
        <v>8</v>
      </c>
      <c r="Q1751" t="n">
        <v>3</v>
      </c>
      <c r="R1751" t="n">
        <v>2021.1</v>
      </c>
      <c r="S1751" t="b">
        <v>1</v>
      </c>
      <c r="T1751" t="n">
        <v>2362250</v>
      </c>
      <c r="U1751" t="n">
        <v>7</v>
      </c>
      <c r="V1751" t="n">
        <v>0.0955</v>
      </c>
      <c r="W1751" t="n">
        <v>1.47</v>
      </c>
      <c r="X1751" t="n">
        <v>67.09</v>
      </c>
      <c r="Y1751">
        <f>VLOOKUP(D1751,$AB$2:$AC$7,2,FALSE)</f>
        <v/>
      </c>
      <c r="Z1751">
        <f>IF(A1751&lt;Y1751,"Yes","No")</f>
        <v/>
      </c>
    </row>
    <row r="1752">
      <c r="A1752" t="n">
        <v>2018</v>
      </c>
      <c r="B1752" t="inlineStr">
        <is>
          <t>Q4</t>
        </is>
      </c>
      <c r="C1752" t="inlineStr">
        <is>
          <t>North America</t>
        </is>
      </c>
      <c r="D1752" t="inlineStr">
        <is>
          <t>Cybertruck</t>
        </is>
      </c>
      <c r="E1752" t="n">
        <v>4413</v>
      </c>
      <c r="F1752" t="n">
        <v>98841.35000000001</v>
      </c>
      <c r="G1752" t="n">
        <v>59</v>
      </c>
      <c r="H1752" t="inlineStr">
        <is>
          <t>Long Range</t>
        </is>
      </c>
      <c r="I1752" t="inlineStr">
        <is>
          <t>AWD</t>
        </is>
      </c>
      <c r="J1752" t="inlineStr">
        <is>
          <t>Silver</t>
        </is>
      </c>
      <c r="K1752" t="n">
        <v>635</v>
      </c>
      <c r="L1752" t="n">
        <v>35</v>
      </c>
      <c r="M1752" t="n">
        <v>18.27</v>
      </c>
      <c r="N1752" t="n">
        <v>4836.99</v>
      </c>
      <c r="O1752" t="n">
        <v>4.97</v>
      </c>
      <c r="P1752" t="n">
        <v>5</v>
      </c>
      <c r="Q1752" t="n">
        <v>3</v>
      </c>
      <c r="R1752" t="n">
        <v>2023.6</v>
      </c>
      <c r="S1752" t="b">
        <v>1</v>
      </c>
      <c r="T1752" t="n">
        <v>3801224</v>
      </c>
      <c r="U1752" t="n">
        <v>12</v>
      </c>
      <c r="V1752" t="n">
        <v>0.0576</v>
      </c>
      <c r="W1752" t="n">
        <v>1.2</v>
      </c>
      <c r="X1752" t="n">
        <v>73.51000000000001</v>
      </c>
      <c r="Y1752">
        <f>VLOOKUP(D1752,$AB$2:$AC$7,2,FALSE)</f>
        <v/>
      </c>
      <c r="Z1752">
        <f>IF(A1752&lt;Y1752,"Yes","No")</f>
        <v/>
      </c>
    </row>
    <row r="1753">
      <c r="A1753" t="n">
        <v>2016</v>
      </c>
      <c r="B1753" t="inlineStr">
        <is>
          <t>Q3</t>
        </is>
      </c>
      <c r="C1753" t="inlineStr">
        <is>
          <t>Asia</t>
        </is>
      </c>
      <c r="D1753" t="inlineStr">
        <is>
          <t>Model Y</t>
        </is>
      </c>
      <c r="E1753" t="n">
        <v>1004</v>
      </c>
      <c r="F1753" t="n">
        <v>55802.92</v>
      </c>
      <c r="G1753" t="n">
        <v>51</v>
      </c>
      <c r="H1753" t="inlineStr">
        <is>
          <t>Performance</t>
        </is>
      </c>
      <c r="I1753" t="inlineStr">
        <is>
          <t>RWD</t>
        </is>
      </c>
      <c r="J1753" t="inlineStr">
        <is>
          <t>White</t>
        </is>
      </c>
      <c r="K1753" t="n">
        <v>485</v>
      </c>
      <c r="L1753" t="n">
        <v>80</v>
      </c>
      <c r="M1753" t="n">
        <v>21.67</v>
      </c>
      <c r="N1753" t="n">
        <v>2374.87</v>
      </c>
      <c r="O1753" t="n">
        <v>3.6</v>
      </c>
      <c r="P1753" t="n">
        <v>8</v>
      </c>
      <c r="Q1753" t="n">
        <v>1</v>
      </c>
      <c r="R1753" t="n">
        <v>2024.6</v>
      </c>
      <c r="S1753" t="b">
        <v>1</v>
      </c>
      <c r="T1753" t="n">
        <v>2943297</v>
      </c>
      <c r="U1753" t="n">
        <v>9</v>
      </c>
      <c r="V1753" t="n">
        <v>0.0326</v>
      </c>
      <c r="W1753" t="n">
        <v>1.45</v>
      </c>
      <c r="X1753" t="n">
        <v>68.33</v>
      </c>
      <c r="Y1753">
        <f>VLOOKUP(D1753,$AB$2:$AC$7,2,FALSE)</f>
        <v/>
      </c>
      <c r="Z1753">
        <f>IF(A1753&lt;Y1753,"Yes","No")</f>
        <v/>
      </c>
    </row>
    <row r="1754">
      <c r="A1754" t="n">
        <v>2019</v>
      </c>
      <c r="B1754" t="inlineStr">
        <is>
          <t>Q2</t>
        </is>
      </c>
      <c r="C1754" t="inlineStr">
        <is>
          <t>North America</t>
        </is>
      </c>
      <c r="D1754" t="inlineStr">
        <is>
          <t>Model 3</t>
        </is>
      </c>
      <c r="E1754" t="n">
        <v>1870</v>
      </c>
      <c r="F1754" t="n">
        <v>78145.08</v>
      </c>
      <c r="G1754" t="n">
        <v>32</v>
      </c>
      <c r="H1754" t="inlineStr">
        <is>
          <t>Long Range</t>
        </is>
      </c>
      <c r="I1754" t="inlineStr">
        <is>
          <t>RWD</t>
        </is>
      </c>
      <c r="J1754" t="inlineStr">
        <is>
          <t>White</t>
        </is>
      </c>
      <c r="K1754" t="n">
        <v>546</v>
      </c>
      <c r="L1754" t="n">
        <v>87</v>
      </c>
      <c r="M1754" t="n">
        <v>22.78</v>
      </c>
      <c r="N1754" t="n">
        <v>3872.58</v>
      </c>
      <c r="O1754" t="n">
        <v>4.88</v>
      </c>
      <c r="P1754" t="n">
        <v>4</v>
      </c>
      <c r="Q1754" t="n">
        <v>3</v>
      </c>
      <c r="R1754" t="n">
        <v>2022.6</v>
      </c>
      <c r="S1754" t="b">
        <v>0</v>
      </c>
      <c r="T1754" t="n">
        <v>4611951</v>
      </c>
      <c r="U1754" t="n">
        <v>5</v>
      </c>
      <c r="V1754" t="n">
        <v>0.0214</v>
      </c>
      <c r="W1754" t="n">
        <v>0.87</v>
      </c>
      <c r="X1754" t="n">
        <v>77.84</v>
      </c>
      <c r="Y1754">
        <f>VLOOKUP(D1754,$AB$2:$AC$7,2,FALSE)</f>
        <v/>
      </c>
      <c r="Z1754">
        <f>IF(A1754&lt;Y1754,"Yes","No")</f>
        <v/>
      </c>
    </row>
    <row r="1755">
      <c r="A1755" t="n">
        <v>2022</v>
      </c>
      <c r="B1755" t="inlineStr">
        <is>
          <t>Q1</t>
        </is>
      </c>
      <c r="C1755" t="inlineStr">
        <is>
          <t>North America</t>
        </is>
      </c>
      <c r="D1755" t="inlineStr">
        <is>
          <t>Model X</t>
        </is>
      </c>
      <c r="E1755" t="n">
        <v>4876</v>
      </c>
      <c r="F1755" t="n">
        <v>36045.1</v>
      </c>
      <c r="G1755" t="n">
        <v>18</v>
      </c>
      <c r="H1755" t="inlineStr">
        <is>
          <t>Long Range</t>
        </is>
      </c>
      <c r="I1755" t="inlineStr">
        <is>
          <t>AWD</t>
        </is>
      </c>
      <c r="J1755" t="inlineStr">
        <is>
          <t>Blue</t>
        </is>
      </c>
      <c r="K1755" t="n">
        <v>467</v>
      </c>
      <c r="L1755" t="n">
        <v>54</v>
      </c>
      <c r="M1755" t="n">
        <v>16.87</v>
      </c>
      <c r="N1755" t="n">
        <v>5990.85</v>
      </c>
      <c r="O1755" t="n">
        <v>3.55</v>
      </c>
      <c r="P1755" t="n">
        <v>4</v>
      </c>
      <c r="Q1755" t="n">
        <v>1</v>
      </c>
      <c r="R1755" t="n">
        <v>2022.5</v>
      </c>
      <c r="S1755" t="b">
        <v>1</v>
      </c>
      <c r="T1755" t="n">
        <v>2536470</v>
      </c>
      <c r="U1755" t="n">
        <v>8</v>
      </c>
      <c r="V1755" t="n">
        <v>0.0213</v>
      </c>
      <c r="W1755" t="n">
        <v>1.82</v>
      </c>
      <c r="X1755" t="n">
        <v>86.09</v>
      </c>
      <c r="Y1755">
        <f>VLOOKUP(D1755,$AB$2:$AC$7,2,FALSE)</f>
        <v/>
      </c>
      <c r="Z1755">
        <f>IF(A1755&lt;Y1755,"Yes","No")</f>
        <v/>
      </c>
    </row>
    <row r="1756">
      <c r="A1756" t="n">
        <v>2013</v>
      </c>
      <c r="B1756" t="inlineStr">
        <is>
          <t>Q2</t>
        </is>
      </c>
      <c r="C1756" t="inlineStr">
        <is>
          <t>Europe</t>
        </is>
      </c>
      <c r="D1756" t="inlineStr">
        <is>
          <t>Cybertruck</t>
        </is>
      </c>
      <c r="E1756" t="n">
        <v>1969</v>
      </c>
      <c r="F1756" t="n">
        <v>55991.84</v>
      </c>
      <c r="G1756" t="n">
        <v>56</v>
      </c>
      <c r="H1756" t="inlineStr">
        <is>
          <t>Standard</t>
        </is>
      </c>
      <c r="I1756" t="inlineStr">
        <is>
          <t>RWD</t>
        </is>
      </c>
      <c r="J1756" t="inlineStr">
        <is>
          <t>White</t>
        </is>
      </c>
      <c r="K1756" t="n">
        <v>471</v>
      </c>
      <c r="L1756" t="n">
        <v>42</v>
      </c>
      <c r="M1756" t="n">
        <v>17.46</v>
      </c>
      <c r="N1756" t="n">
        <v>4101.17</v>
      </c>
      <c r="O1756" t="n">
        <v>4.82</v>
      </c>
      <c r="P1756" t="n">
        <v>6</v>
      </c>
      <c r="Q1756" t="n">
        <v>3</v>
      </c>
      <c r="R1756" t="n">
        <v>2022.1</v>
      </c>
      <c r="S1756" t="b">
        <v>1</v>
      </c>
      <c r="T1756" t="n">
        <v>4884205</v>
      </c>
      <c r="U1756" t="n">
        <v>8</v>
      </c>
      <c r="V1756" t="n">
        <v>0.0998</v>
      </c>
      <c r="W1756" t="n">
        <v>0.8100000000000001</v>
      </c>
      <c r="X1756" t="n">
        <v>65.58</v>
      </c>
      <c r="Y1756">
        <f>VLOOKUP(D1756,$AB$2:$AC$7,2,FALSE)</f>
        <v/>
      </c>
      <c r="Z1756">
        <f>IF(A1756&lt;Y1756,"Yes","No")</f>
        <v/>
      </c>
    </row>
    <row r="1757">
      <c r="A1757" t="n">
        <v>2023</v>
      </c>
      <c r="B1757" t="inlineStr">
        <is>
          <t>Q1</t>
        </is>
      </c>
      <c r="C1757" t="inlineStr">
        <is>
          <t>South America</t>
        </is>
      </c>
      <c r="D1757" t="inlineStr">
        <is>
          <t>Model Y</t>
        </is>
      </c>
      <c r="E1757" t="n">
        <v>50</v>
      </c>
      <c r="F1757" t="n">
        <v>79654.52</v>
      </c>
      <c r="G1757" t="n">
        <v>35</v>
      </c>
      <c r="H1757" t="inlineStr">
        <is>
          <t>Long Range</t>
        </is>
      </c>
      <c r="I1757" t="inlineStr">
        <is>
          <t>RWD</t>
        </is>
      </c>
      <c r="J1757" t="inlineStr">
        <is>
          <t>Green</t>
        </is>
      </c>
      <c r="K1757" t="n">
        <v>590</v>
      </c>
      <c r="L1757" t="n">
        <v>62</v>
      </c>
      <c r="M1757" t="n">
        <v>20.82</v>
      </c>
      <c r="N1757" t="n">
        <v>80.2</v>
      </c>
      <c r="O1757" t="n">
        <v>4.67</v>
      </c>
      <c r="P1757" t="n">
        <v>8</v>
      </c>
      <c r="Q1757" t="n">
        <v>1</v>
      </c>
      <c r="R1757" t="n">
        <v>2023.7</v>
      </c>
      <c r="S1757" t="b">
        <v>1</v>
      </c>
      <c r="T1757" t="n">
        <v>497637</v>
      </c>
      <c r="U1757" t="n">
        <v>11</v>
      </c>
      <c r="V1757" t="n">
        <v>0.0939</v>
      </c>
      <c r="W1757" t="n">
        <v>1.41</v>
      </c>
      <c r="X1757" t="n">
        <v>77.43000000000001</v>
      </c>
      <c r="Y1757">
        <f>VLOOKUP(D1757,$AB$2:$AC$7,2,FALSE)</f>
        <v/>
      </c>
      <c r="Z1757">
        <f>IF(A1757&lt;Y1757,"Yes","No")</f>
        <v/>
      </c>
    </row>
    <row r="1758">
      <c r="A1758" t="n">
        <v>2020</v>
      </c>
      <c r="B1758" t="inlineStr">
        <is>
          <t>Q2</t>
        </is>
      </c>
      <c r="C1758" t="inlineStr">
        <is>
          <t>Australia</t>
        </is>
      </c>
      <c r="D1758" t="inlineStr">
        <is>
          <t>Model Y</t>
        </is>
      </c>
      <c r="E1758" t="n">
        <v>3424</v>
      </c>
      <c r="F1758" t="n">
        <v>37314.15</v>
      </c>
      <c r="G1758" t="n">
        <v>31</v>
      </c>
      <c r="H1758" t="inlineStr">
        <is>
          <t>Performance</t>
        </is>
      </c>
      <c r="I1758" t="inlineStr">
        <is>
          <t>RWD</t>
        </is>
      </c>
      <c r="J1758" t="inlineStr">
        <is>
          <t>Silver</t>
        </is>
      </c>
      <c r="K1758" t="n">
        <v>516</v>
      </c>
      <c r="L1758" t="n">
        <v>89</v>
      </c>
      <c r="M1758" t="n">
        <v>17.02</v>
      </c>
      <c r="N1758" t="n">
        <v>1788.25</v>
      </c>
      <c r="O1758" t="n">
        <v>4.82</v>
      </c>
      <c r="P1758" t="n">
        <v>4</v>
      </c>
      <c r="Q1758" t="n">
        <v>2</v>
      </c>
      <c r="R1758" t="n">
        <v>2022.6</v>
      </c>
      <c r="S1758" t="b">
        <v>1</v>
      </c>
      <c r="T1758" t="n">
        <v>3821944</v>
      </c>
      <c r="U1758" t="n">
        <v>4</v>
      </c>
      <c r="V1758" t="n">
        <v>0.0641</v>
      </c>
      <c r="W1758" t="n">
        <v>0.8100000000000001</v>
      </c>
      <c r="X1758" t="n">
        <v>78.29000000000001</v>
      </c>
      <c r="Y1758">
        <f>VLOOKUP(D1758,$AB$2:$AC$7,2,FALSE)</f>
        <v/>
      </c>
      <c r="Z1758">
        <f>IF(A1758&lt;Y1758,"Yes","No")</f>
        <v/>
      </c>
    </row>
    <row r="1759">
      <c r="A1759" t="n">
        <v>2023</v>
      </c>
      <c r="B1759" t="inlineStr">
        <is>
          <t>Q1</t>
        </is>
      </c>
      <c r="C1759" t="inlineStr">
        <is>
          <t>North America</t>
        </is>
      </c>
      <c r="D1759" t="inlineStr">
        <is>
          <t>Model S</t>
        </is>
      </c>
      <c r="E1759" t="n">
        <v>3666</v>
      </c>
      <c r="F1759" t="n">
        <v>87033.08</v>
      </c>
      <c r="G1759" t="n">
        <v>45</v>
      </c>
      <c r="H1759" t="inlineStr">
        <is>
          <t>Standard</t>
        </is>
      </c>
      <c r="I1759" t="inlineStr">
        <is>
          <t>AWD</t>
        </is>
      </c>
      <c r="J1759" t="inlineStr">
        <is>
          <t>Blue</t>
        </is>
      </c>
      <c r="K1759" t="n">
        <v>532</v>
      </c>
      <c r="L1759" t="n">
        <v>39</v>
      </c>
      <c r="M1759" t="n">
        <v>18.38</v>
      </c>
      <c r="N1759" t="n">
        <v>2993.94</v>
      </c>
      <c r="O1759" t="n">
        <v>3.93</v>
      </c>
      <c r="P1759" t="n">
        <v>5</v>
      </c>
      <c r="Q1759" t="n">
        <v>0</v>
      </c>
      <c r="R1759" t="n">
        <v>2022.1</v>
      </c>
      <c r="S1759" t="b">
        <v>0</v>
      </c>
      <c r="T1759" t="n">
        <v>757745</v>
      </c>
      <c r="U1759" t="n">
        <v>7</v>
      </c>
      <c r="V1759" t="n">
        <v>0.0483</v>
      </c>
      <c r="W1759" t="n">
        <v>0.74</v>
      </c>
      <c r="X1759" t="n">
        <v>73.76000000000001</v>
      </c>
      <c r="Y1759">
        <f>VLOOKUP(D1759,$AB$2:$AC$7,2,FALSE)</f>
        <v/>
      </c>
      <c r="Z1759">
        <f>IF(A1759&lt;Y1759,"Yes","No")</f>
        <v/>
      </c>
    </row>
    <row r="1760">
      <c r="A1760" t="n">
        <v>2017</v>
      </c>
      <c r="B1760" t="inlineStr">
        <is>
          <t>Q2</t>
        </is>
      </c>
      <c r="C1760" t="inlineStr">
        <is>
          <t>South America</t>
        </is>
      </c>
      <c r="D1760" t="inlineStr">
        <is>
          <t>Cybertruck</t>
        </is>
      </c>
      <c r="E1760" t="n">
        <v>3673</v>
      </c>
      <c r="F1760" t="n">
        <v>48990.19</v>
      </c>
      <c r="G1760" t="n">
        <v>51</v>
      </c>
      <c r="H1760" t="inlineStr">
        <is>
          <t>Performance</t>
        </is>
      </c>
      <c r="I1760" t="inlineStr">
        <is>
          <t>RWD</t>
        </is>
      </c>
      <c r="J1760" t="inlineStr">
        <is>
          <t>Silver</t>
        </is>
      </c>
      <c r="K1760" t="n">
        <v>396</v>
      </c>
      <c r="L1760" t="n">
        <v>75</v>
      </c>
      <c r="M1760" t="n">
        <v>23.55</v>
      </c>
      <c r="N1760" t="n">
        <v>7614.31</v>
      </c>
      <c r="O1760" t="n">
        <v>4.77</v>
      </c>
      <c r="P1760" t="n">
        <v>8</v>
      </c>
      <c r="Q1760" t="n">
        <v>0</v>
      </c>
      <c r="R1760" t="n">
        <v>2024.11</v>
      </c>
      <c r="S1760" t="b">
        <v>0</v>
      </c>
      <c r="T1760" t="n">
        <v>159944</v>
      </c>
      <c r="U1760" t="n">
        <v>9</v>
      </c>
      <c r="V1760" t="n">
        <v>0.0396</v>
      </c>
      <c r="W1760" t="n">
        <v>1.13</v>
      </c>
      <c r="X1760" t="n">
        <v>66.01000000000001</v>
      </c>
      <c r="Y1760">
        <f>VLOOKUP(D1760,$AB$2:$AC$7,2,FALSE)</f>
        <v/>
      </c>
      <c r="Z1760">
        <f>IF(A1760&lt;Y1760,"Yes","No")</f>
        <v/>
      </c>
    </row>
    <row r="1761">
      <c r="A1761" t="n">
        <v>2020</v>
      </c>
      <c r="B1761" t="inlineStr">
        <is>
          <t>Q1</t>
        </is>
      </c>
      <c r="C1761" t="inlineStr">
        <is>
          <t>Asia</t>
        </is>
      </c>
      <c r="D1761" t="inlineStr">
        <is>
          <t>Model 3</t>
        </is>
      </c>
      <c r="E1761" t="n">
        <v>3260</v>
      </c>
      <c r="F1761" t="n">
        <v>63792.19</v>
      </c>
      <c r="G1761" t="n">
        <v>40</v>
      </c>
      <c r="H1761" t="inlineStr">
        <is>
          <t>Long Range</t>
        </is>
      </c>
      <c r="I1761" t="inlineStr">
        <is>
          <t>AWD</t>
        </is>
      </c>
      <c r="J1761" t="inlineStr">
        <is>
          <t>Blue</t>
        </is>
      </c>
      <c r="K1761" t="n">
        <v>617</v>
      </c>
      <c r="L1761" t="n">
        <v>43</v>
      </c>
      <c r="M1761" t="n">
        <v>23.45</v>
      </c>
      <c r="N1761" t="n">
        <v>7795.03</v>
      </c>
      <c r="O1761" t="n">
        <v>3.55</v>
      </c>
      <c r="P1761" t="n">
        <v>8</v>
      </c>
      <c r="Q1761" t="n">
        <v>0</v>
      </c>
      <c r="R1761" t="n">
        <v>2022.2</v>
      </c>
      <c r="S1761" t="b">
        <v>1</v>
      </c>
      <c r="T1761" t="n">
        <v>481194</v>
      </c>
      <c r="U1761" t="n">
        <v>8</v>
      </c>
      <c r="V1761" t="n">
        <v>0.0645</v>
      </c>
      <c r="W1761" t="n">
        <v>1.4</v>
      </c>
      <c r="X1761" t="n">
        <v>61.94</v>
      </c>
      <c r="Y1761">
        <f>VLOOKUP(D1761,$AB$2:$AC$7,2,FALSE)</f>
        <v/>
      </c>
      <c r="Z1761">
        <f>IF(A1761&lt;Y1761,"Yes","No")</f>
        <v/>
      </c>
    </row>
    <row r="1762">
      <c r="A1762" t="n">
        <v>2014</v>
      </c>
      <c r="B1762" t="inlineStr">
        <is>
          <t>Q1</t>
        </is>
      </c>
      <c r="C1762" t="inlineStr">
        <is>
          <t>Asia</t>
        </is>
      </c>
      <c r="D1762" t="inlineStr">
        <is>
          <t>Model Y</t>
        </is>
      </c>
      <c r="E1762" t="n">
        <v>4535</v>
      </c>
      <c r="F1762" t="n">
        <v>55598.22</v>
      </c>
      <c r="G1762" t="n">
        <v>28</v>
      </c>
      <c r="H1762" t="inlineStr">
        <is>
          <t>Standard</t>
        </is>
      </c>
      <c r="I1762" t="inlineStr">
        <is>
          <t>AWD</t>
        </is>
      </c>
      <c r="J1762" t="inlineStr">
        <is>
          <t>Blue</t>
        </is>
      </c>
      <c r="K1762" t="n">
        <v>616</v>
      </c>
      <c r="L1762" t="n">
        <v>89</v>
      </c>
      <c r="M1762" t="n">
        <v>17</v>
      </c>
      <c r="N1762" t="n">
        <v>6347.15</v>
      </c>
      <c r="O1762" t="n">
        <v>4.82</v>
      </c>
      <c r="P1762" t="n">
        <v>5</v>
      </c>
      <c r="Q1762" t="n">
        <v>0</v>
      </c>
      <c r="R1762" t="n">
        <v>2022.12</v>
      </c>
      <c r="S1762" t="b">
        <v>1</v>
      </c>
      <c r="T1762" t="n">
        <v>2701977</v>
      </c>
      <c r="U1762" t="n">
        <v>3</v>
      </c>
      <c r="V1762" t="n">
        <v>0.03</v>
      </c>
      <c r="W1762" t="n">
        <v>0.71</v>
      </c>
      <c r="X1762" t="n">
        <v>67.23999999999999</v>
      </c>
      <c r="Y1762">
        <f>VLOOKUP(D1762,$AB$2:$AC$7,2,FALSE)</f>
        <v/>
      </c>
      <c r="Z1762">
        <f>IF(A1762&lt;Y1762,"Yes","No")</f>
        <v/>
      </c>
    </row>
    <row r="1763">
      <c r="A1763" t="n">
        <v>2018</v>
      </c>
      <c r="B1763" t="inlineStr">
        <is>
          <t>Q2</t>
        </is>
      </c>
      <c r="C1763" t="inlineStr">
        <is>
          <t>South America</t>
        </is>
      </c>
      <c r="D1763" t="inlineStr">
        <is>
          <t>Model S</t>
        </is>
      </c>
      <c r="E1763" t="n">
        <v>4385</v>
      </c>
      <c r="F1763" t="n">
        <v>66618.21000000001</v>
      </c>
      <c r="G1763" t="n">
        <v>13</v>
      </c>
      <c r="H1763" t="inlineStr">
        <is>
          <t>Standard</t>
        </is>
      </c>
      <c r="I1763" t="inlineStr">
        <is>
          <t>RWD</t>
        </is>
      </c>
      <c r="J1763" t="inlineStr">
        <is>
          <t>Silver</t>
        </is>
      </c>
      <c r="K1763" t="n">
        <v>483</v>
      </c>
      <c r="L1763" t="n">
        <v>73</v>
      </c>
      <c r="M1763" t="n">
        <v>24.06</v>
      </c>
      <c r="N1763" t="n">
        <v>3983.23</v>
      </c>
      <c r="O1763" t="n">
        <v>4.79</v>
      </c>
      <c r="P1763" t="n">
        <v>4</v>
      </c>
      <c r="Q1763" t="n">
        <v>3</v>
      </c>
      <c r="R1763" t="n">
        <v>2023.3</v>
      </c>
      <c r="S1763" t="b">
        <v>1</v>
      </c>
      <c r="T1763" t="n">
        <v>4594030</v>
      </c>
      <c r="U1763" t="n">
        <v>8</v>
      </c>
      <c r="V1763" t="n">
        <v>0.0483</v>
      </c>
      <c r="W1763" t="n">
        <v>1.83</v>
      </c>
      <c r="X1763" t="n">
        <v>61.38</v>
      </c>
      <c r="Y1763">
        <f>VLOOKUP(D1763,$AB$2:$AC$7,2,FALSE)</f>
        <v/>
      </c>
      <c r="Z1763">
        <f>IF(A1763&lt;Y1763,"Yes","No")</f>
        <v/>
      </c>
    </row>
    <row r="1764">
      <c r="A1764" t="n">
        <v>2018</v>
      </c>
      <c r="B1764" t="inlineStr">
        <is>
          <t>Q4</t>
        </is>
      </c>
      <c r="C1764" t="inlineStr">
        <is>
          <t>Australia</t>
        </is>
      </c>
      <c r="D1764" t="inlineStr">
        <is>
          <t>Model X</t>
        </is>
      </c>
      <c r="E1764" t="n">
        <v>2916</v>
      </c>
      <c r="F1764" t="n">
        <v>82950.36</v>
      </c>
      <c r="G1764" t="n">
        <v>28</v>
      </c>
      <c r="H1764" t="inlineStr">
        <is>
          <t>Standard</t>
        </is>
      </c>
      <c r="I1764" t="inlineStr">
        <is>
          <t>RWD</t>
        </is>
      </c>
      <c r="J1764" t="inlineStr">
        <is>
          <t>White</t>
        </is>
      </c>
      <c r="K1764" t="n">
        <v>401</v>
      </c>
      <c r="L1764" t="n">
        <v>81</v>
      </c>
      <c r="M1764" t="n">
        <v>13.04</v>
      </c>
      <c r="N1764" t="n">
        <v>6960.15</v>
      </c>
      <c r="O1764" t="n">
        <v>4.64</v>
      </c>
      <c r="P1764" t="n">
        <v>8</v>
      </c>
      <c r="Q1764" t="n">
        <v>3</v>
      </c>
      <c r="R1764" t="n">
        <v>2021.6</v>
      </c>
      <c r="S1764" t="b">
        <v>1</v>
      </c>
      <c r="T1764" t="n">
        <v>2563432</v>
      </c>
      <c r="U1764" t="n">
        <v>2</v>
      </c>
      <c r="V1764" t="n">
        <v>0.0261</v>
      </c>
      <c r="W1764" t="n">
        <v>1.88</v>
      </c>
      <c r="X1764" t="n">
        <v>84.09</v>
      </c>
      <c r="Y1764">
        <f>VLOOKUP(D1764,$AB$2:$AC$7,2,FALSE)</f>
        <v/>
      </c>
      <c r="Z1764">
        <f>IF(A1764&lt;Y1764,"Yes","No")</f>
        <v/>
      </c>
    </row>
    <row r="1765">
      <c r="A1765" t="n">
        <v>2020</v>
      </c>
      <c r="B1765" t="inlineStr">
        <is>
          <t>Q1</t>
        </is>
      </c>
      <c r="C1765" t="inlineStr">
        <is>
          <t>North America</t>
        </is>
      </c>
      <c r="D1765" t="inlineStr">
        <is>
          <t>Semi</t>
        </is>
      </c>
      <c r="E1765" t="n">
        <v>4478</v>
      </c>
      <c r="F1765" t="n">
        <v>112515.33</v>
      </c>
      <c r="G1765" t="n">
        <v>51</v>
      </c>
      <c r="H1765" t="inlineStr">
        <is>
          <t>Long Range</t>
        </is>
      </c>
      <c r="I1765" t="inlineStr">
        <is>
          <t>RWD</t>
        </is>
      </c>
      <c r="J1765" t="inlineStr">
        <is>
          <t>Black</t>
        </is>
      </c>
      <c r="K1765" t="n">
        <v>458</v>
      </c>
      <c r="L1765" t="n">
        <v>51</v>
      </c>
      <c r="M1765" t="n">
        <v>18.81</v>
      </c>
      <c r="N1765" t="n">
        <v>4853.8</v>
      </c>
      <c r="O1765" t="n">
        <v>4.04</v>
      </c>
      <c r="P1765" t="n">
        <v>8</v>
      </c>
      <c r="Q1765" t="n">
        <v>1</v>
      </c>
      <c r="R1765" t="n">
        <v>2020.9</v>
      </c>
      <c r="S1765" t="b">
        <v>1</v>
      </c>
      <c r="T1765" t="n">
        <v>1382752</v>
      </c>
      <c r="U1765" t="n">
        <v>6</v>
      </c>
      <c r="V1765" t="n">
        <v>0.09470000000000001</v>
      </c>
      <c r="W1765" t="n">
        <v>0.53</v>
      </c>
      <c r="X1765" t="n">
        <v>68.59</v>
      </c>
      <c r="Y1765">
        <f>VLOOKUP(D1765,$AB$2:$AC$7,2,FALSE)</f>
        <v/>
      </c>
      <c r="Z1765">
        <f>IF(A1765&lt;Y1765,"Yes","No")</f>
        <v/>
      </c>
    </row>
    <row r="1766">
      <c r="A1766" t="n">
        <v>2017</v>
      </c>
      <c r="B1766" t="inlineStr">
        <is>
          <t>Q1</t>
        </is>
      </c>
      <c r="C1766" t="inlineStr">
        <is>
          <t>Australia</t>
        </is>
      </c>
      <c r="D1766" t="inlineStr">
        <is>
          <t>Semi</t>
        </is>
      </c>
      <c r="E1766" t="n">
        <v>2531</v>
      </c>
      <c r="F1766" t="n">
        <v>84287.56</v>
      </c>
      <c r="G1766" t="n">
        <v>7</v>
      </c>
      <c r="H1766" t="inlineStr">
        <is>
          <t>Long Range</t>
        </is>
      </c>
      <c r="I1766" t="inlineStr">
        <is>
          <t>RWD</t>
        </is>
      </c>
      <c r="J1766" t="inlineStr">
        <is>
          <t>Red</t>
        </is>
      </c>
      <c r="K1766" t="n">
        <v>617</v>
      </c>
      <c r="L1766" t="n">
        <v>72</v>
      </c>
      <c r="M1766" t="n">
        <v>14.43</v>
      </c>
      <c r="N1766" t="n">
        <v>5145.66</v>
      </c>
      <c r="O1766" t="n">
        <v>4.73</v>
      </c>
      <c r="P1766" t="n">
        <v>4</v>
      </c>
      <c r="Q1766" t="n">
        <v>2</v>
      </c>
      <c r="R1766" t="n">
        <v>2022.11</v>
      </c>
      <c r="S1766" t="b">
        <v>0</v>
      </c>
      <c r="T1766" t="n">
        <v>3763521</v>
      </c>
      <c r="U1766" t="n">
        <v>3</v>
      </c>
      <c r="V1766" t="n">
        <v>0.0308</v>
      </c>
      <c r="W1766" t="n">
        <v>1.07</v>
      </c>
      <c r="X1766" t="n">
        <v>81.14</v>
      </c>
      <c r="Y1766">
        <f>VLOOKUP(D1766,$AB$2:$AC$7,2,FALSE)</f>
        <v/>
      </c>
      <c r="Z1766">
        <f>IF(A1766&lt;Y1766,"Yes","No")</f>
        <v/>
      </c>
    </row>
    <row r="1767">
      <c r="A1767" t="n">
        <v>2019</v>
      </c>
      <c r="B1767" t="inlineStr">
        <is>
          <t>Q3</t>
        </is>
      </c>
      <c r="C1767" t="inlineStr">
        <is>
          <t>North America</t>
        </is>
      </c>
      <c r="D1767" t="inlineStr">
        <is>
          <t>Model S</t>
        </is>
      </c>
      <c r="E1767" t="n">
        <v>389</v>
      </c>
      <c r="F1767" t="n">
        <v>109092.91</v>
      </c>
      <c r="G1767" t="n">
        <v>19</v>
      </c>
      <c r="H1767" t="inlineStr">
        <is>
          <t>Long Range</t>
        </is>
      </c>
      <c r="I1767" t="inlineStr">
        <is>
          <t>RWD</t>
        </is>
      </c>
      <c r="J1767" t="inlineStr">
        <is>
          <t>Red</t>
        </is>
      </c>
      <c r="K1767" t="n">
        <v>678</v>
      </c>
      <c r="L1767" t="n">
        <v>65</v>
      </c>
      <c r="M1767" t="n">
        <v>20.05</v>
      </c>
      <c r="N1767" t="n">
        <v>295.74</v>
      </c>
      <c r="O1767" t="n">
        <v>4.22</v>
      </c>
      <c r="P1767" t="n">
        <v>8</v>
      </c>
      <c r="Q1767" t="n">
        <v>0</v>
      </c>
      <c r="R1767" t="n">
        <v>2023.5</v>
      </c>
      <c r="S1767" t="b">
        <v>0</v>
      </c>
      <c r="T1767" t="n">
        <v>2130010</v>
      </c>
      <c r="U1767" t="n">
        <v>7</v>
      </c>
      <c r="V1767" t="n">
        <v>0.0493</v>
      </c>
      <c r="W1767" t="n">
        <v>1.2</v>
      </c>
      <c r="X1767" t="n">
        <v>80.88</v>
      </c>
      <c r="Y1767">
        <f>VLOOKUP(D1767,$AB$2:$AC$7,2,FALSE)</f>
        <v/>
      </c>
      <c r="Z1767">
        <f>IF(A1767&lt;Y1767,"Yes","No")</f>
        <v/>
      </c>
    </row>
    <row r="1768">
      <c r="A1768" t="n">
        <v>2022</v>
      </c>
      <c r="B1768" t="inlineStr">
        <is>
          <t>Q1</t>
        </is>
      </c>
      <c r="C1768" t="inlineStr">
        <is>
          <t>Europe</t>
        </is>
      </c>
      <c r="D1768" t="inlineStr">
        <is>
          <t>Semi</t>
        </is>
      </c>
      <c r="E1768" t="n">
        <v>3275</v>
      </c>
      <c r="F1768" t="n">
        <v>52949.09</v>
      </c>
      <c r="G1768" t="n">
        <v>13</v>
      </c>
      <c r="H1768" t="inlineStr">
        <is>
          <t>Long Range</t>
        </is>
      </c>
      <c r="I1768" t="inlineStr">
        <is>
          <t>RWD</t>
        </is>
      </c>
      <c r="J1768" t="inlineStr">
        <is>
          <t>Blue</t>
        </is>
      </c>
      <c r="K1768" t="n">
        <v>421</v>
      </c>
      <c r="L1768" t="n">
        <v>85</v>
      </c>
      <c r="M1768" t="n">
        <v>14.98</v>
      </c>
      <c r="N1768" t="n">
        <v>4013.97</v>
      </c>
      <c r="O1768" t="n">
        <v>4.66</v>
      </c>
      <c r="P1768" t="n">
        <v>4</v>
      </c>
      <c r="Q1768" t="n">
        <v>3</v>
      </c>
      <c r="R1768" t="n">
        <v>2020.9</v>
      </c>
      <c r="S1768" t="b">
        <v>1</v>
      </c>
      <c r="T1768" t="n">
        <v>2077299</v>
      </c>
      <c r="U1768" t="n">
        <v>7</v>
      </c>
      <c r="V1768" t="n">
        <v>0.0158</v>
      </c>
      <c r="W1768" t="n">
        <v>2.03</v>
      </c>
      <c r="X1768" t="n">
        <v>68.90000000000001</v>
      </c>
      <c r="Y1768">
        <f>VLOOKUP(D1768,$AB$2:$AC$7,2,FALSE)</f>
        <v/>
      </c>
      <c r="Z1768">
        <f>IF(A1768&lt;Y1768,"Yes","No")</f>
        <v/>
      </c>
    </row>
    <row r="1769">
      <c r="A1769" t="n">
        <v>2022</v>
      </c>
      <c r="B1769" t="inlineStr">
        <is>
          <t>Q2</t>
        </is>
      </c>
      <c r="C1769" t="inlineStr">
        <is>
          <t>Asia</t>
        </is>
      </c>
      <c r="D1769" t="inlineStr">
        <is>
          <t>Model X</t>
        </is>
      </c>
      <c r="E1769" t="n">
        <v>3383</v>
      </c>
      <c r="F1769" t="n">
        <v>69117.10000000001</v>
      </c>
      <c r="G1769" t="n">
        <v>15</v>
      </c>
      <c r="H1769" t="inlineStr">
        <is>
          <t>Performance</t>
        </is>
      </c>
      <c r="I1769" t="inlineStr">
        <is>
          <t>AWD</t>
        </is>
      </c>
      <c r="J1769" t="inlineStr">
        <is>
          <t>Red</t>
        </is>
      </c>
      <c r="K1769" t="n">
        <v>367</v>
      </c>
      <c r="L1769" t="n">
        <v>46</v>
      </c>
      <c r="M1769" t="n">
        <v>17.28</v>
      </c>
      <c r="N1769" t="n">
        <v>5694.93</v>
      </c>
      <c r="O1769" t="n">
        <v>4.92</v>
      </c>
      <c r="P1769" t="n">
        <v>4</v>
      </c>
      <c r="Q1769" t="n">
        <v>2</v>
      </c>
      <c r="R1769" t="n">
        <v>2024.9</v>
      </c>
      <c r="S1769" t="b">
        <v>0</v>
      </c>
      <c r="T1769" t="n">
        <v>4259199</v>
      </c>
      <c r="U1769" t="n">
        <v>12</v>
      </c>
      <c r="V1769" t="n">
        <v>0.0249</v>
      </c>
      <c r="W1769" t="n">
        <v>1.13</v>
      </c>
      <c r="X1769" t="n">
        <v>69.05</v>
      </c>
      <c r="Y1769">
        <f>VLOOKUP(D1769,$AB$2:$AC$7,2,FALSE)</f>
        <v/>
      </c>
      <c r="Z1769">
        <f>IF(A1769&lt;Y1769,"Yes","No")</f>
        <v/>
      </c>
    </row>
    <row r="1770">
      <c r="A1770" t="n">
        <v>2022</v>
      </c>
      <c r="B1770" t="inlineStr">
        <is>
          <t>Q4</t>
        </is>
      </c>
      <c r="C1770" t="inlineStr">
        <is>
          <t>North America</t>
        </is>
      </c>
      <c r="D1770" t="inlineStr">
        <is>
          <t>Semi</t>
        </is>
      </c>
      <c r="E1770" t="n">
        <v>3634</v>
      </c>
      <c r="F1770" t="n">
        <v>39329.02</v>
      </c>
      <c r="G1770" t="n">
        <v>37</v>
      </c>
      <c r="H1770" t="inlineStr">
        <is>
          <t>Performance</t>
        </is>
      </c>
      <c r="I1770" t="inlineStr">
        <is>
          <t>RWD</t>
        </is>
      </c>
      <c r="J1770" t="inlineStr">
        <is>
          <t>Black</t>
        </is>
      </c>
      <c r="K1770" t="n">
        <v>387</v>
      </c>
      <c r="L1770" t="n">
        <v>61</v>
      </c>
      <c r="M1770" t="n">
        <v>22.9</v>
      </c>
      <c r="N1770" t="n">
        <v>8739.1</v>
      </c>
      <c r="O1770" t="n">
        <v>4.25</v>
      </c>
      <c r="P1770" t="n">
        <v>4</v>
      </c>
      <c r="Q1770" t="n">
        <v>3</v>
      </c>
      <c r="R1770" t="n">
        <v>2023.9</v>
      </c>
      <c r="S1770" t="b">
        <v>1</v>
      </c>
      <c r="T1770" t="n">
        <v>1969638</v>
      </c>
      <c r="U1770" t="n">
        <v>2</v>
      </c>
      <c r="V1770" t="n">
        <v>0.0307</v>
      </c>
      <c r="W1770" t="n">
        <v>1.75</v>
      </c>
      <c r="X1770" t="n">
        <v>68.81999999999999</v>
      </c>
      <c r="Y1770">
        <f>VLOOKUP(D1770,$AB$2:$AC$7,2,FALSE)</f>
        <v/>
      </c>
      <c r="Z1770">
        <f>IF(A1770&lt;Y1770,"Yes","No")</f>
        <v/>
      </c>
    </row>
    <row r="1771">
      <c r="A1771" t="n">
        <v>2021</v>
      </c>
      <c r="B1771" t="inlineStr">
        <is>
          <t>Q1</t>
        </is>
      </c>
      <c r="C1771" t="inlineStr">
        <is>
          <t>Europe</t>
        </is>
      </c>
      <c r="D1771" t="inlineStr">
        <is>
          <t>Cybertruck</t>
        </is>
      </c>
      <c r="E1771" t="n">
        <v>835</v>
      </c>
      <c r="F1771" t="n">
        <v>66010.92</v>
      </c>
      <c r="G1771" t="n">
        <v>6</v>
      </c>
      <c r="H1771" t="inlineStr">
        <is>
          <t>Long Range</t>
        </is>
      </c>
      <c r="I1771" t="inlineStr">
        <is>
          <t>RWD</t>
        </is>
      </c>
      <c r="J1771" t="inlineStr">
        <is>
          <t>White</t>
        </is>
      </c>
      <c r="K1771" t="n">
        <v>483</v>
      </c>
      <c r="L1771" t="n">
        <v>89</v>
      </c>
      <c r="M1771" t="n">
        <v>17.91</v>
      </c>
      <c r="N1771" t="n">
        <v>2079.7</v>
      </c>
      <c r="O1771" t="n">
        <v>4.05</v>
      </c>
      <c r="P1771" t="n">
        <v>5</v>
      </c>
      <c r="Q1771" t="n">
        <v>0</v>
      </c>
      <c r="R1771" t="n">
        <v>2021.6</v>
      </c>
      <c r="S1771" t="b">
        <v>1</v>
      </c>
      <c r="T1771" t="n">
        <v>3637507</v>
      </c>
      <c r="U1771" t="n">
        <v>3</v>
      </c>
      <c r="V1771" t="n">
        <v>0.0215</v>
      </c>
      <c r="W1771" t="n">
        <v>1.3</v>
      </c>
      <c r="X1771" t="n">
        <v>75.02</v>
      </c>
      <c r="Y1771">
        <f>VLOOKUP(D1771,$AB$2:$AC$7,2,FALSE)</f>
        <v/>
      </c>
      <c r="Z1771">
        <f>IF(A1771&lt;Y1771,"Yes","No")</f>
        <v/>
      </c>
    </row>
    <row r="1772">
      <c r="A1772" t="n">
        <v>2018</v>
      </c>
      <c r="B1772" t="inlineStr">
        <is>
          <t>Q2</t>
        </is>
      </c>
      <c r="C1772" t="inlineStr">
        <is>
          <t>Europe</t>
        </is>
      </c>
      <c r="D1772" t="inlineStr">
        <is>
          <t>Cybertruck</t>
        </is>
      </c>
      <c r="E1772" t="n">
        <v>2955</v>
      </c>
      <c r="F1772" t="n">
        <v>113869.91</v>
      </c>
      <c r="G1772" t="n">
        <v>50</v>
      </c>
      <c r="H1772" t="inlineStr">
        <is>
          <t>Performance</t>
        </is>
      </c>
      <c r="I1772" t="inlineStr">
        <is>
          <t>RWD</t>
        </is>
      </c>
      <c r="J1772" t="inlineStr">
        <is>
          <t>Blue</t>
        </is>
      </c>
      <c r="K1772" t="n">
        <v>493</v>
      </c>
      <c r="L1772" t="n">
        <v>53</v>
      </c>
      <c r="M1772" t="n">
        <v>13.45</v>
      </c>
      <c r="N1772" t="n">
        <v>1831.67</v>
      </c>
      <c r="O1772" t="n">
        <v>4.35</v>
      </c>
      <c r="P1772" t="n">
        <v>8</v>
      </c>
      <c r="Q1772" t="n">
        <v>0</v>
      </c>
      <c r="R1772" t="n">
        <v>2023.4</v>
      </c>
      <c r="S1772" t="b">
        <v>1</v>
      </c>
      <c r="T1772" t="n">
        <v>851212</v>
      </c>
      <c r="U1772" t="n">
        <v>7</v>
      </c>
      <c r="V1772" t="n">
        <v>0.07969999999999999</v>
      </c>
      <c r="W1772" t="n">
        <v>0.6899999999999999</v>
      </c>
      <c r="X1772" t="n">
        <v>72.73</v>
      </c>
      <c r="Y1772">
        <f>VLOOKUP(D1772,$AB$2:$AC$7,2,FALSE)</f>
        <v/>
      </c>
      <c r="Z1772">
        <f>IF(A1772&lt;Y1772,"Yes","No")</f>
        <v/>
      </c>
    </row>
    <row r="1773">
      <c r="A1773" t="n">
        <v>2016</v>
      </c>
      <c r="B1773" t="inlineStr">
        <is>
          <t>Q2</t>
        </is>
      </c>
      <c r="C1773" t="inlineStr">
        <is>
          <t>Australia</t>
        </is>
      </c>
      <c r="D1773" t="inlineStr">
        <is>
          <t>Model S</t>
        </is>
      </c>
      <c r="E1773" t="n">
        <v>2221</v>
      </c>
      <c r="F1773" t="n">
        <v>105913.56</v>
      </c>
      <c r="G1773" t="n">
        <v>49</v>
      </c>
      <c r="H1773" t="inlineStr">
        <is>
          <t>Long Range</t>
        </is>
      </c>
      <c r="I1773" t="inlineStr">
        <is>
          <t>RWD</t>
        </is>
      </c>
      <c r="J1773" t="inlineStr">
        <is>
          <t>Red</t>
        </is>
      </c>
      <c r="K1773" t="n">
        <v>563</v>
      </c>
      <c r="L1773" t="n">
        <v>51</v>
      </c>
      <c r="M1773" t="n">
        <v>13.44</v>
      </c>
      <c r="N1773" t="n">
        <v>2287.23</v>
      </c>
      <c r="O1773" t="n">
        <v>4.65</v>
      </c>
      <c r="P1773" t="n">
        <v>6</v>
      </c>
      <c r="Q1773" t="n">
        <v>1</v>
      </c>
      <c r="R1773" t="n">
        <v>2023.5</v>
      </c>
      <c r="S1773" t="b">
        <v>0</v>
      </c>
      <c r="T1773" t="n">
        <v>2994083</v>
      </c>
      <c r="U1773" t="n">
        <v>12</v>
      </c>
      <c r="V1773" t="n">
        <v>0.0694</v>
      </c>
      <c r="W1773" t="n">
        <v>1.98</v>
      </c>
      <c r="X1773" t="n">
        <v>64.3</v>
      </c>
      <c r="Y1773">
        <f>VLOOKUP(D1773,$AB$2:$AC$7,2,FALSE)</f>
        <v/>
      </c>
      <c r="Z1773">
        <f>IF(A1773&lt;Y1773,"Yes","No")</f>
        <v/>
      </c>
    </row>
    <row r="1774">
      <c r="A1774" t="n">
        <v>2024</v>
      </c>
      <c r="B1774" t="inlineStr">
        <is>
          <t>Q4</t>
        </is>
      </c>
      <c r="C1774" t="inlineStr">
        <is>
          <t>South America</t>
        </is>
      </c>
      <c r="D1774" t="inlineStr">
        <is>
          <t>Model X</t>
        </is>
      </c>
      <c r="E1774" t="n">
        <v>3073</v>
      </c>
      <c r="F1774" t="n">
        <v>56840.87</v>
      </c>
      <c r="G1774" t="n">
        <v>42</v>
      </c>
      <c r="H1774" t="inlineStr">
        <is>
          <t>Performance</t>
        </is>
      </c>
      <c r="I1774" t="inlineStr">
        <is>
          <t>AWD</t>
        </is>
      </c>
      <c r="J1774" t="inlineStr">
        <is>
          <t>Black</t>
        </is>
      </c>
      <c r="K1774" t="n">
        <v>587</v>
      </c>
      <c r="L1774" t="n">
        <v>65</v>
      </c>
      <c r="M1774" t="n">
        <v>13.53</v>
      </c>
      <c r="N1774" t="n">
        <v>5192.98</v>
      </c>
      <c r="O1774" t="n">
        <v>4.23</v>
      </c>
      <c r="P1774" t="n">
        <v>8</v>
      </c>
      <c r="Q1774" t="n">
        <v>1</v>
      </c>
      <c r="R1774" t="n">
        <v>2020.1</v>
      </c>
      <c r="S1774" t="b">
        <v>1</v>
      </c>
      <c r="T1774" t="n">
        <v>4693442</v>
      </c>
      <c r="U1774" t="n">
        <v>5</v>
      </c>
      <c r="V1774" t="n">
        <v>0.05</v>
      </c>
      <c r="W1774" t="n">
        <v>1.69</v>
      </c>
      <c r="X1774" t="n">
        <v>87.93000000000001</v>
      </c>
      <c r="Y1774">
        <f>VLOOKUP(D1774,$AB$2:$AC$7,2,FALSE)</f>
        <v/>
      </c>
      <c r="Z1774">
        <f>IF(A1774&lt;Y1774,"Yes","No")</f>
        <v/>
      </c>
    </row>
    <row r="1775">
      <c r="A1775" t="n">
        <v>2023</v>
      </c>
      <c r="B1775" t="inlineStr">
        <is>
          <t>Q2</t>
        </is>
      </c>
      <c r="C1775" t="inlineStr">
        <is>
          <t>Asia</t>
        </is>
      </c>
      <c r="D1775" t="inlineStr">
        <is>
          <t>Model 3</t>
        </is>
      </c>
      <c r="E1775" t="n">
        <v>3943</v>
      </c>
      <c r="F1775" t="n">
        <v>91959.98</v>
      </c>
      <c r="G1775" t="n">
        <v>0</v>
      </c>
      <c r="H1775" t="inlineStr">
        <is>
          <t>Performance</t>
        </is>
      </c>
      <c r="I1775" t="inlineStr">
        <is>
          <t>RWD</t>
        </is>
      </c>
      <c r="J1775" t="inlineStr">
        <is>
          <t>White</t>
        </is>
      </c>
      <c r="K1775" t="n">
        <v>687</v>
      </c>
      <c r="L1775" t="n">
        <v>73</v>
      </c>
      <c r="M1775" t="n">
        <v>14.45</v>
      </c>
      <c r="N1775" t="n">
        <v>5414.2</v>
      </c>
      <c r="O1775" t="n">
        <v>4.77</v>
      </c>
      <c r="P1775" t="n">
        <v>6</v>
      </c>
      <c r="Q1775" t="n">
        <v>0</v>
      </c>
      <c r="R1775" t="n">
        <v>2021.7</v>
      </c>
      <c r="S1775" t="b">
        <v>1</v>
      </c>
      <c r="T1775" t="n">
        <v>1696647</v>
      </c>
      <c r="U1775" t="n">
        <v>7</v>
      </c>
      <c r="V1775" t="n">
        <v>0.0272</v>
      </c>
      <c r="W1775" t="n">
        <v>0.8100000000000001</v>
      </c>
      <c r="X1775" t="n">
        <v>70.59999999999999</v>
      </c>
      <c r="Y1775">
        <f>VLOOKUP(D1775,$AB$2:$AC$7,2,FALSE)</f>
        <v/>
      </c>
      <c r="Z1775">
        <f>IF(A1775&lt;Y1775,"Yes","No")</f>
        <v/>
      </c>
    </row>
    <row r="1776">
      <c r="A1776" t="n">
        <v>2018</v>
      </c>
      <c r="B1776" t="inlineStr">
        <is>
          <t>Q1</t>
        </is>
      </c>
      <c r="C1776" t="inlineStr">
        <is>
          <t>South America</t>
        </is>
      </c>
      <c r="D1776" t="inlineStr">
        <is>
          <t>Model 3</t>
        </is>
      </c>
      <c r="E1776" t="n">
        <v>1224</v>
      </c>
      <c r="F1776" t="n">
        <v>104466.69</v>
      </c>
      <c r="G1776" t="n">
        <v>27</v>
      </c>
      <c r="H1776" t="inlineStr">
        <is>
          <t>Performance</t>
        </is>
      </c>
      <c r="I1776" t="inlineStr">
        <is>
          <t>AWD</t>
        </is>
      </c>
      <c r="J1776" t="inlineStr">
        <is>
          <t>Red</t>
        </is>
      </c>
      <c r="K1776" t="n">
        <v>456</v>
      </c>
      <c r="L1776" t="n">
        <v>64</v>
      </c>
      <c r="M1776" t="n">
        <v>16.07</v>
      </c>
      <c r="N1776" t="n">
        <v>912.8099999999999</v>
      </c>
      <c r="O1776" t="n">
        <v>4.53</v>
      </c>
      <c r="P1776" t="n">
        <v>6</v>
      </c>
      <c r="Q1776" t="n">
        <v>0</v>
      </c>
      <c r="R1776" t="n">
        <v>2020.1</v>
      </c>
      <c r="S1776" t="b">
        <v>0</v>
      </c>
      <c r="T1776" t="n">
        <v>2391519</v>
      </c>
      <c r="U1776" t="n">
        <v>4</v>
      </c>
      <c r="V1776" t="n">
        <v>0.08840000000000001</v>
      </c>
      <c r="W1776" t="n">
        <v>1.76</v>
      </c>
      <c r="X1776" t="n">
        <v>83.18000000000001</v>
      </c>
      <c r="Y1776">
        <f>VLOOKUP(D1776,$AB$2:$AC$7,2,FALSE)</f>
        <v/>
      </c>
      <c r="Z1776">
        <f>IF(A1776&lt;Y1776,"Yes","No")</f>
        <v/>
      </c>
    </row>
    <row r="1777">
      <c r="A1777" t="n">
        <v>2019</v>
      </c>
      <c r="B1777" t="inlineStr">
        <is>
          <t>Q3</t>
        </is>
      </c>
      <c r="C1777" t="inlineStr">
        <is>
          <t>North America</t>
        </is>
      </c>
      <c r="D1777" t="inlineStr">
        <is>
          <t>Model X</t>
        </is>
      </c>
      <c r="E1777" t="n">
        <v>3342</v>
      </c>
      <c r="F1777" t="n">
        <v>111722.32</v>
      </c>
      <c r="G1777" t="n">
        <v>32</v>
      </c>
      <c r="H1777" t="inlineStr">
        <is>
          <t>Performance</t>
        </is>
      </c>
      <c r="I1777" t="inlineStr">
        <is>
          <t>AWD</t>
        </is>
      </c>
      <c r="J1777" t="inlineStr">
        <is>
          <t>Silver</t>
        </is>
      </c>
      <c r="K1777" t="n">
        <v>490</v>
      </c>
      <c r="L1777" t="n">
        <v>71</v>
      </c>
      <c r="M1777" t="n">
        <v>23.52</v>
      </c>
      <c r="N1777" t="n">
        <v>7838.06</v>
      </c>
      <c r="O1777" t="n">
        <v>4.55</v>
      </c>
      <c r="P1777" t="n">
        <v>8</v>
      </c>
      <c r="Q1777" t="n">
        <v>1</v>
      </c>
      <c r="R1777" t="n">
        <v>2023.2</v>
      </c>
      <c r="S1777" t="b">
        <v>1</v>
      </c>
      <c r="T1777" t="n">
        <v>3382391</v>
      </c>
      <c r="U1777" t="n">
        <v>5</v>
      </c>
      <c r="V1777" t="n">
        <v>0.0285</v>
      </c>
      <c r="W1777" t="n">
        <v>0.57</v>
      </c>
      <c r="X1777" t="n">
        <v>79.92</v>
      </c>
      <c r="Y1777">
        <f>VLOOKUP(D1777,$AB$2:$AC$7,2,FALSE)</f>
        <v/>
      </c>
      <c r="Z1777">
        <f>IF(A1777&lt;Y1777,"Yes","No")</f>
        <v/>
      </c>
    </row>
    <row r="1778">
      <c r="A1778" t="n">
        <v>2022</v>
      </c>
      <c r="B1778" t="inlineStr">
        <is>
          <t>Q2</t>
        </is>
      </c>
      <c r="C1778" t="inlineStr">
        <is>
          <t>Australia</t>
        </is>
      </c>
      <c r="D1778" t="inlineStr">
        <is>
          <t>Cybertruck</t>
        </is>
      </c>
      <c r="E1778" t="n">
        <v>912</v>
      </c>
      <c r="F1778" t="n">
        <v>97330.77</v>
      </c>
      <c r="G1778" t="n">
        <v>15</v>
      </c>
      <c r="H1778" t="inlineStr">
        <is>
          <t>Standard</t>
        </is>
      </c>
      <c r="I1778" t="inlineStr">
        <is>
          <t>RWD</t>
        </is>
      </c>
      <c r="J1778" t="inlineStr">
        <is>
          <t>Blue</t>
        </is>
      </c>
      <c r="K1778" t="n">
        <v>431</v>
      </c>
      <c r="L1778" t="n">
        <v>58</v>
      </c>
      <c r="M1778" t="n">
        <v>15.97</v>
      </c>
      <c r="N1778" t="n">
        <v>738.08</v>
      </c>
      <c r="O1778" t="n">
        <v>4.11</v>
      </c>
      <c r="P1778" t="n">
        <v>8</v>
      </c>
      <c r="Q1778" t="n">
        <v>3</v>
      </c>
      <c r="R1778" t="n">
        <v>2023.8</v>
      </c>
      <c r="S1778" t="b">
        <v>0</v>
      </c>
      <c r="T1778" t="n">
        <v>3744156</v>
      </c>
      <c r="U1778" t="n">
        <v>11</v>
      </c>
      <c r="V1778" t="n">
        <v>0.0402</v>
      </c>
      <c r="W1778" t="n">
        <v>1.51</v>
      </c>
      <c r="X1778" t="n">
        <v>75.26000000000001</v>
      </c>
      <c r="Y1778">
        <f>VLOOKUP(D1778,$AB$2:$AC$7,2,FALSE)</f>
        <v/>
      </c>
      <c r="Z1778">
        <f>IF(A1778&lt;Y1778,"Yes","No")</f>
        <v/>
      </c>
    </row>
    <row r="1779">
      <c r="A1779" t="n">
        <v>2013</v>
      </c>
      <c r="B1779" t="inlineStr">
        <is>
          <t>Q3</t>
        </is>
      </c>
      <c r="C1779" t="inlineStr">
        <is>
          <t>Australia</t>
        </is>
      </c>
      <c r="D1779" t="inlineStr">
        <is>
          <t>Cybertruck</t>
        </is>
      </c>
      <c r="E1779" t="n">
        <v>3706</v>
      </c>
      <c r="F1779" t="n">
        <v>89414.05</v>
      </c>
      <c r="G1779" t="n">
        <v>29</v>
      </c>
      <c r="H1779" t="inlineStr">
        <is>
          <t>Long Range</t>
        </is>
      </c>
      <c r="I1779" t="inlineStr">
        <is>
          <t>AWD</t>
        </is>
      </c>
      <c r="J1779" t="inlineStr">
        <is>
          <t>Silver</t>
        </is>
      </c>
      <c r="K1779" t="n">
        <v>498</v>
      </c>
      <c r="L1779" t="n">
        <v>47</v>
      </c>
      <c r="M1779" t="n">
        <v>20.29</v>
      </c>
      <c r="N1779" t="n">
        <v>3290.06</v>
      </c>
      <c r="O1779" t="n">
        <v>3.61</v>
      </c>
      <c r="P1779" t="n">
        <v>8</v>
      </c>
      <c r="Q1779" t="n">
        <v>3</v>
      </c>
      <c r="R1779" t="n">
        <v>2022.11</v>
      </c>
      <c r="S1779" t="b">
        <v>0</v>
      </c>
      <c r="T1779" t="n">
        <v>1416869</v>
      </c>
      <c r="U1779" t="n">
        <v>8</v>
      </c>
      <c r="V1779" t="n">
        <v>0.0468</v>
      </c>
      <c r="W1779" t="n">
        <v>1.02</v>
      </c>
      <c r="X1779" t="n">
        <v>84.45</v>
      </c>
      <c r="Y1779">
        <f>VLOOKUP(D1779,$AB$2:$AC$7,2,FALSE)</f>
        <v/>
      </c>
      <c r="Z1779">
        <f>IF(A1779&lt;Y1779,"Yes","No")</f>
        <v/>
      </c>
    </row>
    <row r="1780">
      <c r="A1780" t="n">
        <v>2012</v>
      </c>
      <c r="B1780" t="inlineStr">
        <is>
          <t>Q3</t>
        </is>
      </c>
      <c r="C1780" t="inlineStr">
        <is>
          <t>Europe</t>
        </is>
      </c>
      <c r="D1780" t="inlineStr">
        <is>
          <t>Model Y</t>
        </is>
      </c>
      <c r="E1780" t="n">
        <v>3512</v>
      </c>
      <c r="F1780" t="n">
        <v>111292.98</v>
      </c>
      <c r="G1780" t="n">
        <v>41</v>
      </c>
      <c r="H1780" t="inlineStr">
        <is>
          <t>Performance</t>
        </is>
      </c>
      <c r="I1780" t="inlineStr">
        <is>
          <t>AWD</t>
        </is>
      </c>
      <c r="J1780" t="inlineStr">
        <is>
          <t>Black</t>
        </is>
      </c>
      <c r="K1780" t="n">
        <v>366</v>
      </c>
      <c r="L1780" t="n">
        <v>42</v>
      </c>
      <c r="M1780" t="n">
        <v>13.91</v>
      </c>
      <c r="N1780" t="n">
        <v>2623.06</v>
      </c>
      <c r="O1780" t="n">
        <v>4.57</v>
      </c>
      <c r="P1780" t="n">
        <v>5</v>
      </c>
      <c r="Q1780" t="n">
        <v>0</v>
      </c>
      <c r="R1780" t="n">
        <v>2023.8</v>
      </c>
      <c r="S1780" t="b">
        <v>1</v>
      </c>
      <c r="T1780" t="n">
        <v>2965073</v>
      </c>
      <c r="U1780" t="n">
        <v>5</v>
      </c>
      <c r="V1780" t="n">
        <v>0.0372</v>
      </c>
      <c r="W1780" t="n">
        <v>2.33</v>
      </c>
      <c r="X1780" t="n">
        <v>76.64</v>
      </c>
      <c r="Y1780">
        <f>VLOOKUP(D1780,$AB$2:$AC$7,2,FALSE)</f>
        <v/>
      </c>
      <c r="Z1780">
        <f>IF(A1780&lt;Y1780,"Yes","No")</f>
        <v/>
      </c>
    </row>
    <row r="1781">
      <c r="A1781" t="n">
        <v>2020</v>
      </c>
      <c r="B1781" t="inlineStr">
        <is>
          <t>Q2</t>
        </is>
      </c>
      <c r="C1781" t="inlineStr">
        <is>
          <t>Europe</t>
        </is>
      </c>
      <c r="D1781" t="inlineStr">
        <is>
          <t>Model 3</t>
        </is>
      </c>
      <c r="E1781" t="n">
        <v>884</v>
      </c>
      <c r="F1781" t="n">
        <v>90605.74000000001</v>
      </c>
      <c r="G1781" t="n">
        <v>50</v>
      </c>
      <c r="H1781" t="inlineStr">
        <is>
          <t>Performance</t>
        </is>
      </c>
      <c r="I1781" t="inlineStr">
        <is>
          <t>AWD</t>
        </is>
      </c>
      <c r="J1781" t="inlineStr">
        <is>
          <t>Silver</t>
        </is>
      </c>
      <c r="K1781" t="n">
        <v>358</v>
      </c>
      <c r="L1781" t="n">
        <v>36</v>
      </c>
      <c r="M1781" t="n">
        <v>17.78</v>
      </c>
      <c r="N1781" t="n">
        <v>936.24</v>
      </c>
      <c r="O1781" t="n">
        <v>4.73</v>
      </c>
      <c r="P1781" t="n">
        <v>5</v>
      </c>
      <c r="Q1781" t="n">
        <v>1</v>
      </c>
      <c r="R1781" t="n">
        <v>2023.3</v>
      </c>
      <c r="S1781" t="b">
        <v>1</v>
      </c>
      <c r="T1781" t="n">
        <v>1100207</v>
      </c>
      <c r="U1781" t="n">
        <v>11</v>
      </c>
      <c r="V1781" t="n">
        <v>0.03</v>
      </c>
      <c r="W1781" t="n">
        <v>1.56</v>
      </c>
      <c r="X1781" t="n">
        <v>80.79000000000001</v>
      </c>
      <c r="Y1781">
        <f>VLOOKUP(D1781,$AB$2:$AC$7,2,FALSE)</f>
        <v/>
      </c>
      <c r="Z1781">
        <f>IF(A1781&lt;Y1781,"Yes","No")</f>
        <v/>
      </c>
    </row>
    <row r="1782">
      <c r="A1782" t="n">
        <v>2021</v>
      </c>
      <c r="B1782" t="inlineStr">
        <is>
          <t>Q3</t>
        </is>
      </c>
      <c r="C1782" t="inlineStr">
        <is>
          <t>Europe</t>
        </is>
      </c>
      <c r="D1782" t="inlineStr">
        <is>
          <t>Model S</t>
        </is>
      </c>
      <c r="E1782" t="n">
        <v>953</v>
      </c>
      <c r="F1782" t="n">
        <v>65056.97</v>
      </c>
      <c r="G1782" t="n">
        <v>49</v>
      </c>
      <c r="H1782" t="inlineStr">
        <is>
          <t>Performance</t>
        </is>
      </c>
      <c r="I1782" t="inlineStr">
        <is>
          <t>AWD</t>
        </is>
      </c>
      <c r="J1782" t="inlineStr">
        <is>
          <t>Silver</t>
        </is>
      </c>
      <c r="K1782" t="n">
        <v>597</v>
      </c>
      <c r="L1782" t="n">
        <v>64</v>
      </c>
      <c r="M1782" t="n">
        <v>23.91</v>
      </c>
      <c r="N1782" t="n">
        <v>1161.67</v>
      </c>
      <c r="O1782" t="n">
        <v>3.87</v>
      </c>
      <c r="P1782" t="n">
        <v>4</v>
      </c>
      <c r="Q1782" t="n">
        <v>2</v>
      </c>
      <c r="R1782" t="n">
        <v>2024.2</v>
      </c>
      <c r="S1782" t="b">
        <v>1</v>
      </c>
      <c r="T1782" t="n">
        <v>3267370</v>
      </c>
      <c r="U1782" t="n">
        <v>8</v>
      </c>
      <c r="V1782" t="n">
        <v>0.0111</v>
      </c>
      <c r="W1782" t="n">
        <v>1.34</v>
      </c>
      <c r="X1782" t="n">
        <v>65.5</v>
      </c>
      <c r="Y1782">
        <f>VLOOKUP(D1782,$AB$2:$AC$7,2,FALSE)</f>
        <v/>
      </c>
      <c r="Z1782">
        <f>IF(A1782&lt;Y1782,"Yes","No")</f>
        <v/>
      </c>
    </row>
    <row r="1783">
      <c r="A1783" t="n">
        <v>2023</v>
      </c>
      <c r="B1783" t="inlineStr">
        <is>
          <t>Q4</t>
        </is>
      </c>
      <c r="C1783" t="inlineStr">
        <is>
          <t>Asia</t>
        </is>
      </c>
      <c r="D1783" t="inlineStr">
        <is>
          <t>Model S</t>
        </is>
      </c>
      <c r="E1783" t="n">
        <v>2423</v>
      </c>
      <c r="F1783" t="n">
        <v>68760.14</v>
      </c>
      <c r="G1783" t="n">
        <v>60</v>
      </c>
      <c r="H1783" t="inlineStr">
        <is>
          <t>Standard</t>
        </is>
      </c>
      <c r="I1783" t="inlineStr">
        <is>
          <t>RWD</t>
        </is>
      </c>
      <c r="J1783" t="inlineStr">
        <is>
          <t>Green</t>
        </is>
      </c>
      <c r="K1783" t="n">
        <v>439</v>
      </c>
      <c r="L1783" t="n">
        <v>81</v>
      </c>
      <c r="M1783" t="n">
        <v>14.72</v>
      </c>
      <c r="N1783" t="n">
        <v>5392.75</v>
      </c>
      <c r="O1783" t="n">
        <v>4.24</v>
      </c>
      <c r="P1783" t="n">
        <v>5</v>
      </c>
      <c r="Q1783" t="n">
        <v>1</v>
      </c>
      <c r="R1783" t="n">
        <v>2022.2</v>
      </c>
      <c r="S1783" t="b">
        <v>1</v>
      </c>
      <c r="T1783" t="n">
        <v>3675741</v>
      </c>
      <c r="U1783" t="n">
        <v>12</v>
      </c>
      <c r="V1783" t="n">
        <v>0.0189</v>
      </c>
      <c r="W1783" t="n">
        <v>2.08</v>
      </c>
      <c r="X1783" t="n">
        <v>67.34</v>
      </c>
      <c r="Y1783">
        <f>VLOOKUP(D1783,$AB$2:$AC$7,2,FALSE)</f>
        <v/>
      </c>
      <c r="Z1783">
        <f>IF(A1783&lt;Y1783,"Yes","No")</f>
        <v/>
      </c>
    </row>
    <row r="1784">
      <c r="A1784" t="n">
        <v>2012</v>
      </c>
      <c r="B1784" t="inlineStr">
        <is>
          <t>Q4</t>
        </is>
      </c>
      <c r="C1784" t="inlineStr">
        <is>
          <t>Europe</t>
        </is>
      </c>
      <c r="D1784" t="inlineStr">
        <is>
          <t>Model S</t>
        </is>
      </c>
      <c r="E1784" t="n">
        <v>544</v>
      </c>
      <c r="F1784" t="n">
        <v>79996.12</v>
      </c>
      <c r="G1784" t="n">
        <v>2</v>
      </c>
      <c r="H1784" t="inlineStr">
        <is>
          <t>Standard</t>
        </is>
      </c>
      <c r="I1784" t="inlineStr">
        <is>
          <t>RWD</t>
        </is>
      </c>
      <c r="J1784" t="inlineStr">
        <is>
          <t>Blue</t>
        </is>
      </c>
      <c r="K1784" t="n">
        <v>664</v>
      </c>
      <c r="L1784" t="n">
        <v>86</v>
      </c>
      <c r="M1784" t="n">
        <v>19.98</v>
      </c>
      <c r="N1784" t="n">
        <v>1276.47</v>
      </c>
      <c r="O1784" t="n">
        <v>3.53</v>
      </c>
      <c r="P1784" t="n">
        <v>5</v>
      </c>
      <c r="Q1784" t="n">
        <v>0</v>
      </c>
      <c r="R1784" t="n">
        <v>2020.1</v>
      </c>
      <c r="S1784" t="b">
        <v>0</v>
      </c>
      <c r="T1784" t="n">
        <v>3068040</v>
      </c>
      <c r="U1784" t="n">
        <v>4</v>
      </c>
      <c r="V1784" t="n">
        <v>0.0881</v>
      </c>
      <c r="W1784" t="n">
        <v>1.35</v>
      </c>
      <c r="X1784" t="n">
        <v>71.87</v>
      </c>
      <c r="Y1784">
        <f>VLOOKUP(D1784,$AB$2:$AC$7,2,FALSE)</f>
        <v/>
      </c>
      <c r="Z1784">
        <f>IF(A1784&lt;Y1784,"Yes","No")</f>
        <v/>
      </c>
    </row>
    <row r="1785">
      <c r="A1785" t="n">
        <v>2017</v>
      </c>
      <c r="B1785" t="inlineStr">
        <is>
          <t>Q1</t>
        </is>
      </c>
      <c r="C1785" t="inlineStr">
        <is>
          <t>South America</t>
        </is>
      </c>
      <c r="D1785" t="inlineStr">
        <is>
          <t>Model 3</t>
        </is>
      </c>
      <c r="E1785" t="n">
        <v>3480</v>
      </c>
      <c r="F1785" t="n">
        <v>81949.31</v>
      </c>
      <c r="G1785" t="n">
        <v>48</v>
      </c>
      <c r="H1785" t="inlineStr">
        <is>
          <t>Long Range</t>
        </is>
      </c>
      <c r="I1785" t="inlineStr">
        <is>
          <t>AWD</t>
        </is>
      </c>
      <c r="J1785" t="inlineStr">
        <is>
          <t>Red</t>
        </is>
      </c>
      <c r="K1785" t="n">
        <v>498</v>
      </c>
      <c r="L1785" t="n">
        <v>32</v>
      </c>
      <c r="M1785" t="n">
        <v>18.31</v>
      </c>
      <c r="N1785" t="n">
        <v>3313.21</v>
      </c>
      <c r="O1785" t="n">
        <v>4.98</v>
      </c>
      <c r="P1785" t="n">
        <v>4</v>
      </c>
      <c r="Q1785" t="n">
        <v>3</v>
      </c>
      <c r="R1785" t="n">
        <v>2020.5</v>
      </c>
      <c r="S1785" t="b">
        <v>1</v>
      </c>
      <c r="T1785" t="n">
        <v>4953346</v>
      </c>
      <c r="U1785" t="n">
        <v>2</v>
      </c>
      <c r="V1785" t="n">
        <v>0.0276</v>
      </c>
      <c r="W1785" t="n">
        <v>0.52</v>
      </c>
      <c r="X1785" t="n">
        <v>86.81</v>
      </c>
      <c r="Y1785">
        <f>VLOOKUP(D1785,$AB$2:$AC$7,2,FALSE)</f>
        <v/>
      </c>
      <c r="Z1785">
        <f>IF(A1785&lt;Y1785,"Yes","No")</f>
        <v/>
      </c>
    </row>
    <row r="1786">
      <c r="A1786" t="n">
        <v>2014</v>
      </c>
      <c r="B1786" t="inlineStr">
        <is>
          <t>Q1</t>
        </is>
      </c>
      <c r="C1786" t="inlineStr">
        <is>
          <t>North America</t>
        </is>
      </c>
      <c r="D1786" t="inlineStr">
        <is>
          <t>Model X</t>
        </is>
      </c>
      <c r="E1786" t="n">
        <v>3254</v>
      </c>
      <c r="F1786" t="n">
        <v>50052</v>
      </c>
      <c r="G1786" t="n">
        <v>50</v>
      </c>
      <c r="H1786" t="inlineStr">
        <is>
          <t>Standard</t>
        </is>
      </c>
      <c r="I1786" t="inlineStr">
        <is>
          <t>RWD</t>
        </is>
      </c>
      <c r="J1786" t="inlineStr">
        <is>
          <t>Red</t>
        </is>
      </c>
      <c r="K1786" t="n">
        <v>673</v>
      </c>
      <c r="L1786" t="n">
        <v>41</v>
      </c>
      <c r="M1786" t="n">
        <v>24.82</v>
      </c>
      <c r="N1786" t="n">
        <v>7716.85</v>
      </c>
      <c r="O1786" t="n">
        <v>4.24</v>
      </c>
      <c r="P1786" t="n">
        <v>6</v>
      </c>
      <c r="Q1786" t="n">
        <v>3</v>
      </c>
      <c r="R1786" t="n">
        <v>2024.9</v>
      </c>
      <c r="S1786" t="b">
        <v>1</v>
      </c>
      <c r="T1786" t="n">
        <v>629413</v>
      </c>
      <c r="U1786" t="n">
        <v>5</v>
      </c>
      <c r="V1786" t="n">
        <v>0.0251</v>
      </c>
      <c r="W1786" t="n">
        <v>0.96</v>
      </c>
      <c r="X1786" t="n">
        <v>63.52</v>
      </c>
      <c r="Y1786">
        <f>VLOOKUP(D1786,$AB$2:$AC$7,2,FALSE)</f>
        <v/>
      </c>
      <c r="Z1786">
        <f>IF(A1786&lt;Y1786,"Yes","No")</f>
        <v/>
      </c>
    </row>
    <row r="1787">
      <c r="A1787" t="n">
        <v>2017</v>
      </c>
      <c r="B1787" t="inlineStr">
        <is>
          <t>Q2</t>
        </is>
      </c>
      <c r="C1787" t="inlineStr">
        <is>
          <t>Europe</t>
        </is>
      </c>
      <c r="D1787" t="inlineStr">
        <is>
          <t>Cybertruck</t>
        </is>
      </c>
      <c r="E1787" t="n">
        <v>1747</v>
      </c>
      <c r="F1787" t="n">
        <v>49698.26</v>
      </c>
      <c r="G1787" t="n">
        <v>36</v>
      </c>
      <c r="H1787" t="inlineStr">
        <is>
          <t>Long Range</t>
        </is>
      </c>
      <c r="I1787" t="inlineStr">
        <is>
          <t>AWD</t>
        </is>
      </c>
      <c r="J1787" t="inlineStr">
        <is>
          <t>White</t>
        </is>
      </c>
      <c r="K1787" t="n">
        <v>481</v>
      </c>
      <c r="L1787" t="n">
        <v>32</v>
      </c>
      <c r="M1787" t="n">
        <v>14.35</v>
      </c>
      <c r="N1787" t="n">
        <v>2944.25</v>
      </c>
      <c r="O1787" t="n">
        <v>4.78</v>
      </c>
      <c r="P1787" t="n">
        <v>5</v>
      </c>
      <c r="Q1787" t="n">
        <v>2</v>
      </c>
      <c r="R1787" t="n">
        <v>2023.6</v>
      </c>
      <c r="S1787" t="b">
        <v>0</v>
      </c>
      <c r="T1787" t="n">
        <v>2069011</v>
      </c>
      <c r="U1787" t="n">
        <v>12</v>
      </c>
      <c r="V1787" t="n">
        <v>0.0177</v>
      </c>
      <c r="W1787" t="n">
        <v>1.57</v>
      </c>
      <c r="X1787" t="n">
        <v>83.62</v>
      </c>
      <c r="Y1787">
        <f>VLOOKUP(D1787,$AB$2:$AC$7,2,FALSE)</f>
        <v/>
      </c>
      <c r="Z1787">
        <f>IF(A1787&lt;Y1787,"Yes","No")</f>
        <v/>
      </c>
    </row>
    <row r="1788">
      <c r="A1788" t="n">
        <v>2017</v>
      </c>
      <c r="B1788" t="inlineStr">
        <is>
          <t>Q3</t>
        </is>
      </c>
      <c r="C1788" t="inlineStr">
        <is>
          <t>Australia</t>
        </is>
      </c>
      <c r="D1788" t="inlineStr">
        <is>
          <t>Cybertruck</t>
        </is>
      </c>
      <c r="E1788" t="n">
        <v>476</v>
      </c>
      <c r="F1788" t="n">
        <v>39881.6</v>
      </c>
      <c r="G1788" t="n">
        <v>52</v>
      </c>
      <c r="H1788" t="inlineStr">
        <is>
          <t>Performance</t>
        </is>
      </c>
      <c r="I1788" t="inlineStr">
        <is>
          <t>AWD</t>
        </is>
      </c>
      <c r="J1788" t="inlineStr">
        <is>
          <t>Green</t>
        </is>
      </c>
      <c r="K1788" t="n">
        <v>488</v>
      </c>
      <c r="L1788" t="n">
        <v>78</v>
      </c>
      <c r="M1788" t="n">
        <v>18.14</v>
      </c>
      <c r="N1788" t="n">
        <v>618.59</v>
      </c>
      <c r="O1788" t="n">
        <v>4.98</v>
      </c>
      <c r="P1788" t="n">
        <v>5</v>
      </c>
      <c r="Q1788" t="n">
        <v>3</v>
      </c>
      <c r="R1788" t="n">
        <v>2022.6</v>
      </c>
      <c r="S1788" t="b">
        <v>0</v>
      </c>
      <c r="T1788" t="n">
        <v>243177</v>
      </c>
      <c r="U1788" t="n">
        <v>6</v>
      </c>
      <c r="V1788" t="n">
        <v>0.0848</v>
      </c>
      <c r="W1788" t="n">
        <v>1.17</v>
      </c>
      <c r="X1788" t="n">
        <v>67.31999999999999</v>
      </c>
      <c r="Y1788">
        <f>VLOOKUP(D1788,$AB$2:$AC$7,2,FALSE)</f>
        <v/>
      </c>
      <c r="Z1788">
        <f>IF(A1788&lt;Y1788,"Yes","No")</f>
        <v/>
      </c>
    </row>
    <row r="1789">
      <c r="A1789" t="n">
        <v>2019</v>
      </c>
      <c r="B1789" t="inlineStr">
        <is>
          <t>Q3</t>
        </is>
      </c>
      <c r="C1789" t="inlineStr">
        <is>
          <t>North America</t>
        </is>
      </c>
      <c r="D1789" t="inlineStr">
        <is>
          <t>Model S</t>
        </is>
      </c>
      <c r="E1789" t="n">
        <v>4144</v>
      </c>
      <c r="F1789" t="n">
        <v>98552.55</v>
      </c>
      <c r="G1789" t="n">
        <v>2</v>
      </c>
      <c r="H1789" t="inlineStr">
        <is>
          <t>Performance</t>
        </is>
      </c>
      <c r="I1789" t="inlineStr">
        <is>
          <t>AWD</t>
        </is>
      </c>
      <c r="J1789" t="inlineStr">
        <is>
          <t>Green</t>
        </is>
      </c>
      <c r="K1789" t="n">
        <v>446</v>
      </c>
      <c r="L1789" t="n">
        <v>37</v>
      </c>
      <c r="M1789" t="n">
        <v>18.33</v>
      </c>
      <c r="N1789" t="n">
        <v>3272.19</v>
      </c>
      <c r="O1789" t="n">
        <v>4.45</v>
      </c>
      <c r="P1789" t="n">
        <v>4</v>
      </c>
      <c r="Q1789" t="n">
        <v>1</v>
      </c>
      <c r="R1789" t="n">
        <v>2022.1</v>
      </c>
      <c r="S1789" t="b">
        <v>1</v>
      </c>
      <c r="T1789" t="n">
        <v>2471903</v>
      </c>
      <c r="U1789" t="n">
        <v>5</v>
      </c>
      <c r="V1789" t="n">
        <v>0.0289</v>
      </c>
      <c r="W1789" t="n">
        <v>0.72</v>
      </c>
      <c r="X1789" t="n">
        <v>82.72</v>
      </c>
      <c r="Y1789">
        <f>VLOOKUP(D1789,$AB$2:$AC$7,2,FALSE)</f>
        <v/>
      </c>
      <c r="Z1789">
        <f>IF(A1789&lt;Y1789,"Yes","No")</f>
        <v/>
      </c>
    </row>
    <row r="1790">
      <c r="A1790" t="n">
        <v>2022</v>
      </c>
      <c r="B1790" t="inlineStr">
        <is>
          <t>Q4</t>
        </is>
      </c>
      <c r="C1790" t="inlineStr">
        <is>
          <t>South America</t>
        </is>
      </c>
      <c r="D1790" t="inlineStr">
        <is>
          <t>Model Y</t>
        </is>
      </c>
      <c r="E1790" t="n">
        <v>2217</v>
      </c>
      <c r="F1790" t="n">
        <v>36562.85</v>
      </c>
      <c r="G1790" t="n">
        <v>3</v>
      </c>
      <c r="H1790" t="inlineStr">
        <is>
          <t>Standard</t>
        </is>
      </c>
      <c r="I1790" t="inlineStr">
        <is>
          <t>RWD</t>
        </is>
      </c>
      <c r="J1790" t="inlineStr">
        <is>
          <t>Blue</t>
        </is>
      </c>
      <c r="K1790" t="n">
        <v>365</v>
      </c>
      <c r="L1790" t="n">
        <v>35</v>
      </c>
      <c r="M1790" t="n">
        <v>23.64</v>
      </c>
      <c r="N1790" t="n">
        <v>4111.11</v>
      </c>
      <c r="O1790" t="n">
        <v>4.98</v>
      </c>
      <c r="P1790" t="n">
        <v>5</v>
      </c>
      <c r="Q1790" t="n">
        <v>2</v>
      </c>
      <c r="R1790" t="n">
        <v>2021.1</v>
      </c>
      <c r="S1790" t="b">
        <v>0</v>
      </c>
      <c r="T1790" t="n">
        <v>1495705</v>
      </c>
      <c r="U1790" t="n">
        <v>4</v>
      </c>
      <c r="V1790" t="n">
        <v>0.0829</v>
      </c>
      <c r="W1790" t="n">
        <v>1.27</v>
      </c>
      <c r="X1790" t="n">
        <v>80.59999999999999</v>
      </c>
      <c r="Y1790">
        <f>VLOOKUP(D1790,$AB$2:$AC$7,2,FALSE)</f>
        <v/>
      </c>
      <c r="Z1790">
        <f>IF(A1790&lt;Y1790,"Yes","No")</f>
        <v/>
      </c>
    </row>
    <row r="1791">
      <c r="A1791" t="n">
        <v>2015</v>
      </c>
      <c r="B1791" t="inlineStr">
        <is>
          <t>Q1</t>
        </is>
      </c>
      <c r="C1791" t="inlineStr">
        <is>
          <t>Australia</t>
        </is>
      </c>
      <c r="D1791" t="inlineStr">
        <is>
          <t>Semi</t>
        </is>
      </c>
      <c r="E1791" t="n">
        <v>2313</v>
      </c>
      <c r="F1791" t="n">
        <v>46088.49</v>
      </c>
      <c r="G1791" t="n">
        <v>24</v>
      </c>
      <c r="H1791" t="inlineStr">
        <is>
          <t>Long Range</t>
        </is>
      </c>
      <c r="I1791" t="inlineStr">
        <is>
          <t>AWD</t>
        </is>
      </c>
      <c r="J1791" t="inlineStr">
        <is>
          <t>Black</t>
        </is>
      </c>
      <c r="K1791" t="n">
        <v>409</v>
      </c>
      <c r="L1791" t="n">
        <v>54</v>
      </c>
      <c r="M1791" t="n">
        <v>14.13</v>
      </c>
      <c r="N1791" t="n">
        <v>1399.3</v>
      </c>
      <c r="O1791" t="n">
        <v>4.32</v>
      </c>
      <c r="P1791" t="n">
        <v>5</v>
      </c>
      <c r="Q1791" t="n">
        <v>1</v>
      </c>
      <c r="R1791" t="n">
        <v>2020.1</v>
      </c>
      <c r="S1791" t="b">
        <v>1</v>
      </c>
      <c r="T1791" t="n">
        <v>4087598</v>
      </c>
      <c r="U1791" t="n">
        <v>3</v>
      </c>
      <c r="V1791" t="n">
        <v>0.0722</v>
      </c>
      <c r="W1791" t="n">
        <v>0.74</v>
      </c>
      <c r="X1791" t="n">
        <v>83.81999999999999</v>
      </c>
      <c r="Y1791">
        <f>VLOOKUP(D1791,$AB$2:$AC$7,2,FALSE)</f>
        <v/>
      </c>
      <c r="Z1791">
        <f>IF(A1791&lt;Y1791,"Yes","No")</f>
        <v/>
      </c>
    </row>
    <row r="1792">
      <c r="A1792" t="n">
        <v>2016</v>
      </c>
      <c r="B1792" t="inlineStr">
        <is>
          <t>Q3</t>
        </is>
      </c>
      <c r="C1792" t="inlineStr">
        <is>
          <t>Australia</t>
        </is>
      </c>
      <c r="D1792" t="inlineStr">
        <is>
          <t>Semi</t>
        </is>
      </c>
      <c r="E1792" t="n">
        <v>2098</v>
      </c>
      <c r="F1792" t="n">
        <v>38927.1</v>
      </c>
      <c r="G1792" t="n">
        <v>48</v>
      </c>
      <c r="H1792" t="inlineStr">
        <is>
          <t>Standard</t>
        </is>
      </c>
      <c r="I1792" t="inlineStr">
        <is>
          <t>RWD</t>
        </is>
      </c>
      <c r="J1792" t="inlineStr">
        <is>
          <t>Red</t>
        </is>
      </c>
      <c r="K1792" t="n">
        <v>633</v>
      </c>
      <c r="L1792" t="n">
        <v>34</v>
      </c>
      <c r="M1792" t="n">
        <v>20.18</v>
      </c>
      <c r="N1792" t="n">
        <v>4027.12</v>
      </c>
      <c r="O1792" t="n">
        <v>3.51</v>
      </c>
      <c r="P1792" t="n">
        <v>6</v>
      </c>
      <c r="Q1792" t="n">
        <v>3</v>
      </c>
      <c r="R1792" t="n">
        <v>2023.4</v>
      </c>
      <c r="S1792" t="b">
        <v>0</v>
      </c>
      <c r="T1792" t="n">
        <v>1419508</v>
      </c>
      <c r="U1792" t="n">
        <v>8</v>
      </c>
      <c r="V1792" t="n">
        <v>0.0998</v>
      </c>
      <c r="W1792" t="n">
        <v>1.23</v>
      </c>
      <c r="X1792" t="n">
        <v>71.06999999999999</v>
      </c>
      <c r="Y1792">
        <f>VLOOKUP(D1792,$AB$2:$AC$7,2,FALSE)</f>
        <v/>
      </c>
      <c r="Z1792">
        <f>IF(A1792&lt;Y1792,"Yes","No")</f>
        <v/>
      </c>
    </row>
    <row r="1793">
      <c r="A1793" t="n">
        <v>2019</v>
      </c>
      <c r="B1793" t="inlineStr">
        <is>
          <t>Q4</t>
        </is>
      </c>
      <c r="C1793" t="inlineStr">
        <is>
          <t>Europe</t>
        </is>
      </c>
      <c r="D1793" t="inlineStr">
        <is>
          <t>Model X</t>
        </is>
      </c>
      <c r="E1793" t="n">
        <v>1541</v>
      </c>
      <c r="F1793" t="n">
        <v>57417.3</v>
      </c>
      <c r="G1793" t="n">
        <v>15</v>
      </c>
      <c r="H1793" t="inlineStr">
        <is>
          <t>Performance</t>
        </is>
      </c>
      <c r="I1793" t="inlineStr">
        <is>
          <t>AWD</t>
        </is>
      </c>
      <c r="J1793" t="inlineStr">
        <is>
          <t>Black</t>
        </is>
      </c>
      <c r="K1793" t="n">
        <v>445</v>
      </c>
      <c r="L1793" t="n">
        <v>81</v>
      </c>
      <c r="M1793" t="n">
        <v>24.14</v>
      </c>
      <c r="N1793" t="n">
        <v>2395.5</v>
      </c>
      <c r="O1793" t="n">
        <v>4.64</v>
      </c>
      <c r="P1793" t="n">
        <v>8</v>
      </c>
      <c r="Q1793" t="n">
        <v>0</v>
      </c>
      <c r="R1793" t="n">
        <v>2020.7</v>
      </c>
      <c r="S1793" t="b">
        <v>0</v>
      </c>
      <c r="T1793" t="n">
        <v>2839160</v>
      </c>
      <c r="U1793" t="n">
        <v>8</v>
      </c>
      <c r="V1793" t="n">
        <v>0.012</v>
      </c>
      <c r="W1793" t="n">
        <v>1.09</v>
      </c>
      <c r="X1793" t="n">
        <v>65.03</v>
      </c>
      <c r="Y1793">
        <f>VLOOKUP(D1793,$AB$2:$AC$7,2,FALSE)</f>
        <v/>
      </c>
      <c r="Z1793">
        <f>IF(A1793&lt;Y1793,"Yes","No")</f>
        <v/>
      </c>
    </row>
    <row r="1794">
      <c r="A1794" t="n">
        <v>2015</v>
      </c>
      <c r="B1794" t="inlineStr">
        <is>
          <t>Q3</t>
        </is>
      </c>
      <c r="C1794" t="inlineStr">
        <is>
          <t>Australia</t>
        </is>
      </c>
      <c r="D1794" t="inlineStr">
        <is>
          <t>Model Y</t>
        </is>
      </c>
      <c r="E1794" t="n">
        <v>3685</v>
      </c>
      <c r="F1794" t="n">
        <v>59441.62</v>
      </c>
      <c r="G1794" t="n">
        <v>42</v>
      </c>
      <c r="H1794" t="inlineStr">
        <is>
          <t>Long Range</t>
        </is>
      </c>
      <c r="I1794" t="inlineStr">
        <is>
          <t>AWD</t>
        </is>
      </c>
      <c r="J1794" t="inlineStr">
        <is>
          <t>White</t>
        </is>
      </c>
      <c r="K1794" t="n">
        <v>591</v>
      </c>
      <c r="L1794" t="n">
        <v>35</v>
      </c>
      <c r="M1794" t="n">
        <v>18.98</v>
      </c>
      <c r="N1794" t="n">
        <v>3254.91</v>
      </c>
      <c r="O1794" t="n">
        <v>3.69</v>
      </c>
      <c r="P1794" t="n">
        <v>8</v>
      </c>
      <c r="Q1794" t="n">
        <v>3</v>
      </c>
      <c r="R1794" t="n">
        <v>2022.3</v>
      </c>
      <c r="S1794" t="b">
        <v>0</v>
      </c>
      <c r="T1794" t="n">
        <v>1123596</v>
      </c>
      <c r="U1794" t="n">
        <v>7</v>
      </c>
      <c r="V1794" t="n">
        <v>0.0574</v>
      </c>
      <c r="W1794" t="n">
        <v>2.39</v>
      </c>
      <c r="X1794" t="n">
        <v>75.68000000000001</v>
      </c>
      <c r="Y1794">
        <f>VLOOKUP(D1794,$AB$2:$AC$7,2,FALSE)</f>
        <v/>
      </c>
      <c r="Z1794">
        <f>IF(A1794&lt;Y1794,"Yes","No")</f>
        <v/>
      </c>
    </row>
    <row r="1795">
      <c r="A1795" t="n">
        <v>2023</v>
      </c>
      <c r="B1795" t="inlineStr">
        <is>
          <t>Q1</t>
        </is>
      </c>
      <c r="C1795" t="inlineStr">
        <is>
          <t>Australia</t>
        </is>
      </c>
      <c r="D1795" t="inlineStr">
        <is>
          <t>Semi</t>
        </is>
      </c>
      <c r="E1795" t="n">
        <v>4587</v>
      </c>
      <c r="F1795" t="n">
        <v>108258.68</v>
      </c>
      <c r="G1795" t="n">
        <v>6</v>
      </c>
      <c r="H1795" t="inlineStr">
        <is>
          <t>Long Range</t>
        </is>
      </c>
      <c r="I1795" t="inlineStr">
        <is>
          <t>AWD</t>
        </is>
      </c>
      <c r="J1795" t="inlineStr">
        <is>
          <t>White</t>
        </is>
      </c>
      <c r="K1795" t="n">
        <v>408</v>
      </c>
      <c r="L1795" t="n">
        <v>35</v>
      </c>
      <c r="M1795" t="n">
        <v>13.8</v>
      </c>
      <c r="N1795" t="n">
        <v>3784.11</v>
      </c>
      <c r="O1795" t="n">
        <v>3.89</v>
      </c>
      <c r="P1795" t="n">
        <v>5</v>
      </c>
      <c r="Q1795" t="n">
        <v>2</v>
      </c>
      <c r="R1795" t="n">
        <v>2024.5</v>
      </c>
      <c r="S1795" t="b">
        <v>0</v>
      </c>
      <c r="T1795" t="n">
        <v>2661491</v>
      </c>
      <c r="U1795" t="n">
        <v>8</v>
      </c>
      <c r="V1795" t="n">
        <v>0.0496</v>
      </c>
      <c r="W1795" t="n">
        <v>0.65</v>
      </c>
      <c r="X1795" t="n">
        <v>80.18000000000001</v>
      </c>
      <c r="Y1795">
        <f>VLOOKUP(D1795,$AB$2:$AC$7,2,FALSE)</f>
        <v/>
      </c>
      <c r="Z1795">
        <f>IF(A1795&lt;Y1795,"Yes","No")</f>
        <v/>
      </c>
    </row>
    <row r="1796">
      <c r="A1796" t="n">
        <v>2015</v>
      </c>
      <c r="B1796" t="inlineStr">
        <is>
          <t>Q4</t>
        </is>
      </c>
      <c r="C1796" t="inlineStr">
        <is>
          <t>North America</t>
        </is>
      </c>
      <c r="D1796" t="inlineStr">
        <is>
          <t>Semi</t>
        </is>
      </c>
      <c r="E1796" t="n">
        <v>3899</v>
      </c>
      <c r="F1796" t="n">
        <v>111134.65</v>
      </c>
      <c r="G1796" t="n">
        <v>56</v>
      </c>
      <c r="H1796" t="inlineStr">
        <is>
          <t>Performance</t>
        </is>
      </c>
      <c r="I1796" t="inlineStr">
        <is>
          <t>RWD</t>
        </is>
      </c>
      <c r="J1796" t="inlineStr">
        <is>
          <t>Red</t>
        </is>
      </c>
      <c r="K1796" t="n">
        <v>643</v>
      </c>
      <c r="L1796" t="n">
        <v>87</v>
      </c>
      <c r="M1796" t="n">
        <v>24.06</v>
      </c>
      <c r="N1796" t="n">
        <v>7270.8</v>
      </c>
      <c r="O1796" t="n">
        <v>4.1</v>
      </c>
      <c r="P1796" t="n">
        <v>6</v>
      </c>
      <c r="Q1796" t="n">
        <v>2</v>
      </c>
      <c r="R1796" t="n">
        <v>2022.11</v>
      </c>
      <c r="S1796" t="b">
        <v>1</v>
      </c>
      <c r="T1796" t="n">
        <v>4652905</v>
      </c>
      <c r="U1796" t="n">
        <v>7</v>
      </c>
      <c r="V1796" t="n">
        <v>0.0528</v>
      </c>
      <c r="W1796" t="n">
        <v>2.13</v>
      </c>
      <c r="X1796" t="n">
        <v>65.76000000000001</v>
      </c>
      <c r="Y1796">
        <f>VLOOKUP(D1796,$AB$2:$AC$7,2,FALSE)</f>
        <v/>
      </c>
      <c r="Z1796">
        <f>IF(A1796&lt;Y1796,"Yes","No")</f>
        <v/>
      </c>
    </row>
    <row r="1797">
      <c r="A1797" t="n">
        <v>2012</v>
      </c>
      <c r="B1797" t="inlineStr">
        <is>
          <t>Q1</t>
        </is>
      </c>
      <c r="C1797" t="inlineStr">
        <is>
          <t>North America</t>
        </is>
      </c>
      <c r="D1797" t="inlineStr">
        <is>
          <t>Model Y</t>
        </is>
      </c>
      <c r="E1797" t="n">
        <v>3353</v>
      </c>
      <c r="F1797" t="n">
        <v>110049.29</v>
      </c>
      <c r="G1797" t="n">
        <v>5</v>
      </c>
      <c r="H1797" t="inlineStr">
        <is>
          <t>Long Range</t>
        </is>
      </c>
      <c r="I1797" t="inlineStr">
        <is>
          <t>AWD</t>
        </is>
      </c>
      <c r="J1797" t="inlineStr">
        <is>
          <t>Blue</t>
        </is>
      </c>
      <c r="K1797" t="n">
        <v>403</v>
      </c>
      <c r="L1797" t="n">
        <v>43</v>
      </c>
      <c r="M1797" t="n">
        <v>20.8</v>
      </c>
      <c r="N1797" t="n">
        <v>1923.09</v>
      </c>
      <c r="O1797" t="n">
        <v>3.66</v>
      </c>
      <c r="P1797" t="n">
        <v>5</v>
      </c>
      <c r="Q1797" t="n">
        <v>3</v>
      </c>
      <c r="R1797" t="n">
        <v>2021.9</v>
      </c>
      <c r="S1797" t="b">
        <v>1</v>
      </c>
      <c r="T1797" t="n">
        <v>858953</v>
      </c>
      <c r="U1797" t="n">
        <v>12</v>
      </c>
      <c r="V1797" t="n">
        <v>0.09569999999999999</v>
      </c>
      <c r="W1797" t="n">
        <v>1.76</v>
      </c>
      <c r="X1797" t="n">
        <v>79.5</v>
      </c>
      <c r="Y1797">
        <f>VLOOKUP(D1797,$AB$2:$AC$7,2,FALSE)</f>
        <v/>
      </c>
      <c r="Z1797">
        <f>IF(A1797&lt;Y1797,"Yes","No")</f>
        <v/>
      </c>
    </row>
    <row r="1798">
      <c r="A1798" t="n">
        <v>2019</v>
      </c>
      <c r="B1798" t="inlineStr">
        <is>
          <t>Q2</t>
        </is>
      </c>
      <c r="C1798" t="inlineStr">
        <is>
          <t>North America</t>
        </is>
      </c>
      <c r="D1798" t="inlineStr">
        <is>
          <t>Model 3</t>
        </is>
      </c>
      <c r="E1798" t="n">
        <v>2654</v>
      </c>
      <c r="F1798" t="n">
        <v>74960.92999999999</v>
      </c>
      <c r="G1798" t="n">
        <v>24</v>
      </c>
      <c r="H1798" t="inlineStr">
        <is>
          <t>Long Range</t>
        </is>
      </c>
      <c r="I1798" t="inlineStr">
        <is>
          <t>RWD</t>
        </is>
      </c>
      <c r="J1798" t="inlineStr">
        <is>
          <t>White</t>
        </is>
      </c>
      <c r="K1798" t="n">
        <v>356</v>
      </c>
      <c r="L1798" t="n">
        <v>31</v>
      </c>
      <c r="M1798" t="n">
        <v>13.76</v>
      </c>
      <c r="N1798" t="n">
        <v>1665.78</v>
      </c>
      <c r="O1798" t="n">
        <v>4.66</v>
      </c>
      <c r="P1798" t="n">
        <v>6</v>
      </c>
      <c r="Q1798" t="n">
        <v>2</v>
      </c>
      <c r="R1798" t="n">
        <v>2021.7</v>
      </c>
      <c r="S1798" t="b">
        <v>1</v>
      </c>
      <c r="T1798" t="n">
        <v>3771587</v>
      </c>
      <c r="U1798" t="n">
        <v>10</v>
      </c>
      <c r="V1798" t="n">
        <v>0.0838</v>
      </c>
      <c r="W1798" t="n">
        <v>0.8</v>
      </c>
      <c r="X1798" t="n">
        <v>68.73</v>
      </c>
      <c r="Y1798">
        <f>VLOOKUP(D1798,$AB$2:$AC$7,2,FALSE)</f>
        <v/>
      </c>
      <c r="Z1798">
        <f>IF(A1798&lt;Y1798,"Yes","No")</f>
        <v/>
      </c>
    </row>
    <row r="1799">
      <c r="A1799" t="n">
        <v>2013</v>
      </c>
      <c r="B1799" t="inlineStr">
        <is>
          <t>Q4</t>
        </is>
      </c>
      <c r="C1799" t="inlineStr">
        <is>
          <t>Asia</t>
        </is>
      </c>
      <c r="D1799" t="inlineStr">
        <is>
          <t>Model 3</t>
        </is>
      </c>
      <c r="E1799" t="n">
        <v>2271</v>
      </c>
      <c r="F1799" t="n">
        <v>99795.64999999999</v>
      </c>
      <c r="G1799" t="n">
        <v>11</v>
      </c>
      <c r="H1799" t="inlineStr">
        <is>
          <t>Long Range</t>
        </is>
      </c>
      <c r="I1799" t="inlineStr">
        <is>
          <t>AWD</t>
        </is>
      </c>
      <c r="J1799" t="inlineStr">
        <is>
          <t>Red</t>
        </is>
      </c>
      <c r="K1799" t="n">
        <v>479</v>
      </c>
      <c r="L1799" t="n">
        <v>86</v>
      </c>
      <c r="M1799" t="n">
        <v>24.98</v>
      </c>
      <c r="N1799" t="n">
        <v>2575.78</v>
      </c>
      <c r="O1799" t="n">
        <v>3.94</v>
      </c>
      <c r="P1799" t="n">
        <v>8</v>
      </c>
      <c r="Q1799" t="n">
        <v>3</v>
      </c>
      <c r="R1799" t="n">
        <v>2021.5</v>
      </c>
      <c r="S1799" t="b">
        <v>1</v>
      </c>
      <c r="T1799" t="n">
        <v>1164761</v>
      </c>
      <c r="U1799" t="n">
        <v>5</v>
      </c>
      <c r="V1799" t="n">
        <v>0.09569999999999999</v>
      </c>
      <c r="W1799" t="n">
        <v>0.62</v>
      </c>
      <c r="X1799" t="n">
        <v>72.76000000000001</v>
      </c>
      <c r="Y1799">
        <f>VLOOKUP(D1799,$AB$2:$AC$7,2,FALSE)</f>
        <v/>
      </c>
      <c r="Z1799">
        <f>IF(A1799&lt;Y1799,"Yes","No")</f>
        <v/>
      </c>
    </row>
    <row r="1800">
      <c r="A1800" t="n">
        <v>2016</v>
      </c>
      <c r="B1800" t="inlineStr">
        <is>
          <t>Q2</t>
        </is>
      </c>
      <c r="C1800" t="inlineStr">
        <is>
          <t>North America</t>
        </is>
      </c>
      <c r="D1800" t="inlineStr">
        <is>
          <t>Model S</t>
        </is>
      </c>
      <c r="E1800" t="n">
        <v>3512</v>
      </c>
      <c r="F1800" t="n">
        <v>113248.05</v>
      </c>
      <c r="G1800" t="n">
        <v>16</v>
      </c>
      <c r="H1800" t="inlineStr">
        <is>
          <t>Long Range</t>
        </is>
      </c>
      <c r="I1800" t="inlineStr">
        <is>
          <t>AWD</t>
        </is>
      </c>
      <c r="J1800" t="inlineStr">
        <is>
          <t>Black</t>
        </is>
      </c>
      <c r="K1800" t="n">
        <v>615</v>
      </c>
      <c r="L1800" t="n">
        <v>81</v>
      </c>
      <c r="M1800" t="n">
        <v>24.39</v>
      </c>
      <c r="N1800" t="n">
        <v>5953.52</v>
      </c>
      <c r="O1800" t="n">
        <v>4.02</v>
      </c>
      <c r="P1800" t="n">
        <v>6</v>
      </c>
      <c r="Q1800" t="n">
        <v>1</v>
      </c>
      <c r="R1800" t="n">
        <v>2021.5</v>
      </c>
      <c r="S1800" t="b">
        <v>0</v>
      </c>
      <c r="T1800" t="n">
        <v>3379194</v>
      </c>
      <c r="U1800" t="n">
        <v>7</v>
      </c>
      <c r="V1800" t="n">
        <v>0.0232</v>
      </c>
      <c r="W1800" t="n">
        <v>2.19</v>
      </c>
      <c r="X1800" t="n">
        <v>74.86</v>
      </c>
      <c r="Y1800">
        <f>VLOOKUP(D1800,$AB$2:$AC$7,2,FALSE)</f>
        <v/>
      </c>
      <c r="Z1800">
        <f>IF(A1800&lt;Y1800,"Yes","No")</f>
        <v/>
      </c>
    </row>
    <row r="1801">
      <c r="A1801" t="n">
        <v>2018</v>
      </c>
      <c r="B1801" t="inlineStr">
        <is>
          <t>Q3</t>
        </is>
      </c>
      <c r="C1801" t="inlineStr">
        <is>
          <t>Asia</t>
        </is>
      </c>
      <c r="D1801" t="inlineStr">
        <is>
          <t>Model 3</t>
        </is>
      </c>
      <c r="E1801" t="n">
        <v>1963</v>
      </c>
      <c r="F1801" t="n">
        <v>43376.71</v>
      </c>
      <c r="G1801" t="n">
        <v>27</v>
      </c>
      <c r="H1801" t="inlineStr">
        <is>
          <t>Long Range</t>
        </is>
      </c>
      <c r="I1801" t="inlineStr">
        <is>
          <t>RWD</t>
        </is>
      </c>
      <c r="J1801" t="inlineStr">
        <is>
          <t>Red</t>
        </is>
      </c>
      <c r="K1801" t="n">
        <v>570</v>
      </c>
      <c r="L1801" t="n">
        <v>32</v>
      </c>
      <c r="M1801" t="n">
        <v>22.35</v>
      </c>
      <c r="N1801" t="n">
        <v>3516.02</v>
      </c>
      <c r="O1801" t="n">
        <v>3.93</v>
      </c>
      <c r="P1801" t="n">
        <v>4</v>
      </c>
      <c r="Q1801" t="n">
        <v>1</v>
      </c>
      <c r="R1801" t="n">
        <v>2023.11</v>
      </c>
      <c r="S1801" t="b">
        <v>1</v>
      </c>
      <c r="T1801" t="n">
        <v>1977081</v>
      </c>
      <c r="U1801" t="n">
        <v>12</v>
      </c>
      <c r="V1801" t="n">
        <v>0.0707</v>
      </c>
      <c r="W1801" t="n">
        <v>1.78</v>
      </c>
      <c r="X1801" t="n">
        <v>82.28</v>
      </c>
      <c r="Y1801">
        <f>VLOOKUP(D1801,$AB$2:$AC$7,2,FALSE)</f>
        <v/>
      </c>
      <c r="Z1801">
        <f>IF(A1801&lt;Y1801,"Yes","No")</f>
        <v/>
      </c>
    </row>
    <row r="1802">
      <c r="A1802" t="n">
        <v>2024</v>
      </c>
      <c r="B1802" t="inlineStr">
        <is>
          <t>Q2</t>
        </is>
      </c>
      <c r="C1802" t="inlineStr">
        <is>
          <t>North America</t>
        </is>
      </c>
      <c r="D1802" t="inlineStr">
        <is>
          <t>Semi</t>
        </is>
      </c>
      <c r="E1802" t="n">
        <v>147</v>
      </c>
      <c r="F1802" t="n">
        <v>115450.72</v>
      </c>
      <c r="G1802" t="n">
        <v>34</v>
      </c>
      <c r="H1802" t="inlineStr">
        <is>
          <t>Performance</t>
        </is>
      </c>
      <c r="I1802" t="inlineStr">
        <is>
          <t>AWD</t>
        </is>
      </c>
      <c r="J1802" t="inlineStr">
        <is>
          <t>Green</t>
        </is>
      </c>
      <c r="K1802" t="n">
        <v>597</v>
      </c>
      <c r="L1802" t="n">
        <v>64</v>
      </c>
      <c r="M1802" t="n">
        <v>18.14</v>
      </c>
      <c r="N1802" t="n">
        <v>319.17</v>
      </c>
      <c r="O1802" t="n">
        <v>4.62</v>
      </c>
      <c r="P1802" t="n">
        <v>8</v>
      </c>
      <c r="Q1802" t="n">
        <v>3</v>
      </c>
      <c r="R1802" t="n">
        <v>2020.2</v>
      </c>
      <c r="S1802" t="b">
        <v>1</v>
      </c>
      <c r="T1802" t="n">
        <v>214846</v>
      </c>
      <c r="U1802" t="n">
        <v>6</v>
      </c>
      <c r="V1802" t="n">
        <v>0.0196</v>
      </c>
      <c r="W1802" t="n">
        <v>1.85</v>
      </c>
      <c r="X1802" t="n">
        <v>79.02</v>
      </c>
      <c r="Y1802">
        <f>VLOOKUP(D1802,$AB$2:$AC$7,2,FALSE)</f>
        <v/>
      </c>
      <c r="Z1802">
        <f>IF(A1802&lt;Y1802,"Yes","No")</f>
        <v/>
      </c>
    </row>
    <row r="1803">
      <c r="A1803" t="n">
        <v>2016</v>
      </c>
      <c r="B1803" t="inlineStr">
        <is>
          <t>Q3</t>
        </is>
      </c>
      <c r="C1803" t="inlineStr">
        <is>
          <t>Australia</t>
        </is>
      </c>
      <c r="D1803" t="inlineStr">
        <is>
          <t>Model X</t>
        </is>
      </c>
      <c r="E1803" t="n">
        <v>4132</v>
      </c>
      <c r="F1803" t="n">
        <v>55437.82</v>
      </c>
      <c r="G1803" t="n">
        <v>17</v>
      </c>
      <c r="H1803" t="inlineStr">
        <is>
          <t>Performance</t>
        </is>
      </c>
      <c r="I1803" t="inlineStr">
        <is>
          <t>AWD</t>
        </is>
      </c>
      <c r="J1803" t="inlineStr">
        <is>
          <t>White</t>
        </is>
      </c>
      <c r="K1803" t="n">
        <v>685</v>
      </c>
      <c r="L1803" t="n">
        <v>83</v>
      </c>
      <c r="M1803" t="n">
        <v>20.84</v>
      </c>
      <c r="N1803" t="n">
        <v>7096.35</v>
      </c>
      <c r="O1803" t="n">
        <v>3.87</v>
      </c>
      <c r="P1803" t="n">
        <v>8</v>
      </c>
      <c r="Q1803" t="n">
        <v>0</v>
      </c>
      <c r="R1803" t="n">
        <v>2020.11</v>
      </c>
      <c r="S1803" t="b">
        <v>0</v>
      </c>
      <c r="T1803" t="n">
        <v>4310771</v>
      </c>
      <c r="U1803" t="n">
        <v>7</v>
      </c>
      <c r="V1803" t="n">
        <v>0.0241</v>
      </c>
      <c r="W1803" t="n">
        <v>2.4</v>
      </c>
      <c r="X1803" t="n">
        <v>85.09999999999999</v>
      </c>
      <c r="Y1803">
        <f>VLOOKUP(D1803,$AB$2:$AC$7,2,FALSE)</f>
        <v/>
      </c>
      <c r="Z1803">
        <f>IF(A1803&lt;Y1803,"Yes","No")</f>
        <v/>
      </c>
    </row>
    <row r="1804">
      <c r="A1804" t="n">
        <v>2013</v>
      </c>
      <c r="B1804" t="inlineStr">
        <is>
          <t>Q4</t>
        </is>
      </c>
      <c r="C1804" t="inlineStr">
        <is>
          <t>Asia</t>
        </is>
      </c>
      <c r="D1804" t="inlineStr">
        <is>
          <t>Model S</t>
        </is>
      </c>
      <c r="E1804" t="n">
        <v>2131</v>
      </c>
      <c r="F1804" t="n">
        <v>118596.58</v>
      </c>
      <c r="G1804" t="n">
        <v>50</v>
      </c>
      <c r="H1804" t="inlineStr">
        <is>
          <t>Performance</t>
        </is>
      </c>
      <c r="I1804" t="inlineStr">
        <is>
          <t>AWD</t>
        </is>
      </c>
      <c r="J1804" t="inlineStr">
        <is>
          <t>Blue</t>
        </is>
      </c>
      <c r="K1804" t="n">
        <v>359</v>
      </c>
      <c r="L1804" t="n">
        <v>35</v>
      </c>
      <c r="M1804" t="n">
        <v>23.94</v>
      </c>
      <c r="N1804" t="n">
        <v>1558.08</v>
      </c>
      <c r="O1804" t="n">
        <v>3.99</v>
      </c>
      <c r="P1804" t="n">
        <v>8</v>
      </c>
      <c r="Q1804" t="n">
        <v>3</v>
      </c>
      <c r="R1804" t="n">
        <v>2022.11</v>
      </c>
      <c r="S1804" t="b">
        <v>1</v>
      </c>
      <c r="T1804" t="n">
        <v>3107055</v>
      </c>
      <c r="U1804" t="n">
        <v>4</v>
      </c>
      <c r="V1804" t="n">
        <v>0.0608</v>
      </c>
      <c r="W1804" t="n">
        <v>1.16</v>
      </c>
      <c r="X1804" t="n">
        <v>83.64</v>
      </c>
      <c r="Y1804">
        <f>VLOOKUP(D1804,$AB$2:$AC$7,2,FALSE)</f>
        <v/>
      </c>
      <c r="Z1804">
        <f>IF(A1804&lt;Y1804,"Yes","No")</f>
        <v/>
      </c>
    </row>
    <row r="1805">
      <c r="A1805" t="n">
        <v>2017</v>
      </c>
      <c r="B1805" t="inlineStr">
        <is>
          <t>Q1</t>
        </is>
      </c>
      <c r="C1805" t="inlineStr">
        <is>
          <t>South America</t>
        </is>
      </c>
      <c r="D1805" t="inlineStr">
        <is>
          <t>Model X</t>
        </is>
      </c>
      <c r="E1805" t="n">
        <v>4007</v>
      </c>
      <c r="F1805" t="n">
        <v>113344.56</v>
      </c>
      <c r="G1805" t="n">
        <v>9</v>
      </c>
      <c r="H1805" t="inlineStr">
        <is>
          <t>Performance</t>
        </is>
      </c>
      <c r="I1805" t="inlineStr">
        <is>
          <t>AWD</t>
        </is>
      </c>
      <c r="J1805" t="inlineStr">
        <is>
          <t>Silver</t>
        </is>
      </c>
      <c r="K1805" t="n">
        <v>486</v>
      </c>
      <c r="L1805" t="n">
        <v>58</v>
      </c>
      <c r="M1805" t="n">
        <v>21.76</v>
      </c>
      <c r="N1805" t="n">
        <v>5133.54</v>
      </c>
      <c r="O1805" t="n">
        <v>4.26</v>
      </c>
      <c r="P1805" t="n">
        <v>8</v>
      </c>
      <c r="Q1805" t="n">
        <v>1</v>
      </c>
      <c r="R1805" t="n">
        <v>2024.1</v>
      </c>
      <c r="S1805" t="b">
        <v>1</v>
      </c>
      <c r="T1805" t="n">
        <v>2516087</v>
      </c>
      <c r="U1805" t="n">
        <v>3</v>
      </c>
      <c r="V1805" t="n">
        <v>0.0483</v>
      </c>
      <c r="W1805" t="n">
        <v>1.77</v>
      </c>
      <c r="X1805" t="n">
        <v>62.71</v>
      </c>
      <c r="Y1805">
        <f>VLOOKUP(D1805,$AB$2:$AC$7,2,FALSE)</f>
        <v/>
      </c>
      <c r="Z1805">
        <f>IF(A1805&lt;Y1805,"Yes","No")</f>
        <v/>
      </c>
    </row>
    <row r="1806">
      <c r="A1806" t="n">
        <v>2017</v>
      </c>
      <c r="B1806" t="inlineStr">
        <is>
          <t>Q3</t>
        </is>
      </c>
      <c r="C1806" t="inlineStr">
        <is>
          <t>North America</t>
        </is>
      </c>
      <c r="D1806" t="inlineStr">
        <is>
          <t>Semi</t>
        </is>
      </c>
      <c r="E1806" t="n">
        <v>3173</v>
      </c>
      <c r="F1806" t="n">
        <v>50087.65</v>
      </c>
      <c r="G1806" t="n">
        <v>31</v>
      </c>
      <c r="H1806" t="inlineStr">
        <is>
          <t>Performance</t>
        </is>
      </c>
      <c r="I1806" t="inlineStr">
        <is>
          <t>AWD</t>
        </is>
      </c>
      <c r="J1806" t="inlineStr">
        <is>
          <t>Silver</t>
        </is>
      </c>
      <c r="K1806" t="n">
        <v>622</v>
      </c>
      <c r="L1806" t="n">
        <v>77</v>
      </c>
      <c r="M1806" t="n">
        <v>21.94</v>
      </c>
      <c r="N1806" t="n">
        <v>1928.71</v>
      </c>
      <c r="O1806" t="n">
        <v>4.25</v>
      </c>
      <c r="P1806" t="n">
        <v>5</v>
      </c>
      <c r="Q1806" t="n">
        <v>0</v>
      </c>
      <c r="R1806" t="n">
        <v>2020.3</v>
      </c>
      <c r="S1806" t="b">
        <v>1</v>
      </c>
      <c r="T1806" t="n">
        <v>3961695</v>
      </c>
      <c r="U1806" t="n">
        <v>11</v>
      </c>
      <c r="V1806" t="n">
        <v>0.0399</v>
      </c>
      <c r="W1806" t="n">
        <v>0.78</v>
      </c>
      <c r="X1806" t="n">
        <v>76.63</v>
      </c>
      <c r="Y1806">
        <f>VLOOKUP(D1806,$AB$2:$AC$7,2,FALSE)</f>
        <v/>
      </c>
      <c r="Z1806">
        <f>IF(A1806&lt;Y1806,"Yes","No")</f>
        <v/>
      </c>
    </row>
    <row r="1807">
      <c r="A1807" t="n">
        <v>2024</v>
      </c>
      <c r="B1807" t="inlineStr">
        <is>
          <t>Q2</t>
        </is>
      </c>
      <c r="C1807" t="inlineStr">
        <is>
          <t>Europe</t>
        </is>
      </c>
      <c r="D1807" t="inlineStr">
        <is>
          <t>Model 3</t>
        </is>
      </c>
      <c r="E1807" t="n">
        <v>716</v>
      </c>
      <c r="F1807" t="n">
        <v>50757.04</v>
      </c>
      <c r="G1807" t="n">
        <v>24</v>
      </c>
      <c r="H1807" t="inlineStr">
        <is>
          <t>Long Range</t>
        </is>
      </c>
      <c r="I1807" t="inlineStr">
        <is>
          <t>RWD</t>
        </is>
      </c>
      <c r="J1807" t="inlineStr">
        <is>
          <t>Black</t>
        </is>
      </c>
      <c r="K1807" t="n">
        <v>527</v>
      </c>
      <c r="L1807" t="n">
        <v>30</v>
      </c>
      <c r="M1807" t="n">
        <v>22.89</v>
      </c>
      <c r="N1807" t="n">
        <v>1372.49</v>
      </c>
      <c r="O1807" t="n">
        <v>3.82</v>
      </c>
      <c r="P1807" t="n">
        <v>6</v>
      </c>
      <c r="Q1807" t="n">
        <v>3</v>
      </c>
      <c r="R1807" t="n">
        <v>2020.7</v>
      </c>
      <c r="S1807" t="b">
        <v>1</v>
      </c>
      <c r="T1807" t="n">
        <v>3962900</v>
      </c>
      <c r="U1807" t="n">
        <v>3</v>
      </c>
      <c r="V1807" t="n">
        <v>0.09619999999999999</v>
      </c>
      <c r="W1807" t="n">
        <v>1.02</v>
      </c>
      <c r="X1807" t="n">
        <v>65.68000000000001</v>
      </c>
      <c r="Y1807">
        <f>VLOOKUP(D1807,$AB$2:$AC$7,2,FALSE)</f>
        <v/>
      </c>
      <c r="Z1807">
        <f>IF(A1807&lt;Y1807,"Yes","No")</f>
        <v/>
      </c>
    </row>
    <row r="1808">
      <c r="A1808" t="n">
        <v>2024</v>
      </c>
      <c r="B1808" t="inlineStr">
        <is>
          <t>Q2</t>
        </is>
      </c>
      <c r="C1808" t="inlineStr">
        <is>
          <t>Australia</t>
        </is>
      </c>
      <c r="D1808" t="inlineStr">
        <is>
          <t>Semi</t>
        </is>
      </c>
      <c r="E1808" t="n">
        <v>4101</v>
      </c>
      <c r="F1808" t="n">
        <v>51033.46</v>
      </c>
      <c r="G1808" t="n">
        <v>12</v>
      </c>
      <c r="H1808" t="inlineStr">
        <is>
          <t>Long Range</t>
        </is>
      </c>
      <c r="I1808" t="inlineStr">
        <is>
          <t>RWD</t>
        </is>
      </c>
      <c r="J1808" t="inlineStr">
        <is>
          <t>Black</t>
        </is>
      </c>
      <c r="K1808" t="n">
        <v>600</v>
      </c>
      <c r="L1808" t="n">
        <v>85</v>
      </c>
      <c r="M1808" t="n">
        <v>16.05</v>
      </c>
      <c r="N1808" t="n">
        <v>9499.57</v>
      </c>
      <c r="O1808" t="n">
        <v>3.65</v>
      </c>
      <c r="P1808" t="n">
        <v>6</v>
      </c>
      <c r="Q1808" t="n">
        <v>1</v>
      </c>
      <c r="R1808" t="n">
        <v>2020.1</v>
      </c>
      <c r="S1808" t="b">
        <v>0</v>
      </c>
      <c r="T1808" t="n">
        <v>1653031</v>
      </c>
      <c r="U1808" t="n">
        <v>2</v>
      </c>
      <c r="V1808" t="n">
        <v>0.0495</v>
      </c>
      <c r="W1808" t="n">
        <v>0.98</v>
      </c>
      <c r="X1808" t="n">
        <v>74.43000000000001</v>
      </c>
      <c r="Y1808">
        <f>VLOOKUP(D1808,$AB$2:$AC$7,2,FALSE)</f>
        <v/>
      </c>
      <c r="Z1808">
        <f>IF(A1808&lt;Y1808,"Yes","No")</f>
        <v/>
      </c>
    </row>
    <row r="1809">
      <c r="A1809" t="n">
        <v>2013</v>
      </c>
      <c r="B1809" t="inlineStr">
        <is>
          <t>Q3</t>
        </is>
      </c>
      <c r="C1809" t="inlineStr">
        <is>
          <t>South America</t>
        </is>
      </c>
      <c r="D1809" t="inlineStr">
        <is>
          <t>Model Y</t>
        </is>
      </c>
      <c r="E1809" t="n">
        <v>586</v>
      </c>
      <c r="F1809" t="n">
        <v>87497.14999999999</v>
      </c>
      <c r="G1809" t="n">
        <v>39</v>
      </c>
      <c r="H1809" t="inlineStr">
        <is>
          <t>Long Range</t>
        </is>
      </c>
      <c r="I1809" t="inlineStr">
        <is>
          <t>AWD</t>
        </is>
      </c>
      <c r="J1809" t="inlineStr">
        <is>
          <t>White</t>
        </is>
      </c>
      <c r="K1809" t="n">
        <v>375</v>
      </c>
      <c r="L1809" t="n">
        <v>85</v>
      </c>
      <c r="M1809" t="n">
        <v>20.95</v>
      </c>
      <c r="N1809" t="n">
        <v>1460.75</v>
      </c>
      <c r="O1809" t="n">
        <v>3.7</v>
      </c>
      <c r="P1809" t="n">
        <v>6</v>
      </c>
      <c r="Q1809" t="n">
        <v>1</v>
      </c>
      <c r="R1809" t="n">
        <v>2020.1</v>
      </c>
      <c r="S1809" t="b">
        <v>0</v>
      </c>
      <c r="T1809" t="n">
        <v>3110620</v>
      </c>
      <c r="U1809" t="n">
        <v>12</v>
      </c>
      <c r="V1809" t="n">
        <v>0.0593</v>
      </c>
      <c r="W1809" t="n">
        <v>1.49</v>
      </c>
      <c r="X1809" t="n">
        <v>84.02</v>
      </c>
      <c r="Y1809">
        <f>VLOOKUP(D1809,$AB$2:$AC$7,2,FALSE)</f>
        <v/>
      </c>
      <c r="Z1809">
        <f>IF(A1809&lt;Y1809,"Yes","No")</f>
        <v/>
      </c>
    </row>
    <row r="1810">
      <c r="A1810" t="n">
        <v>2023</v>
      </c>
      <c r="B1810" t="inlineStr">
        <is>
          <t>Q2</t>
        </is>
      </c>
      <c r="C1810" t="inlineStr">
        <is>
          <t>Australia</t>
        </is>
      </c>
      <c r="D1810" t="inlineStr">
        <is>
          <t>Model X</t>
        </is>
      </c>
      <c r="E1810" t="n">
        <v>1542</v>
      </c>
      <c r="F1810" t="n">
        <v>76527.89</v>
      </c>
      <c r="G1810" t="n">
        <v>29</v>
      </c>
      <c r="H1810" t="inlineStr">
        <is>
          <t>Performance</t>
        </is>
      </c>
      <c r="I1810" t="inlineStr">
        <is>
          <t>RWD</t>
        </is>
      </c>
      <c r="J1810" t="inlineStr">
        <is>
          <t>Blue</t>
        </is>
      </c>
      <c r="K1810" t="n">
        <v>426</v>
      </c>
      <c r="L1810" t="n">
        <v>44</v>
      </c>
      <c r="M1810" t="n">
        <v>19.25</v>
      </c>
      <c r="N1810" t="n">
        <v>2704.17</v>
      </c>
      <c r="O1810" t="n">
        <v>4.13</v>
      </c>
      <c r="P1810" t="n">
        <v>4</v>
      </c>
      <c r="Q1810" t="n">
        <v>1</v>
      </c>
      <c r="R1810" t="n">
        <v>2024.3</v>
      </c>
      <c r="S1810" t="b">
        <v>1</v>
      </c>
      <c r="T1810" t="n">
        <v>2107840</v>
      </c>
      <c r="U1810" t="n">
        <v>7</v>
      </c>
      <c r="V1810" t="n">
        <v>0.0193</v>
      </c>
      <c r="W1810" t="n">
        <v>1.82</v>
      </c>
      <c r="X1810" t="n">
        <v>79.09999999999999</v>
      </c>
      <c r="Y1810">
        <f>VLOOKUP(D1810,$AB$2:$AC$7,2,FALSE)</f>
        <v/>
      </c>
      <c r="Z1810">
        <f>IF(A1810&lt;Y1810,"Yes","No")</f>
        <v/>
      </c>
    </row>
    <row r="1811">
      <c r="A1811" t="n">
        <v>2015</v>
      </c>
      <c r="B1811" t="inlineStr">
        <is>
          <t>Q2</t>
        </is>
      </c>
      <c r="C1811" t="inlineStr">
        <is>
          <t>North America</t>
        </is>
      </c>
      <c r="D1811" t="inlineStr">
        <is>
          <t>Model S</t>
        </is>
      </c>
      <c r="E1811" t="n">
        <v>290</v>
      </c>
      <c r="F1811" t="n">
        <v>75411.03999999999</v>
      </c>
      <c r="G1811" t="n">
        <v>12</v>
      </c>
      <c r="H1811" t="inlineStr">
        <is>
          <t>Long Range</t>
        </is>
      </c>
      <c r="I1811" t="inlineStr">
        <is>
          <t>AWD</t>
        </is>
      </c>
      <c r="J1811" t="inlineStr">
        <is>
          <t>Black</t>
        </is>
      </c>
      <c r="K1811" t="n">
        <v>483</v>
      </c>
      <c r="L1811" t="n">
        <v>55</v>
      </c>
      <c r="M1811" t="n">
        <v>24.69</v>
      </c>
      <c r="N1811" t="n">
        <v>306.77</v>
      </c>
      <c r="O1811" t="n">
        <v>4.29</v>
      </c>
      <c r="P1811" t="n">
        <v>6</v>
      </c>
      <c r="Q1811" t="n">
        <v>0</v>
      </c>
      <c r="R1811" t="n">
        <v>2021.4</v>
      </c>
      <c r="S1811" t="b">
        <v>1</v>
      </c>
      <c r="T1811" t="n">
        <v>1157820</v>
      </c>
      <c r="U1811" t="n">
        <v>4</v>
      </c>
      <c r="V1811" t="n">
        <v>0.0305</v>
      </c>
      <c r="W1811" t="n">
        <v>0.84</v>
      </c>
      <c r="X1811" t="n">
        <v>61</v>
      </c>
      <c r="Y1811">
        <f>VLOOKUP(D1811,$AB$2:$AC$7,2,FALSE)</f>
        <v/>
      </c>
      <c r="Z1811">
        <f>IF(A1811&lt;Y1811,"Yes","No")</f>
        <v/>
      </c>
    </row>
    <row r="1812">
      <c r="A1812" t="n">
        <v>2019</v>
      </c>
      <c r="B1812" t="inlineStr">
        <is>
          <t>Q2</t>
        </is>
      </c>
      <c r="C1812" t="inlineStr">
        <is>
          <t>South America</t>
        </is>
      </c>
      <c r="D1812" t="inlineStr">
        <is>
          <t>Model X</t>
        </is>
      </c>
      <c r="E1812" t="n">
        <v>3937</v>
      </c>
      <c r="F1812" t="n">
        <v>40034.93</v>
      </c>
      <c r="G1812" t="n">
        <v>49</v>
      </c>
      <c r="H1812" t="inlineStr">
        <is>
          <t>Performance</t>
        </is>
      </c>
      <c r="I1812" t="inlineStr">
        <is>
          <t>RWD</t>
        </is>
      </c>
      <c r="J1812" t="inlineStr">
        <is>
          <t>Black</t>
        </is>
      </c>
      <c r="K1812" t="n">
        <v>649</v>
      </c>
      <c r="L1812" t="n">
        <v>83</v>
      </c>
      <c r="M1812" t="n">
        <v>23.01</v>
      </c>
      <c r="N1812" t="n">
        <v>3925.6</v>
      </c>
      <c r="O1812" t="n">
        <v>3.52</v>
      </c>
      <c r="P1812" t="n">
        <v>6</v>
      </c>
      <c r="Q1812" t="n">
        <v>3</v>
      </c>
      <c r="R1812" t="n">
        <v>2024.4</v>
      </c>
      <c r="S1812" t="b">
        <v>0</v>
      </c>
      <c r="T1812" t="n">
        <v>1521499</v>
      </c>
      <c r="U1812" t="n">
        <v>3</v>
      </c>
      <c r="V1812" t="n">
        <v>0.0303</v>
      </c>
      <c r="W1812" t="n">
        <v>2.47</v>
      </c>
      <c r="X1812" t="n">
        <v>72.73</v>
      </c>
      <c r="Y1812">
        <f>VLOOKUP(D1812,$AB$2:$AC$7,2,FALSE)</f>
        <v/>
      </c>
      <c r="Z1812">
        <f>IF(A1812&lt;Y1812,"Yes","No")</f>
        <v/>
      </c>
    </row>
    <row r="1813">
      <c r="A1813" t="n">
        <v>2023</v>
      </c>
      <c r="B1813" t="inlineStr">
        <is>
          <t>Q2</t>
        </is>
      </c>
      <c r="C1813" t="inlineStr">
        <is>
          <t>Europe</t>
        </is>
      </c>
      <c r="D1813" t="inlineStr">
        <is>
          <t>Model Y</t>
        </is>
      </c>
      <c r="E1813" t="n">
        <v>493</v>
      </c>
      <c r="F1813" t="n">
        <v>78848.47</v>
      </c>
      <c r="G1813" t="n">
        <v>39</v>
      </c>
      <c r="H1813" t="inlineStr">
        <is>
          <t>Performance</t>
        </is>
      </c>
      <c r="I1813" t="inlineStr">
        <is>
          <t>AWD</t>
        </is>
      </c>
      <c r="J1813" t="inlineStr">
        <is>
          <t>Blue</t>
        </is>
      </c>
      <c r="K1813" t="n">
        <v>384</v>
      </c>
      <c r="L1813" t="n">
        <v>53</v>
      </c>
      <c r="M1813" t="n">
        <v>14.28</v>
      </c>
      <c r="N1813" t="n">
        <v>475.14</v>
      </c>
      <c r="O1813" t="n">
        <v>4.89</v>
      </c>
      <c r="P1813" t="n">
        <v>6</v>
      </c>
      <c r="Q1813" t="n">
        <v>2</v>
      </c>
      <c r="R1813" t="n">
        <v>2024.9</v>
      </c>
      <c r="S1813" t="b">
        <v>1</v>
      </c>
      <c r="T1813" t="n">
        <v>4632467</v>
      </c>
      <c r="U1813" t="n">
        <v>2</v>
      </c>
      <c r="V1813" t="n">
        <v>0.0278</v>
      </c>
      <c r="W1813" t="n">
        <v>1.78</v>
      </c>
      <c r="X1813" t="n">
        <v>89.54000000000001</v>
      </c>
      <c r="Y1813">
        <f>VLOOKUP(D1813,$AB$2:$AC$7,2,FALSE)</f>
        <v/>
      </c>
      <c r="Z1813">
        <f>IF(A1813&lt;Y1813,"Yes","No")</f>
        <v/>
      </c>
    </row>
    <row r="1814">
      <c r="A1814" t="n">
        <v>2019</v>
      </c>
      <c r="B1814" t="inlineStr">
        <is>
          <t>Q2</t>
        </is>
      </c>
      <c r="C1814" t="inlineStr">
        <is>
          <t>South America</t>
        </is>
      </c>
      <c r="D1814" t="inlineStr">
        <is>
          <t>Model S</t>
        </is>
      </c>
      <c r="E1814" t="n">
        <v>834</v>
      </c>
      <c r="F1814" t="n">
        <v>53983.23</v>
      </c>
      <c r="G1814" t="n">
        <v>13</v>
      </c>
      <c r="H1814" t="inlineStr">
        <is>
          <t>Long Range</t>
        </is>
      </c>
      <c r="I1814" t="inlineStr">
        <is>
          <t>AWD</t>
        </is>
      </c>
      <c r="J1814" t="inlineStr">
        <is>
          <t>Green</t>
        </is>
      </c>
      <c r="K1814" t="n">
        <v>478</v>
      </c>
      <c r="L1814" t="n">
        <v>66</v>
      </c>
      <c r="M1814" t="n">
        <v>16.2</v>
      </c>
      <c r="N1814" t="n">
        <v>698.98</v>
      </c>
      <c r="O1814" t="n">
        <v>4.76</v>
      </c>
      <c r="P1814" t="n">
        <v>6</v>
      </c>
      <c r="Q1814" t="n">
        <v>2</v>
      </c>
      <c r="R1814" t="n">
        <v>2020.8</v>
      </c>
      <c r="S1814" t="b">
        <v>0</v>
      </c>
      <c r="T1814" t="n">
        <v>227975</v>
      </c>
      <c r="U1814" t="n">
        <v>2</v>
      </c>
      <c r="V1814" t="n">
        <v>0.0389</v>
      </c>
      <c r="W1814" t="n">
        <v>0.97</v>
      </c>
      <c r="X1814" t="n">
        <v>70.68000000000001</v>
      </c>
      <c r="Y1814">
        <f>VLOOKUP(D1814,$AB$2:$AC$7,2,FALSE)</f>
        <v/>
      </c>
      <c r="Z1814">
        <f>IF(A1814&lt;Y1814,"Yes","No")</f>
        <v/>
      </c>
    </row>
    <row r="1815">
      <c r="A1815" t="n">
        <v>2022</v>
      </c>
      <c r="B1815" t="inlineStr">
        <is>
          <t>Q2</t>
        </is>
      </c>
      <c r="C1815" t="inlineStr">
        <is>
          <t>Europe</t>
        </is>
      </c>
      <c r="D1815" t="inlineStr">
        <is>
          <t>Model X</t>
        </is>
      </c>
      <c r="E1815" t="n">
        <v>4570</v>
      </c>
      <c r="F1815" t="n">
        <v>96501.16</v>
      </c>
      <c r="G1815" t="n">
        <v>42</v>
      </c>
      <c r="H1815" t="inlineStr">
        <is>
          <t>Standard</t>
        </is>
      </c>
      <c r="I1815" t="inlineStr">
        <is>
          <t>AWD</t>
        </is>
      </c>
      <c r="J1815" t="inlineStr">
        <is>
          <t>Green</t>
        </is>
      </c>
      <c r="K1815" t="n">
        <v>634</v>
      </c>
      <c r="L1815" t="n">
        <v>81</v>
      </c>
      <c r="M1815" t="n">
        <v>15.15</v>
      </c>
      <c r="N1815" t="n">
        <v>8243.450000000001</v>
      </c>
      <c r="O1815" t="n">
        <v>3.85</v>
      </c>
      <c r="P1815" t="n">
        <v>6</v>
      </c>
      <c r="Q1815" t="n">
        <v>0</v>
      </c>
      <c r="R1815" t="n">
        <v>2021.12</v>
      </c>
      <c r="S1815" t="b">
        <v>0</v>
      </c>
      <c r="T1815" t="n">
        <v>4228493</v>
      </c>
      <c r="U1815" t="n">
        <v>9</v>
      </c>
      <c r="V1815" t="n">
        <v>0.06320000000000001</v>
      </c>
      <c r="W1815" t="n">
        <v>1.61</v>
      </c>
      <c r="X1815" t="n">
        <v>64.98</v>
      </c>
      <c r="Y1815">
        <f>VLOOKUP(D1815,$AB$2:$AC$7,2,FALSE)</f>
        <v/>
      </c>
      <c r="Z1815">
        <f>IF(A1815&lt;Y1815,"Yes","No")</f>
        <v/>
      </c>
    </row>
    <row r="1816">
      <c r="A1816" t="n">
        <v>2017</v>
      </c>
      <c r="B1816" t="inlineStr">
        <is>
          <t>Q4</t>
        </is>
      </c>
      <c r="C1816" t="inlineStr">
        <is>
          <t>Asia</t>
        </is>
      </c>
      <c r="D1816" t="inlineStr">
        <is>
          <t>Model 3</t>
        </is>
      </c>
      <c r="E1816" t="n">
        <v>3855</v>
      </c>
      <c r="F1816" t="n">
        <v>40962.83</v>
      </c>
      <c r="G1816" t="n">
        <v>23</v>
      </c>
      <c r="H1816" t="inlineStr">
        <is>
          <t>Long Range</t>
        </is>
      </c>
      <c r="I1816" t="inlineStr">
        <is>
          <t>RWD</t>
        </is>
      </c>
      <c r="J1816" t="inlineStr">
        <is>
          <t>Red</t>
        </is>
      </c>
      <c r="K1816" t="n">
        <v>514</v>
      </c>
      <c r="L1816" t="n">
        <v>86</v>
      </c>
      <c r="M1816" t="n">
        <v>23.2</v>
      </c>
      <c r="N1816" t="n">
        <v>9230.52</v>
      </c>
      <c r="O1816" t="n">
        <v>3.82</v>
      </c>
      <c r="P1816" t="n">
        <v>4</v>
      </c>
      <c r="Q1816" t="n">
        <v>3</v>
      </c>
      <c r="R1816" t="n">
        <v>2020.7</v>
      </c>
      <c r="S1816" t="b">
        <v>0</v>
      </c>
      <c r="T1816" t="n">
        <v>3590438</v>
      </c>
      <c r="U1816" t="n">
        <v>12</v>
      </c>
      <c r="V1816" t="n">
        <v>0.09030000000000001</v>
      </c>
      <c r="W1816" t="n">
        <v>0.62</v>
      </c>
      <c r="X1816" t="n">
        <v>86.70999999999999</v>
      </c>
      <c r="Y1816">
        <f>VLOOKUP(D1816,$AB$2:$AC$7,2,FALSE)</f>
        <v/>
      </c>
      <c r="Z1816">
        <f>IF(A1816&lt;Y1816,"Yes","No")</f>
        <v/>
      </c>
    </row>
    <row r="1817">
      <c r="A1817" t="n">
        <v>2023</v>
      </c>
      <c r="B1817" t="inlineStr">
        <is>
          <t>Q4</t>
        </is>
      </c>
      <c r="C1817" t="inlineStr">
        <is>
          <t>Europe</t>
        </is>
      </c>
      <c r="D1817" t="inlineStr">
        <is>
          <t>Model 3</t>
        </is>
      </c>
      <c r="E1817" t="n">
        <v>792</v>
      </c>
      <c r="F1817" t="n">
        <v>43488.88</v>
      </c>
      <c r="G1817" t="n">
        <v>50</v>
      </c>
      <c r="H1817" t="inlineStr">
        <is>
          <t>Standard</t>
        </is>
      </c>
      <c r="I1817" t="inlineStr">
        <is>
          <t>RWD</t>
        </is>
      </c>
      <c r="J1817" t="inlineStr">
        <is>
          <t>Green</t>
        </is>
      </c>
      <c r="K1817" t="n">
        <v>397</v>
      </c>
      <c r="L1817" t="n">
        <v>36</v>
      </c>
      <c r="M1817" t="n">
        <v>24.87</v>
      </c>
      <c r="N1817" t="n">
        <v>1331.01</v>
      </c>
      <c r="O1817" t="n">
        <v>4.01</v>
      </c>
      <c r="P1817" t="n">
        <v>5</v>
      </c>
      <c r="Q1817" t="n">
        <v>0</v>
      </c>
      <c r="R1817" t="n">
        <v>2024.4</v>
      </c>
      <c r="S1817" t="b">
        <v>0</v>
      </c>
      <c r="T1817" t="n">
        <v>1824375</v>
      </c>
      <c r="U1817" t="n">
        <v>3</v>
      </c>
      <c r="V1817" t="n">
        <v>0.0857</v>
      </c>
      <c r="W1817" t="n">
        <v>1.01</v>
      </c>
      <c r="X1817" t="n">
        <v>61.71</v>
      </c>
      <c r="Y1817">
        <f>VLOOKUP(D1817,$AB$2:$AC$7,2,FALSE)</f>
        <v/>
      </c>
      <c r="Z1817">
        <f>IF(A1817&lt;Y1817,"Yes","No")</f>
        <v/>
      </c>
    </row>
    <row r="1818">
      <c r="A1818" t="n">
        <v>2019</v>
      </c>
      <c r="B1818" t="inlineStr">
        <is>
          <t>Q4</t>
        </is>
      </c>
      <c r="C1818" t="inlineStr">
        <is>
          <t>South America</t>
        </is>
      </c>
      <c r="D1818" t="inlineStr">
        <is>
          <t>Model S</t>
        </is>
      </c>
      <c r="E1818" t="n">
        <v>3871</v>
      </c>
      <c r="F1818" t="n">
        <v>35715.81</v>
      </c>
      <c r="G1818" t="n">
        <v>60</v>
      </c>
      <c r="H1818" t="inlineStr">
        <is>
          <t>Standard</t>
        </is>
      </c>
      <c r="I1818" t="inlineStr">
        <is>
          <t>RWD</t>
        </is>
      </c>
      <c r="J1818" t="inlineStr">
        <is>
          <t>Silver</t>
        </is>
      </c>
      <c r="K1818" t="n">
        <v>673</v>
      </c>
      <c r="L1818" t="n">
        <v>71</v>
      </c>
      <c r="M1818" t="n">
        <v>15.53</v>
      </c>
      <c r="N1818" t="n">
        <v>5141.99</v>
      </c>
      <c r="O1818" t="n">
        <v>4.72</v>
      </c>
      <c r="P1818" t="n">
        <v>5</v>
      </c>
      <c r="Q1818" t="n">
        <v>0</v>
      </c>
      <c r="R1818" t="n">
        <v>2020.5</v>
      </c>
      <c r="S1818" t="b">
        <v>0</v>
      </c>
      <c r="T1818" t="n">
        <v>4439928</v>
      </c>
      <c r="U1818" t="n">
        <v>4</v>
      </c>
      <c r="V1818" t="n">
        <v>0.0141</v>
      </c>
      <c r="W1818" t="n">
        <v>0.79</v>
      </c>
      <c r="X1818" t="n">
        <v>62.9</v>
      </c>
      <c r="Y1818">
        <f>VLOOKUP(D1818,$AB$2:$AC$7,2,FALSE)</f>
        <v/>
      </c>
      <c r="Z1818">
        <f>IF(A1818&lt;Y1818,"Yes","No")</f>
        <v/>
      </c>
    </row>
    <row r="1819">
      <c r="A1819" t="n">
        <v>2014</v>
      </c>
      <c r="B1819" t="inlineStr">
        <is>
          <t>Q3</t>
        </is>
      </c>
      <c r="C1819" t="inlineStr">
        <is>
          <t>Australia</t>
        </is>
      </c>
      <c r="D1819" t="inlineStr">
        <is>
          <t>Semi</t>
        </is>
      </c>
      <c r="E1819" t="n">
        <v>2495</v>
      </c>
      <c r="F1819" t="n">
        <v>45793.2</v>
      </c>
      <c r="G1819" t="n">
        <v>27</v>
      </c>
      <c r="H1819" t="inlineStr">
        <is>
          <t>Performance</t>
        </is>
      </c>
      <c r="I1819" t="inlineStr">
        <is>
          <t>RWD</t>
        </is>
      </c>
      <c r="J1819" t="inlineStr">
        <is>
          <t>Blue</t>
        </is>
      </c>
      <c r="K1819" t="n">
        <v>474</v>
      </c>
      <c r="L1819" t="n">
        <v>39</v>
      </c>
      <c r="M1819" t="n">
        <v>17.32</v>
      </c>
      <c r="N1819" t="n">
        <v>5186.31</v>
      </c>
      <c r="O1819" t="n">
        <v>3.98</v>
      </c>
      <c r="P1819" t="n">
        <v>8</v>
      </c>
      <c r="Q1819" t="n">
        <v>2</v>
      </c>
      <c r="R1819" t="n">
        <v>2021.1</v>
      </c>
      <c r="S1819" t="b">
        <v>1</v>
      </c>
      <c r="T1819" t="n">
        <v>2912604</v>
      </c>
      <c r="U1819" t="n">
        <v>5</v>
      </c>
      <c r="V1819" t="n">
        <v>0.0446</v>
      </c>
      <c r="W1819" t="n">
        <v>2.33</v>
      </c>
      <c r="X1819" t="n">
        <v>73.23</v>
      </c>
      <c r="Y1819">
        <f>VLOOKUP(D1819,$AB$2:$AC$7,2,FALSE)</f>
        <v/>
      </c>
      <c r="Z1819">
        <f>IF(A1819&lt;Y1819,"Yes","No")</f>
        <v/>
      </c>
    </row>
    <row r="1820">
      <c r="A1820" t="n">
        <v>2022</v>
      </c>
      <c r="B1820" t="inlineStr">
        <is>
          <t>Q1</t>
        </is>
      </c>
      <c r="C1820" t="inlineStr">
        <is>
          <t>Europe</t>
        </is>
      </c>
      <c r="D1820" t="inlineStr">
        <is>
          <t>Model S</t>
        </is>
      </c>
      <c r="E1820" t="n">
        <v>3738</v>
      </c>
      <c r="F1820" t="n">
        <v>118861.99</v>
      </c>
      <c r="G1820" t="n">
        <v>58</v>
      </c>
      <c r="H1820" t="inlineStr">
        <is>
          <t>Performance</t>
        </is>
      </c>
      <c r="I1820" t="inlineStr">
        <is>
          <t>AWD</t>
        </is>
      </c>
      <c r="J1820" t="inlineStr">
        <is>
          <t>Silver</t>
        </is>
      </c>
      <c r="K1820" t="n">
        <v>526</v>
      </c>
      <c r="L1820" t="n">
        <v>60</v>
      </c>
      <c r="M1820" t="n">
        <v>19.58</v>
      </c>
      <c r="N1820" t="n">
        <v>6813.87</v>
      </c>
      <c r="O1820" t="n">
        <v>4.41</v>
      </c>
      <c r="P1820" t="n">
        <v>5</v>
      </c>
      <c r="Q1820" t="n">
        <v>2</v>
      </c>
      <c r="R1820" t="n">
        <v>2022.1</v>
      </c>
      <c r="S1820" t="b">
        <v>1</v>
      </c>
      <c r="T1820" t="n">
        <v>4867834</v>
      </c>
      <c r="U1820" t="n">
        <v>11</v>
      </c>
      <c r="V1820" t="n">
        <v>0.07779999999999999</v>
      </c>
      <c r="W1820" t="n">
        <v>2.08</v>
      </c>
      <c r="X1820" t="n">
        <v>85.5</v>
      </c>
      <c r="Y1820">
        <f>VLOOKUP(D1820,$AB$2:$AC$7,2,FALSE)</f>
        <v/>
      </c>
      <c r="Z1820">
        <f>IF(A1820&lt;Y1820,"Yes","No")</f>
        <v/>
      </c>
    </row>
    <row r="1821">
      <c r="A1821" t="n">
        <v>2020</v>
      </c>
      <c r="B1821" t="inlineStr">
        <is>
          <t>Q3</t>
        </is>
      </c>
      <c r="C1821" t="inlineStr">
        <is>
          <t>Asia</t>
        </is>
      </c>
      <c r="D1821" t="inlineStr">
        <is>
          <t>Model X</t>
        </is>
      </c>
      <c r="E1821" t="n">
        <v>3617</v>
      </c>
      <c r="F1821" t="n">
        <v>62764.57</v>
      </c>
      <c r="G1821" t="n">
        <v>45</v>
      </c>
      <c r="H1821" t="inlineStr">
        <is>
          <t>Long Range</t>
        </is>
      </c>
      <c r="I1821" t="inlineStr">
        <is>
          <t>AWD</t>
        </is>
      </c>
      <c r="J1821" t="inlineStr">
        <is>
          <t>Green</t>
        </is>
      </c>
      <c r="K1821" t="n">
        <v>578</v>
      </c>
      <c r="L1821" t="n">
        <v>46</v>
      </c>
      <c r="M1821" t="n">
        <v>16.53</v>
      </c>
      <c r="N1821" t="n">
        <v>3150.04</v>
      </c>
      <c r="O1821" t="n">
        <v>4.95</v>
      </c>
      <c r="P1821" t="n">
        <v>6</v>
      </c>
      <c r="Q1821" t="n">
        <v>0</v>
      </c>
      <c r="R1821" t="n">
        <v>2022.2</v>
      </c>
      <c r="S1821" t="b">
        <v>0</v>
      </c>
      <c r="T1821" t="n">
        <v>2833266</v>
      </c>
      <c r="U1821" t="n">
        <v>8</v>
      </c>
      <c r="V1821" t="n">
        <v>0.0536</v>
      </c>
      <c r="W1821" t="n">
        <v>2.47</v>
      </c>
      <c r="X1821" t="n">
        <v>60.29</v>
      </c>
      <c r="Y1821">
        <f>VLOOKUP(D1821,$AB$2:$AC$7,2,FALSE)</f>
        <v/>
      </c>
      <c r="Z1821">
        <f>IF(A1821&lt;Y1821,"Yes","No")</f>
        <v/>
      </c>
    </row>
    <row r="1822">
      <c r="A1822" t="n">
        <v>2024</v>
      </c>
      <c r="B1822" t="inlineStr">
        <is>
          <t>Q2</t>
        </is>
      </c>
      <c r="C1822" t="inlineStr">
        <is>
          <t>North America</t>
        </is>
      </c>
      <c r="D1822" t="inlineStr">
        <is>
          <t>Model S</t>
        </is>
      </c>
      <c r="E1822" t="n">
        <v>3274</v>
      </c>
      <c r="F1822" t="n">
        <v>89909.03</v>
      </c>
      <c r="G1822" t="n">
        <v>51</v>
      </c>
      <c r="H1822" t="inlineStr">
        <is>
          <t>Long Range</t>
        </is>
      </c>
      <c r="I1822" t="inlineStr">
        <is>
          <t>AWD</t>
        </is>
      </c>
      <c r="J1822" t="inlineStr">
        <is>
          <t>Red</t>
        </is>
      </c>
      <c r="K1822" t="n">
        <v>362</v>
      </c>
      <c r="L1822" t="n">
        <v>34</v>
      </c>
      <c r="M1822" t="n">
        <v>15.69</v>
      </c>
      <c r="N1822" t="n">
        <v>3323.08</v>
      </c>
      <c r="O1822" t="n">
        <v>4.44</v>
      </c>
      <c r="P1822" t="n">
        <v>6</v>
      </c>
      <c r="Q1822" t="n">
        <v>0</v>
      </c>
      <c r="R1822" t="n">
        <v>2022.12</v>
      </c>
      <c r="S1822" t="b">
        <v>1</v>
      </c>
      <c r="T1822" t="n">
        <v>3351412</v>
      </c>
      <c r="U1822" t="n">
        <v>12</v>
      </c>
      <c r="V1822" t="n">
        <v>0.0531</v>
      </c>
      <c r="W1822" t="n">
        <v>1.64</v>
      </c>
      <c r="X1822" t="n">
        <v>85.29000000000001</v>
      </c>
      <c r="Y1822">
        <f>VLOOKUP(D1822,$AB$2:$AC$7,2,FALSE)</f>
        <v/>
      </c>
      <c r="Z1822">
        <f>IF(A1822&lt;Y1822,"Yes","No")</f>
        <v/>
      </c>
    </row>
    <row r="1823">
      <c r="A1823" t="n">
        <v>2024</v>
      </c>
      <c r="B1823" t="inlineStr">
        <is>
          <t>Q3</t>
        </is>
      </c>
      <c r="C1823" t="inlineStr">
        <is>
          <t>Australia</t>
        </is>
      </c>
      <c r="D1823" t="inlineStr">
        <is>
          <t>Model X</t>
        </is>
      </c>
      <c r="E1823" t="n">
        <v>2584</v>
      </c>
      <c r="F1823" t="n">
        <v>79127.50999999999</v>
      </c>
      <c r="G1823" t="n">
        <v>0</v>
      </c>
      <c r="H1823" t="inlineStr">
        <is>
          <t>Standard</t>
        </is>
      </c>
      <c r="I1823" t="inlineStr">
        <is>
          <t>AWD</t>
        </is>
      </c>
      <c r="J1823" t="inlineStr">
        <is>
          <t>Red</t>
        </is>
      </c>
      <c r="K1823" t="n">
        <v>500</v>
      </c>
      <c r="L1823" t="n">
        <v>32</v>
      </c>
      <c r="M1823" t="n">
        <v>13.27</v>
      </c>
      <c r="N1823" t="n">
        <v>4977.87</v>
      </c>
      <c r="O1823" t="n">
        <v>3.88</v>
      </c>
      <c r="P1823" t="n">
        <v>6</v>
      </c>
      <c r="Q1823" t="n">
        <v>2</v>
      </c>
      <c r="R1823" t="n">
        <v>2024.8</v>
      </c>
      <c r="S1823" t="b">
        <v>0</v>
      </c>
      <c r="T1823" t="n">
        <v>4532733</v>
      </c>
      <c r="U1823" t="n">
        <v>5</v>
      </c>
      <c r="V1823" t="n">
        <v>0.0366</v>
      </c>
      <c r="W1823" t="n">
        <v>2.44</v>
      </c>
      <c r="X1823" t="n">
        <v>84.29000000000001</v>
      </c>
      <c r="Y1823">
        <f>VLOOKUP(D1823,$AB$2:$AC$7,2,FALSE)</f>
        <v/>
      </c>
      <c r="Z1823">
        <f>IF(A1823&lt;Y1823,"Yes","No")</f>
        <v/>
      </c>
    </row>
    <row r="1824">
      <c r="A1824" t="n">
        <v>2017</v>
      </c>
      <c r="B1824" t="inlineStr">
        <is>
          <t>Q2</t>
        </is>
      </c>
      <c r="C1824" t="inlineStr">
        <is>
          <t>Asia</t>
        </is>
      </c>
      <c r="D1824" t="inlineStr">
        <is>
          <t>Model Y</t>
        </is>
      </c>
      <c r="E1824" t="n">
        <v>205</v>
      </c>
      <c r="F1824" t="n">
        <v>58974.59</v>
      </c>
      <c r="G1824" t="n">
        <v>57</v>
      </c>
      <c r="H1824" t="inlineStr">
        <is>
          <t>Performance</t>
        </is>
      </c>
      <c r="I1824" t="inlineStr">
        <is>
          <t>AWD</t>
        </is>
      </c>
      <c r="J1824" t="inlineStr">
        <is>
          <t>White</t>
        </is>
      </c>
      <c r="K1824" t="n">
        <v>552</v>
      </c>
      <c r="L1824" t="n">
        <v>57</v>
      </c>
      <c r="M1824" t="n">
        <v>14.61</v>
      </c>
      <c r="N1824" t="n">
        <v>284.33</v>
      </c>
      <c r="O1824" t="n">
        <v>3.59</v>
      </c>
      <c r="P1824" t="n">
        <v>5</v>
      </c>
      <c r="Q1824" t="n">
        <v>0</v>
      </c>
      <c r="R1824" t="n">
        <v>2023.1</v>
      </c>
      <c r="S1824" t="b">
        <v>0</v>
      </c>
      <c r="T1824" t="n">
        <v>763705</v>
      </c>
      <c r="U1824" t="n">
        <v>3</v>
      </c>
      <c r="V1824" t="n">
        <v>0.0989</v>
      </c>
      <c r="W1824" t="n">
        <v>0.72</v>
      </c>
      <c r="X1824" t="n">
        <v>80.03</v>
      </c>
      <c r="Y1824">
        <f>VLOOKUP(D1824,$AB$2:$AC$7,2,FALSE)</f>
        <v/>
      </c>
      <c r="Z1824">
        <f>IF(A1824&lt;Y1824,"Yes","No")</f>
        <v/>
      </c>
    </row>
    <row r="1825">
      <c r="A1825" t="n">
        <v>2013</v>
      </c>
      <c r="B1825" t="inlineStr">
        <is>
          <t>Q4</t>
        </is>
      </c>
      <c r="C1825" t="inlineStr">
        <is>
          <t>Asia</t>
        </is>
      </c>
      <c r="D1825" t="inlineStr">
        <is>
          <t>Model 3</t>
        </is>
      </c>
      <c r="E1825" t="n">
        <v>3104</v>
      </c>
      <c r="F1825" t="n">
        <v>40089.65</v>
      </c>
      <c r="G1825" t="n">
        <v>43</v>
      </c>
      <c r="H1825" t="inlineStr">
        <is>
          <t>Standard</t>
        </is>
      </c>
      <c r="I1825" t="inlineStr">
        <is>
          <t>RWD</t>
        </is>
      </c>
      <c r="J1825" t="inlineStr">
        <is>
          <t>Silver</t>
        </is>
      </c>
      <c r="K1825" t="n">
        <v>518</v>
      </c>
      <c r="L1825" t="n">
        <v>68</v>
      </c>
      <c r="M1825" t="n">
        <v>13.27</v>
      </c>
      <c r="N1825" t="n">
        <v>3043.56</v>
      </c>
      <c r="O1825" t="n">
        <v>4.01</v>
      </c>
      <c r="P1825" t="n">
        <v>4</v>
      </c>
      <c r="Q1825" t="n">
        <v>3</v>
      </c>
      <c r="R1825" t="n">
        <v>2020.8</v>
      </c>
      <c r="S1825" t="b">
        <v>0</v>
      </c>
      <c r="T1825" t="n">
        <v>696901</v>
      </c>
      <c r="U1825" t="n">
        <v>12</v>
      </c>
      <c r="V1825" t="n">
        <v>0.049</v>
      </c>
      <c r="W1825" t="n">
        <v>1.05</v>
      </c>
      <c r="X1825" t="n">
        <v>88.48</v>
      </c>
      <c r="Y1825">
        <f>VLOOKUP(D1825,$AB$2:$AC$7,2,FALSE)</f>
        <v/>
      </c>
      <c r="Z1825">
        <f>IF(A1825&lt;Y1825,"Yes","No")</f>
        <v/>
      </c>
    </row>
    <row r="1826">
      <c r="A1826" t="n">
        <v>2019</v>
      </c>
      <c r="B1826" t="inlineStr">
        <is>
          <t>Q4</t>
        </is>
      </c>
      <c r="C1826" t="inlineStr">
        <is>
          <t>Europe</t>
        </is>
      </c>
      <c r="D1826" t="inlineStr">
        <is>
          <t>Model S</t>
        </is>
      </c>
      <c r="E1826" t="n">
        <v>376</v>
      </c>
      <c r="F1826" t="n">
        <v>93716.41</v>
      </c>
      <c r="G1826" t="n">
        <v>57</v>
      </c>
      <c r="H1826" t="inlineStr">
        <is>
          <t>Standard</t>
        </is>
      </c>
      <c r="I1826" t="inlineStr">
        <is>
          <t>AWD</t>
        </is>
      </c>
      <c r="J1826" t="inlineStr">
        <is>
          <t>Green</t>
        </is>
      </c>
      <c r="K1826" t="n">
        <v>476</v>
      </c>
      <c r="L1826" t="n">
        <v>37</v>
      </c>
      <c r="M1826" t="n">
        <v>20.01</v>
      </c>
      <c r="N1826" t="n">
        <v>490.3</v>
      </c>
      <c r="O1826" t="n">
        <v>3.59</v>
      </c>
      <c r="P1826" t="n">
        <v>6</v>
      </c>
      <c r="Q1826" t="n">
        <v>2</v>
      </c>
      <c r="R1826" t="n">
        <v>2023.2</v>
      </c>
      <c r="S1826" t="b">
        <v>0</v>
      </c>
      <c r="T1826" t="n">
        <v>4377315</v>
      </c>
      <c r="U1826" t="n">
        <v>6</v>
      </c>
      <c r="V1826" t="n">
        <v>0.0929</v>
      </c>
      <c r="W1826" t="n">
        <v>1.06</v>
      </c>
      <c r="X1826" t="n">
        <v>77.81</v>
      </c>
      <c r="Y1826">
        <f>VLOOKUP(D1826,$AB$2:$AC$7,2,FALSE)</f>
        <v/>
      </c>
      <c r="Z1826">
        <f>IF(A1826&lt;Y1826,"Yes","No")</f>
        <v/>
      </c>
    </row>
    <row r="1827">
      <c r="A1827" t="n">
        <v>2016</v>
      </c>
      <c r="B1827" t="inlineStr">
        <is>
          <t>Q3</t>
        </is>
      </c>
      <c r="C1827" t="inlineStr">
        <is>
          <t>South America</t>
        </is>
      </c>
      <c r="D1827" t="inlineStr">
        <is>
          <t>Cybertruck</t>
        </is>
      </c>
      <c r="E1827" t="n">
        <v>1524</v>
      </c>
      <c r="F1827" t="n">
        <v>56360.09</v>
      </c>
      <c r="G1827" t="n">
        <v>19</v>
      </c>
      <c r="H1827" t="inlineStr">
        <is>
          <t>Standard</t>
        </is>
      </c>
      <c r="I1827" t="inlineStr">
        <is>
          <t>AWD</t>
        </is>
      </c>
      <c r="J1827" t="inlineStr">
        <is>
          <t>Black</t>
        </is>
      </c>
      <c r="K1827" t="n">
        <v>610</v>
      </c>
      <c r="L1827" t="n">
        <v>87</v>
      </c>
      <c r="M1827" t="n">
        <v>22.27</v>
      </c>
      <c r="N1827" t="n">
        <v>3404.04</v>
      </c>
      <c r="O1827" t="n">
        <v>4.78</v>
      </c>
      <c r="P1827" t="n">
        <v>5</v>
      </c>
      <c r="Q1827" t="n">
        <v>3</v>
      </c>
      <c r="R1827" t="n">
        <v>2021.5</v>
      </c>
      <c r="S1827" t="b">
        <v>0</v>
      </c>
      <c r="T1827" t="n">
        <v>4236540</v>
      </c>
      <c r="U1827" t="n">
        <v>11</v>
      </c>
      <c r="V1827" t="n">
        <v>0.0835</v>
      </c>
      <c r="W1827" t="n">
        <v>0.8100000000000001</v>
      </c>
      <c r="X1827" t="n">
        <v>77.34999999999999</v>
      </c>
      <c r="Y1827">
        <f>VLOOKUP(D1827,$AB$2:$AC$7,2,FALSE)</f>
        <v/>
      </c>
      <c r="Z1827">
        <f>IF(A1827&lt;Y1827,"Yes","No")</f>
        <v/>
      </c>
    </row>
    <row r="1828">
      <c r="A1828" t="n">
        <v>2023</v>
      </c>
      <c r="B1828" t="inlineStr">
        <is>
          <t>Q3</t>
        </is>
      </c>
      <c r="C1828" t="inlineStr">
        <is>
          <t>South America</t>
        </is>
      </c>
      <c r="D1828" t="inlineStr">
        <is>
          <t>Model S</t>
        </is>
      </c>
      <c r="E1828" t="n">
        <v>2230</v>
      </c>
      <c r="F1828" t="n">
        <v>112813.12</v>
      </c>
      <c r="G1828" t="n">
        <v>19</v>
      </c>
      <c r="H1828" t="inlineStr">
        <is>
          <t>Performance</t>
        </is>
      </c>
      <c r="I1828" t="inlineStr">
        <is>
          <t>RWD</t>
        </is>
      </c>
      <c r="J1828" t="inlineStr">
        <is>
          <t>Red</t>
        </is>
      </c>
      <c r="K1828" t="n">
        <v>352</v>
      </c>
      <c r="L1828" t="n">
        <v>66</v>
      </c>
      <c r="M1828" t="n">
        <v>20.93</v>
      </c>
      <c r="N1828" t="n">
        <v>2829.82</v>
      </c>
      <c r="O1828" t="n">
        <v>4.78</v>
      </c>
      <c r="P1828" t="n">
        <v>6</v>
      </c>
      <c r="Q1828" t="n">
        <v>3</v>
      </c>
      <c r="R1828" t="n">
        <v>2021.1</v>
      </c>
      <c r="S1828" t="b">
        <v>1</v>
      </c>
      <c r="T1828" t="n">
        <v>2525953</v>
      </c>
      <c r="U1828" t="n">
        <v>10</v>
      </c>
      <c r="V1828" t="n">
        <v>0.0767</v>
      </c>
      <c r="W1828" t="n">
        <v>2.1</v>
      </c>
      <c r="X1828" t="n">
        <v>74.83</v>
      </c>
      <c r="Y1828">
        <f>VLOOKUP(D1828,$AB$2:$AC$7,2,FALSE)</f>
        <v/>
      </c>
      <c r="Z1828">
        <f>IF(A1828&lt;Y1828,"Yes","No")</f>
        <v/>
      </c>
    </row>
    <row r="1829">
      <c r="A1829" t="n">
        <v>2012</v>
      </c>
      <c r="B1829" t="inlineStr">
        <is>
          <t>Q4</t>
        </is>
      </c>
      <c r="C1829" t="inlineStr">
        <is>
          <t>Europe</t>
        </is>
      </c>
      <c r="D1829" t="inlineStr">
        <is>
          <t>Model Y</t>
        </is>
      </c>
      <c r="E1829" t="n">
        <v>3304</v>
      </c>
      <c r="F1829" t="n">
        <v>91616.75</v>
      </c>
      <c r="G1829" t="n">
        <v>43</v>
      </c>
      <c r="H1829" t="inlineStr">
        <is>
          <t>Long Range</t>
        </is>
      </c>
      <c r="I1829" t="inlineStr">
        <is>
          <t>RWD</t>
        </is>
      </c>
      <c r="J1829" t="inlineStr">
        <is>
          <t>White</t>
        </is>
      </c>
      <c r="K1829" t="n">
        <v>642</v>
      </c>
      <c r="L1829" t="n">
        <v>60</v>
      </c>
      <c r="M1829" t="n">
        <v>24.1</v>
      </c>
      <c r="N1829" t="n">
        <v>4643.87</v>
      </c>
      <c r="O1829" t="n">
        <v>3.57</v>
      </c>
      <c r="P1829" t="n">
        <v>5</v>
      </c>
      <c r="Q1829" t="n">
        <v>2</v>
      </c>
      <c r="R1829" t="n">
        <v>2021.6</v>
      </c>
      <c r="S1829" t="b">
        <v>1</v>
      </c>
      <c r="T1829" t="n">
        <v>4821971</v>
      </c>
      <c r="U1829" t="n">
        <v>3</v>
      </c>
      <c r="V1829" t="n">
        <v>0.08699999999999999</v>
      </c>
      <c r="W1829" t="n">
        <v>1.41</v>
      </c>
      <c r="X1829" t="n">
        <v>72.7</v>
      </c>
      <c r="Y1829">
        <f>VLOOKUP(D1829,$AB$2:$AC$7,2,FALSE)</f>
        <v/>
      </c>
      <c r="Z1829">
        <f>IF(A1829&lt;Y1829,"Yes","No")</f>
        <v/>
      </c>
    </row>
    <row r="1830">
      <c r="A1830" t="n">
        <v>2020</v>
      </c>
      <c r="B1830" t="inlineStr">
        <is>
          <t>Q4</t>
        </is>
      </c>
      <c r="C1830" t="inlineStr">
        <is>
          <t>Asia</t>
        </is>
      </c>
      <c r="D1830" t="inlineStr">
        <is>
          <t>Model Y</t>
        </is>
      </c>
      <c r="E1830" t="n">
        <v>3615</v>
      </c>
      <c r="F1830" t="n">
        <v>103572.16</v>
      </c>
      <c r="G1830" t="n">
        <v>27</v>
      </c>
      <c r="H1830" t="inlineStr">
        <is>
          <t>Long Range</t>
        </is>
      </c>
      <c r="I1830" t="inlineStr">
        <is>
          <t>RWD</t>
        </is>
      </c>
      <c r="J1830" t="inlineStr">
        <is>
          <t>Red</t>
        </is>
      </c>
      <c r="K1830" t="n">
        <v>662</v>
      </c>
      <c r="L1830" t="n">
        <v>35</v>
      </c>
      <c r="M1830" t="n">
        <v>20.06</v>
      </c>
      <c r="N1830" t="n">
        <v>6155.54</v>
      </c>
      <c r="O1830" t="n">
        <v>4.84</v>
      </c>
      <c r="P1830" t="n">
        <v>5</v>
      </c>
      <c r="Q1830" t="n">
        <v>3</v>
      </c>
      <c r="R1830" t="n">
        <v>2022.3</v>
      </c>
      <c r="S1830" t="b">
        <v>0</v>
      </c>
      <c r="T1830" t="n">
        <v>4939101</v>
      </c>
      <c r="U1830" t="n">
        <v>12</v>
      </c>
      <c r="V1830" t="n">
        <v>0.0684</v>
      </c>
      <c r="W1830" t="n">
        <v>0.92</v>
      </c>
      <c r="X1830" t="n">
        <v>73.45</v>
      </c>
      <c r="Y1830">
        <f>VLOOKUP(D1830,$AB$2:$AC$7,2,FALSE)</f>
        <v/>
      </c>
      <c r="Z1830">
        <f>IF(A1830&lt;Y1830,"Yes","No")</f>
        <v/>
      </c>
    </row>
    <row r="1831">
      <c r="A1831" t="n">
        <v>2021</v>
      </c>
      <c r="B1831" t="inlineStr">
        <is>
          <t>Q4</t>
        </is>
      </c>
      <c r="C1831" t="inlineStr">
        <is>
          <t>North America</t>
        </is>
      </c>
      <c r="D1831" t="inlineStr">
        <is>
          <t>Cybertruck</t>
        </is>
      </c>
      <c r="E1831" t="n">
        <v>2958</v>
      </c>
      <c r="F1831" t="n">
        <v>70739.12</v>
      </c>
      <c r="G1831" t="n">
        <v>54</v>
      </c>
      <c r="H1831" t="inlineStr">
        <is>
          <t>Long Range</t>
        </is>
      </c>
      <c r="I1831" t="inlineStr">
        <is>
          <t>RWD</t>
        </is>
      </c>
      <c r="J1831" t="inlineStr">
        <is>
          <t>Silver</t>
        </is>
      </c>
      <c r="K1831" t="n">
        <v>409</v>
      </c>
      <c r="L1831" t="n">
        <v>31</v>
      </c>
      <c r="M1831" t="n">
        <v>20.54</v>
      </c>
      <c r="N1831" t="n">
        <v>6482.25</v>
      </c>
      <c r="O1831" t="n">
        <v>4.15</v>
      </c>
      <c r="P1831" t="n">
        <v>5</v>
      </c>
      <c r="Q1831" t="n">
        <v>3</v>
      </c>
      <c r="R1831" t="n">
        <v>2023.1</v>
      </c>
      <c r="S1831" t="b">
        <v>0</v>
      </c>
      <c r="T1831" t="n">
        <v>2427609</v>
      </c>
      <c r="U1831" t="n">
        <v>9</v>
      </c>
      <c r="V1831" t="n">
        <v>0.053</v>
      </c>
      <c r="W1831" t="n">
        <v>1.46</v>
      </c>
      <c r="X1831" t="n">
        <v>84.75</v>
      </c>
      <c r="Y1831">
        <f>VLOOKUP(D1831,$AB$2:$AC$7,2,FALSE)</f>
        <v/>
      </c>
      <c r="Z1831">
        <f>IF(A1831&lt;Y1831,"Yes","No")</f>
        <v/>
      </c>
    </row>
    <row r="1832">
      <c r="A1832" t="n">
        <v>2013</v>
      </c>
      <c r="B1832" t="inlineStr">
        <is>
          <t>Q3</t>
        </is>
      </c>
      <c r="C1832" t="inlineStr">
        <is>
          <t>North America</t>
        </is>
      </c>
      <c r="D1832" t="inlineStr">
        <is>
          <t>Model X</t>
        </is>
      </c>
      <c r="E1832" t="n">
        <v>3738</v>
      </c>
      <c r="F1832" t="n">
        <v>106898.98</v>
      </c>
      <c r="G1832" t="n">
        <v>29</v>
      </c>
      <c r="H1832" t="inlineStr">
        <is>
          <t>Standard</t>
        </is>
      </c>
      <c r="I1832" t="inlineStr">
        <is>
          <t>AWD</t>
        </is>
      </c>
      <c r="J1832" t="inlineStr">
        <is>
          <t>White</t>
        </is>
      </c>
      <c r="K1832" t="n">
        <v>359</v>
      </c>
      <c r="L1832" t="n">
        <v>74</v>
      </c>
      <c r="M1832" t="n">
        <v>14.03</v>
      </c>
      <c r="N1832" t="n">
        <v>4624.11</v>
      </c>
      <c r="O1832" t="n">
        <v>3.92</v>
      </c>
      <c r="P1832" t="n">
        <v>6</v>
      </c>
      <c r="Q1832" t="n">
        <v>0</v>
      </c>
      <c r="R1832" t="n">
        <v>2024.12</v>
      </c>
      <c r="S1832" t="b">
        <v>0</v>
      </c>
      <c r="T1832" t="n">
        <v>3944423</v>
      </c>
      <c r="U1832" t="n">
        <v>7</v>
      </c>
      <c r="V1832" t="n">
        <v>0.0219</v>
      </c>
      <c r="W1832" t="n">
        <v>1.28</v>
      </c>
      <c r="X1832" t="n">
        <v>78.90000000000001</v>
      </c>
      <c r="Y1832">
        <f>VLOOKUP(D1832,$AB$2:$AC$7,2,FALSE)</f>
        <v/>
      </c>
      <c r="Z1832">
        <f>IF(A1832&lt;Y1832,"Yes","No")</f>
        <v/>
      </c>
    </row>
    <row r="1833">
      <c r="A1833" t="n">
        <v>2019</v>
      </c>
      <c r="B1833" t="inlineStr">
        <is>
          <t>Q3</t>
        </is>
      </c>
      <c r="C1833" t="inlineStr">
        <is>
          <t>Asia</t>
        </is>
      </c>
      <c r="D1833" t="inlineStr">
        <is>
          <t>Semi</t>
        </is>
      </c>
      <c r="E1833" t="n">
        <v>4552</v>
      </c>
      <c r="F1833" t="n">
        <v>57872.38</v>
      </c>
      <c r="G1833" t="n">
        <v>21</v>
      </c>
      <c r="H1833" t="inlineStr">
        <is>
          <t>Performance</t>
        </is>
      </c>
      <c r="I1833" t="inlineStr">
        <is>
          <t>RWD</t>
        </is>
      </c>
      <c r="J1833" t="inlineStr">
        <is>
          <t>Green</t>
        </is>
      </c>
      <c r="K1833" t="n">
        <v>692</v>
      </c>
      <c r="L1833" t="n">
        <v>71</v>
      </c>
      <c r="M1833" t="n">
        <v>18.68</v>
      </c>
      <c r="N1833" t="n">
        <v>10854.09</v>
      </c>
      <c r="O1833" t="n">
        <v>4.91</v>
      </c>
      <c r="P1833" t="n">
        <v>8</v>
      </c>
      <c r="Q1833" t="n">
        <v>1</v>
      </c>
      <c r="R1833" t="n">
        <v>2021.6</v>
      </c>
      <c r="S1833" t="b">
        <v>0</v>
      </c>
      <c r="T1833" t="n">
        <v>1641357</v>
      </c>
      <c r="U1833" t="n">
        <v>2</v>
      </c>
      <c r="V1833" t="n">
        <v>0.0738</v>
      </c>
      <c r="W1833" t="n">
        <v>2.47</v>
      </c>
      <c r="X1833" t="n">
        <v>60.79</v>
      </c>
      <c r="Y1833">
        <f>VLOOKUP(D1833,$AB$2:$AC$7,2,FALSE)</f>
        <v/>
      </c>
      <c r="Z1833">
        <f>IF(A1833&lt;Y1833,"Yes","No")</f>
        <v/>
      </c>
    </row>
    <row r="1834">
      <c r="A1834" t="n">
        <v>2021</v>
      </c>
      <c r="B1834" t="inlineStr">
        <is>
          <t>Q3</t>
        </is>
      </c>
      <c r="C1834" t="inlineStr">
        <is>
          <t>Europe</t>
        </is>
      </c>
      <c r="D1834" t="inlineStr">
        <is>
          <t>Model S</t>
        </is>
      </c>
      <c r="E1834" t="n">
        <v>3730</v>
      </c>
      <c r="F1834" t="n">
        <v>48646.63</v>
      </c>
      <c r="G1834" t="n">
        <v>59</v>
      </c>
      <c r="H1834" t="inlineStr">
        <is>
          <t>Performance</t>
        </is>
      </c>
      <c r="I1834" t="inlineStr">
        <is>
          <t>RWD</t>
        </is>
      </c>
      <c r="J1834" t="inlineStr">
        <is>
          <t>Black</t>
        </is>
      </c>
      <c r="K1834" t="n">
        <v>620</v>
      </c>
      <c r="L1834" t="n">
        <v>70</v>
      </c>
      <c r="M1834" t="n">
        <v>21.48</v>
      </c>
      <c r="N1834" t="n">
        <v>7643.82</v>
      </c>
      <c r="O1834" t="n">
        <v>4.21</v>
      </c>
      <c r="P1834" t="n">
        <v>6</v>
      </c>
      <c r="Q1834" t="n">
        <v>3</v>
      </c>
      <c r="R1834" t="n">
        <v>2020.12</v>
      </c>
      <c r="S1834" t="b">
        <v>0</v>
      </c>
      <c r="T1834" t="n">
        <v>1421969</v>
      </c>
      <c r="U1834" t="n">
        <v>12</v>
      </c>
      <c r="V1834" t="n">
        <v>0.0984</v>
      </c>
      <c r="W1834" t="n">
        <v>2.13</v>
      </c>
      <c r="X1834" t="n">
        <v>60.69</v>
      </c>
      <c r="Y1834">
        <f>VLOOKUP(D1834,$AB$2:$AC$7,2,FALSE)</f>
        <v/>
      </c>
      <c r="Z1834">
        <f>IF(A1834&lt;Y1834,"Yes","No")</f>
        <v/>
      </c>
    </row>
    <row r="1835">
      <c r="A1835" t="n">
        <v>2018</v>
      </c>
      <c r="B1835" t="inlineStr">
        <is>
          <t>Q4</t>
        </is>
      </c>
      <c r="C1835" t="inlineStr">
        <is>
          <t>South America</t>
        </is>
      </c>
      <c r="D1835" t="inlineStr">
        <is>
          <t>Cybertruck</t>
        </is>
      </c>
      <c r="E1835" t="n">
        <v>304</v>
      </c>
      <c r="F1835" t="n">
        <v>101976.53</v>
      </c>
      <c r="G1835" t="n">
        <v>11</v>
      </c>
      <c r="H1835" t="inlineStr">
        <is>
          <t>Long Range</t>
        </is>
      </c>
      <c r="I1835" t="inlineStr">
        <is>
          <t>RWD</t>
        </is>
      </c>
      <c r="J1835" t="inlineStr">
        <is>
          <t>Green</t>
        </is>
      </c>
      <c r="K1835" t="n">
        <v>506</v>
      </c>
      <c r="L1835" t="n">
        <v>46</v>
      </c>
      <c r="M1835" t="n">
        <v>19.49</v>
      </c>
      <c r="N1835" t="n">
        <v>541.99</v>
      </c>
      <c r="O1835" t="n">
        <v>4.66</v>
      </c>
      <c r="P1835" t="n">
        <v>6</v>
      </c>
      <c r="Q1835" t="n">
        <v>1</v>
      </c>
      <c r="R1835" t="n">
        <v>2022.1</v>
      </c>
      <c r="S1835" t="b">
        <v>1</v>
      </c>
      <c r="T1835" t="n">
        <v>4142856</v>
      </c>
      <c r="U1835" t="n">
        <v>11</v>
      </c>
      <c r="V1835" t="n">
        <v>0.0848</v>
      </c>
      <c r="W1835" t="n">
        <v>2.1</v>
      </c>
      <c r="X1835" t="n">
        <v>72.97</v>
      </c>
      <c r="Y1835">
        <f>VLOOKUP(D1835,$AB$2:$AC$7,2,FALSE)</f>
        <v/>
      </c>
      <c r="Z1835">
        <f>IF(A1835&lt;Y1835,"Yes","No")</f>
        <v/>
      </c>
    </row>
    <row r="1836">
      <c r="A1836" t="n">
        <v>2015</v>
      </c>
      <c r="B1836" t="inlineStr">
        <is>
          <t>Q4</t>
        </is>
      </c>
      <c r="C1836" t="inlineStr">
        <is>
          <t>Australia</t>
        </is>
      </c>
      <c r="D1836" t="inlineStr">
        <is>
          <t>Model Y</t>
        </is>
      </c>
      <c r="E1836" t="n">
        <v>4354</v>
      </c>
      <c r="F1836" t="n">
        <v>56764.12</v>
      </c>
      <c r="G1836" t="n">
        <v>17</v>
      </c>
      <c r="H1836" t="inlineStr">
        <is>
          <t>Long Range</t>
        </is>
      </c>
      <c r="I1836" t="inlineStr">
        <is>
          <t>AWD</t>
        </is>
      </c>
      <c r="J1836" t="inlineStr">
        <is>
          <t>Blue</t>
        </is>
      </c>
      <c r="K1836" t="n">
        <v>497</v>
      </c>
      <c r="L1836" t="n">
        <v>66</v>
      </c>
      <c r="M1836" t="n">
        <v>24.94</v>
      </c>
      <c r="N1836" t="n">
        <v>7283.54</v>
      </c>
      <c r="O1836" t="n">
        <v>4.08</v>
      </c>
      <c r="P1836" t="n">
        <v>8</v>
      </c>
      <c r="Q1836" t="n">
        <v>2</v>
      </c>
      <c r="R1836" t="n">
        <v>2020.11</v>
      </c>
      <c r="S1836" t="b">
        <v>0</v>
      </c>
      <c r="T1836" t="n">
        <v>1556261</v>
      </c>
      <c r="U1836" t="n">
        <v>7</v>
      </c>
      <c r="V1836" t="n">
        <v>0.06469999999999999</v>
      </c>
      <c r="W1836" t="n">
        <v>1.19</v>
      </c>
      <c r="X1836" t="n">
        <v>62.97</v>
      </c>
      <c r="Y1836">
        <f>VLOOKUP(D1836,$AB$2:$AC$7,2,FALSE)</f>
        <v/>
      </c>
      <c r="Z1836">
        <f>IF(A1836&lt;Y1836,"Yes","No")</f>
        <v/>
      </c>
    </row>
    <row r="1837">
      <c r="A1837" t="n">
        <v>2021</v>
      </c>
      <c r="B1837" t="inlineStr">
        <is>
          <t>Q1</t>
        </is>
      </c>
      <c r="C1837" t="inlineStr">
        <is>
          <t>Asia</t>
        </is>
      </c>
      <c r="D1837" t="inlineStr">
        <is>
          <t>Model Y</t>
        </is>
      </c>
      <c r="E1837" t="n">
        <v>3952</v>
      </c>
      <c r="F1837" t="n">
        <v>80063.8</v>
      </c>
      <c r="G1837" t="n">
        <v>30</v>
      </c>
      <c r="H1837" t="inlineStr">
        <is>
          <t>Performance</t>
        </is>
      </c>
      <c r="I1837" t="inlineStr">
        <is>
          <t>AWD</t>
        </is>
      </c>
      <c r="J1837" t="inlineStr">
        <is>
          <t>Black</t>
        </is>
      </c>
      <c r="K1837" t="n">
        <v>377</v>
      </c>
      <c r="L1837" t="n">
        <v>60</v>
      </c>
      <c r="M1837" t="n">
        <v>21.04</v>
      </c>
      <c r="N1837" t="n">
        <v>2143.05</v>
      </c>
      <c r="O1837" t="n">
        <v>3.59</v>
      </c>
      <c r="P1837" t="n">
        <v>5</v>
      </c>
      <c r="Q1837" t="n">
        <v>2</v>
      </c>
      <c r="R1837" t="n">
        <v>2024.1</v>
      </c>
      <c r="S1837" t="b">
        <v>1</v>
      </c>
      <c r="T1837" t="n">
        <v>1849027</v>
      </c>
      <c r="U1837" t="n">
        <v>9</v>
      </c>
      <c r="V1837" t="n">
        <v>0.037</v>
      </c>
      <c r="W1837" t="n">
        <v>0.86</v>
      </c>
      <c r="X1837" t="n">
        <v>89.62</v>
      </c>
      <c r="Y1837">
        <f>VLOOKUP(D1837,$AB$2:$AC$7,2,FALSE)</f>
        <v/>
      </c>
      <c r="Z1837">
        <f>IF(A1837&lt;Y1837,"Yes","No")</f>
        <v/>
      </c>
    </row>
    <row r="1838">
      <c r="A1838" t="n">
        <v>2021</v>
      </c>
      <c r="B1838" t="inlineStr">
        <is>
          <t>Q2</t>
        </is>
      </c>
      <c r="C1838" t="inlineStr">
        <is>
          <t>Asia</t>
        </is>
      </c>
      <c r="D1838" t="inlineStr">
        <is>
          <t>Cybertruck</t>
        </is>
      </c>
      <c r="E1838" t="n">
        <v>2355</v>
      </c>
      <c r="F1838" t="n">
        <v>43301.87</v>
      </c>
      <c r="G1838" t="n">
        <v>0</v>
      </c>
      <c r="H1838" t="inlineStr">
        <is>
          <t>Standard</t>
        </is>
      </c>
      <c r="I1838" t="inlineStr">
        <is>
          <t>RWD</t>
        </is>
      </c>
      <c r="J1838" t="inlineStr">
        <is>
          <t>Green</t>
        </is>
      </c>
      <c r="K1838" t="n">
        <v>645</v>
      </c>
      <c r="L1838" t="n">
        <v>70</v>
      </c>
      <c r="M1838" t="n">
        <v>17.23</v>
      </c>
      <c r="N1838" t="n">
        <v>4054.36</v>
      </c>
      <c r="O1838" t="n">
        <v>3.68</v>
      </c>
      <c r="P1838" t="n">
        <v>5</v>
      </c>
      <c r="Q1838" t="n">
        <v>2</v>
      </c>
      <c r="R1838" t="n">
        <v>2023.5</v>
      </c>
      <c r="S1838" t="b">
        <v>1</v>
      </c>
      <c r="T1838" t="n">
        <v>2174312</v>
      </c>
      <c r="U1838" t="n">
        <v>3</v>
      </c>
      <c r="V1838" t="n">
        <v>0.0992</v>
      </c>
      <c r="W1838" t="n">
        <v>1.58</v>
      </c>
      <c r="X1838" t="n">
        <v>76.59999999999999</v>
      </c>
      <c r="Y1838">
        <f>VLOOKUP(D1838,$AB$2:$AC$7,2,FALSE)</f>
        <v/>
      </c>
      <c r="Z1838">
        <f>IF(A1838&lt;Y1838,"Yes","No")</f>
        <v/>
      </c>
    </row>
    <row r="1839">
      <c r="A1839" t="n">
        <v>2021</v>
      </c>
      <c r="B1839" t="inlineStr">
        <is>
          <t>Q1</t>
        </is>
      </c>
      <c r="C1839" t="inlineStr">
        <is>
          <t>Asia</t>
        </is>
      </c>
      <c r="D1839" t="inlineStr">
        <is>
          <t>Model Y</t>
        </is>
      </c>
      <c r="E1839" t="n">
        <v>2976</v>
      </c>
      <c r="F1839" t="n">
        <v>85160.5</v>
      </c>
      <c r="G1839" t="n">
        <v>6</v>
      </c>
      <c r="H1839" t="inlineStr">
        <is>
          <t>Standard</t>
        </is>
      </c>
      <c r="I1839" t="inlineStr">
        <is>
          <t>AWD</t>
        </is>
      </c>
      <c r="J1839" t="inlineStr">
        <is>
          <t>Red</t>
        </is>
      </c>
      <c r="K1839" t="n">
        <v>446</v>
      </c>
      <c r="L1839" t="n">
        <v>82</v>
      </c>
      <c r="M1839" t="n">
        <v>15.77</v>
      </c>
      <c r="N1839" t="n">
        <v>6330.56</v>
      </c>
      <c r="O1839" t="n">
        <v>4.62</v>
      </c>
      <c r="P1839" t="n">
        <v>4</v>
      </c>
      <c r="Q1839" t="n">
        <v>2</v>
      </c>
      <c r="R1839" t="n">
        <v>2024.7</v>
      </c>
      <c r="S1839" t="b">
        <v>0</v>
      </c>
      <c r="T1839" t="n">
        <v>3729862</v>
      </c>
      <c r="U1839" t="n">
        <v>12</v>
      </c>
      <c r="V1839" t="n">
        <v>0.0622</v>
      </c>
      <c r="W1839" t="n">
        <v>0.8100000000000001</v>
      </c>
      <c r="X1839" t="n">
        <v>77.22</v>
      </c>
      <c r="Y1839">
        <f>VLOOKUP(D1839,$AB$2:$AC$7,2,FALSE)</f>
        <v/>
      </c>
      <c r="Z1839">
        <f>IF(A1839&lt;Y1839,"Yes","No")</f>
        <v/>
      </c>
    </row>
    <row r="1840">
      <c r="A1840" t="n">
        <v>2016</v>
      </c>
      <c r="B1840" t="inlineStr">
        <is>
          <t>Q2</t>
        </is>
      </c>
      <c r="C1840" t="inlineStr">
        <is>
          <t>South America</t>
        </is>
      </c>
      <c r="D1840" t="inlineStr">
        <is>
          <t>Semi</t>
        </is>
      </c>
      <c r="E1840" t="n">
        <v>1752</v>
      </c>
      <c r="F1840" t="n">
        <v>96285.92</v>
      </c>
      <c r="G1840" t="n">
        <v>22</v>
      </c>
      <c r="H1840" t="inlineStr">
        <is>
          <t>Performance</t>
        </is>
      </c>
      <c r="I1840" t="inlineStr">
        <is>
          <t>RWD</t>
        </is>
      </c>
      <c r="J1840" t="inlineStr">
        <is>
          <t>Black</t>
        </is>
      </c>
      <c r="K1840" t="n">
        <v>621</v>
      </c>
      <c r="L1840" t="n">
        <v>62</v>
      </c>
      <c r="M1840" t="n">
        <v>16.6</v>
      </c>
      <c r="N1840" t="n">
        <v>1725.15</v>
      </c>
      <c r="O1840" t="n">
        <v>4.58</v>
      </c>
      <c r="P1840" t="n">
        <v>5</v>
      </c>
      <c r="Q1840" t="n">
        <v>2</v>
      </c>
      <c r="R1840" t="n">
        <v>2024.11</v>
      </c>
      <c r="S1840" t="b">
        <v>0</v>
      </c>
      <c r="T1840" t="n">
        <v>550558</v>
      </c>
      <c r="U1840" t="n">
        <v>5</v>
      </c>
      <c r="V1840" t="n">
        <v>0.0109</v>
      </c>
      <c r="W1840" t="n">
        <v>2.46</v>
      </c>
      <c r="X1840" t="n">
        <v>65.38</v>
      </c>
      <c r="Y1840">
        <f>VLOOKUP(D1840,$AB$2:$AC$7,2,FALSE)</f>
        <v/>
      </c>
      <c r="Z1840">
        <f>IF(A1840&lt;Y1840,"Yes","No")</f>
        <v/>
      </c>
    </row>
    <row r="1841">
      <c r="A1841" t="n">
        <v>2019</v>
      </c>
      <c r="B1841" t="inlineStr">
        <is>
          <t>Q4</t>
        </is>
      </c>
      <c r="C1841" t="inlineStr">
        <is>
          <t>Europe</t>
        </is>
      </c>
      <c r="D1841" t="inlineStr">
        <is>
          <t>Semi</t>
        </is>
      </c>
      <c r="E1841" t="n">
        <v>699</v>
      </c>
      <c r="F1841" t="n">
        <v>119612.7</v>
      </c>
      <c r="G1841" t="n">
        <v>36</v>
      </c>
      <c r="H1841" t="inlineStr">
        <is>
          <t>Standard</t>
        </is>
      </c>
      <c r="I1841" t="inlineStr">
        <is>
          <t>AWD</t>
        </is>
      </c>
      <c r="J1841" t="inlineStr">
        <is>
          <t>Blue</t>
        </is>
      </c>
      <c r="K1841" t="n">
        <v>431</v>
      </c>
      <c r="L1841" t="n">
        <v>52</v>
      </c>
      <c r="M1841" t="n">
        <v>13.56</v>
      </c>
      <c r="N1841" t="n">
        <v>1525.83</v>
      </c>
      <c r="O1841" t="n">
        <v>4.03</v>
      </c>
      <c r="P1841" t="n">
        <v>5</v>
      </c>
      <c r="Q1841" t="n">
        <v>3</v>
      </c>
      <c r="R1841" t="n">
        <v>2023.1</v>
      </c>
      <c r="S1841" t="b">
        <v>1</v>
      </c>
      <c r="T1841" t="n">
        <v>2431368</v>
      </c>
      <c r="U1841" t="n">
        <v>12</v>
      </c>
      <c r="V1841" t="n">
        <v>0.067</v>
      </c>
      <c r="W1841" t="n">
        <v>1.85</v>
      </c>
      <c r="X1841" t="n">
        <v>81.09</v>
      </c>
      <c r="Y1841">
        <f>VLOOKUP(D1841,$AB$2:$AC$7,2,FALSE)</f>
        <v/>
      </c>
      <c r="Z1841">
        <f>IF(A1841&lt;Y1841,"Yes","No")</f>
        <v/>
      </c>
    </row>
    <row r="1842">
      <c r="A1842" t="n">
        <v>2015</v>
      </c>
      <c r="B1842" t="inlineStr">
        <is>
          <t>Q4</t>
        </is>
      </c>
      <c r="C1842" t="inlineStr">
        <is>
          <t>Europe</t>
        </is>
      </c>
      <c r="D1842" t="inlineStr">
        <is>
          <t>Model Y</t>
        </is>
      </c>
      <c r="E1842" t="n">
        <v>4624</v>
      </c>
      <c r="F1842" t="n">
        <v>96089.17999999999</v>
      </c>
      <c r="G1842" t="n">
        <v>48</v>
      </c>
      <c r="H1842" t="inlineStr">
        <is>
          <t>Performance</t>
        </is>
      </c>
      <c r="I1842" t="inlineStr">
        <is>
          <t>RWD</t>
        </is>
      </c>
      <c r="J1842" t="inlineStr">
        <is>
          <t>Silver</t>
        </is>
      </c>
      <c r="K1842" t="n">
        <v>473</v>
      </c>
      <c r="L1842" t="n">
        <v>76</v>
      </c>
      <c r="M1842" t="n">
        <v>19.12</v>
      </c>
      <c r="N1842" t="n">
        <v>8471.25</v>
      </c>
      <c r="O1842" t="n">
        <v>4.35</v>
      </c>
      <c r="P1842" t="n">
        <v>6</v>
      </c>
      <c r="Q1842" t="n">
        <v>0</v>
      </c>
      <c r="R1842" t="n">
        <v>2021.9</v>
      </c>
      <c r="S1842" t="b">
        <v>0</v>
      </c>
      <c r="T1842" t="n">
        <v>3811483</v>
      </c>
      <c r="U1842" t="n">
        <v>4</v>
      </c>
      <c r="V1842" t="n">
        <v>0.0556</v>
      </c>
      <c r="W1842" t="n">
        <v>1.46</v>
      </c>
      <c r="X1842" t="n">
        <v>74.94</v>
      </c>
      <c r="Y1842">
        <f>VLOOKUP(D1842,$AB$2:$AC$7,2,FALSE)</f>
        <v/>
      </c>
      <c r="Z1842">
        <f>IF(A1842&lt;Y1842,"Yes","No")</f>
        <v/>
      </c>
    </row>
    <row r="1843">
      <c r="A1843" t="n">
        <v>2020</v>
      </c>
      <c r="B1843" t="inlineStr">
        <is>
          <t>Q4</t>
        </is>
      </c>
      <c r="C1843" t="inlineStr">
        <is>
          <t>South America</t>
        </is>
      </c>
      <c r="D1843" t="inlineStr">
        <is>
          <t>Model S</t>
        </is>
      </c>
      <c r="E1843" t="n">
        <v>476</v>
      </c>
      <c r="F1843" t="n">
        <v>60037.95</v>
      </c>
      <c r="G1843" t="n">
        <v>28</v>
      </c>
      <c r="H1843" t="inlineStr">
        <is>
          <t>Long Range</t>
        </is>
      </c>
      <c r="I1843" t="inlineStr">
        <is>
          <t>AWD</t>
        </is>
      </c>
      <c r="J1843" t="inlineStr">
        <is>
          <t>Silver</t>
        </is>
      </c>
      <c r="K1843" t="n">
        <v>543</v>
      </c>
      <c r="L1843" t="n">
        <v>85</v>
      </c>
      <c r="M1843" t="n">
        <v>20.45</v>
      </c>
      <c r="N1843" t="n">
        <v>994.25</v>
      </c>
      <c r="O1843" t="n">
        <v>3.97</v>
      </c>
      <c r="P1843" t="n">
        <v>6</v>
      </c>
      <c r="Q1843" t="n">
        <v>0</v>
      </c>
      <c r="R1843" t="n">
        <v>2022.8</v>
      </c>
      <c r="S1843" t="b">
        <v>1</v>
      </c>
      <c r="T1843" t="n">
        <v>723345</v>
      </c>
      <c r="U1843" t="n">
        <v>12</v>
      </c>
      <c r="V1843" t="n">
        <v>0.0562</v>
      </c>
      <c r="W1843" t="n">
        <v>0.78</v>
      </c>
      <c r="X1843" t="n">
        <v>68.56999999999999</v>
      </c>
      <c r="Y1843">
        <f>VLOOKUP(D1843,$AB$2:$AC$7,2,FALSE)</f>
        <v/>
      </c>
      <c r="Z1843">
        <f>IF(A1843&lt;Y1843,"Yes","No")</f>
        <v/>
      </c>
    </row>
    <row r="1844">
      <c r="A1844" t="n">
        <v>2016</v>
      </c>
      <c r="B1844" t="inlineStr">
        <is>
          <t>Q1</t>
        </is>
      </c>
      <c r="C1844" t="inlineStr">
        <is>
          <t>North America</t>
        </is>
      </c>
      <c r="D1844" t="inlineStr">
        <is>
          <t>Model Y</t>
        </is>
      </c>
      <c r="E1844" t="n">
        <v>887</v>
      </c>
      <c r="F1844" t="n">
        <v>83176.2</v>
      </c>
      <c r="G1844" t="n">
        <v>8</v>
      </c>
      <c r="H1844" t="inlineStr">
        <is>
          <t>Performance</t>
        </is>
      </c>
      <c r="I1844" t="inlineStr">
        <is>
          <t>RWD</t>
        </is>
      </c>
      <c r="J1844" t="inlineStr">
        <is>
          <t>Black</t>
        </is>
      </c>
      <c r="K1844" t="n">
        <v>477</v>
      </c>
      <c r="L1844" t="n">
        <v>59</v>
      </c>
      <c r="M1844" t="n">
        <v>13.67</v>
      </c>
      <c r="N1844" t="n">
        <v>2086.04</v>
      </c>
      <c r="O1844" t="n">
        <v>4.13</v>
      </c>
      <c r="P1844" t="n">
        <v>8</v>
      </c>
      <c r="Q1844" t="n">
        <v>0</v>
      </c>
      <c r="R1844" t="n">
        <v>2022.1</v>
      </c>
      <c r="S1844" t="b">
        <v>0</v>
      </c>
      <c r="T1844" t="n">
        <v>1962417</v>
      </c>
      <c r="U1844" t="n">
        <v>7</v>
      </c>
      <c r="V1844" t="n">
        <v>0.0386</v>
      </c>
      <c r="W1844" t="n">
        <v>0.66</v>
      </c>
      <c r="X1844" t="n">
        <v>66.29000000000001</v>
      </c>
      <c r="Y1844">
        <f>VLOOKUP(D1844,$AB$2:$AC$7,2,FALSE)</f>
        <v/>
      </c>
      <c r="Z1844">
        <f>IF(A1844&lt;Y1844,"Yes","No")</f>
        <v/>
      </c>
    </row>
    <row r="1845">
      <c r="A1845" t="n">
        <v>2015</v>
      </c>
      <c r="B1845" t="inlineStr">
        <is>
          <t>Q1</t>
        </is>
      </c>
      <c r="C1845" t="inlineStr">
        <is>
          <t>North America</t>
        </is>
      </c>
      <c r="D1845" t="inlineStr">
        <is>
          <t>Model S</t>
        </is>
      </c>
      <c r="E1845" t="n">
        <v>982</v>
      </c>
      <c r="F1845" t="n">
        <v>96138.46000000001</v>
      </c>
      <c r="G1845" t="n">
        <v>32</v>
      </c>
      <c r="H1845" t="inlineStr">
        <is>
          <t>Long Range</t>
        </is>
      </c>
      <c r="I1845" t="inlineStr">
        <is>
          <t>RWD</t>
        </is>
      </c>
      <c r="J1845" t="inlineStr">
        <is>
          <t>Blue</t>
        </is>
      </c>
      <c r="K1845" t="n">
        <v>576</v>
      </c>
      <c r="L1845" t="n">
        <v>83</v>
      </c>
      <c r="M1845" t="n">
        <v>15.7</v>
      </c>
      <c r="N1845" t="n">
        <v>2210.05</v>
      </c>
      <c r="O1845" t="n">
        <v>4.72</v>
      </c>
      <c r="P1845" t="n">
        <v>8</v>
      </c>
      <c r="Q1845" t="n">
        <v>0</v>
      </c>
      <c r="R1845" t="n">
        <v>2020.12</v>
      </c>
      <c r="S1845" t="b">
        <v>1</v>
      </c>
      <c r="T1845" t="n">
        <v>3968602</v>
      </c>
      <c r="U1845" t="n">
        <v>6</v>
      </c>
      <c r="V1845" t="n">
        <v>0.0611</v>
      </c>
      <c r="W1845" t="n">
        <v>0.68</v>
      </c>
      <c r="X1845" t="n">
        <v>88.53</v>
      </c>
      <c r="Y1845">
        <f>VLOOKUP(D1845,$AB$2:$AC$7,2,FALSE)</f>
        <v/>
      </c>
      <c r="Z1845">
        <f>IF(A1845&lt;Y1845,"Yes","No")</f>
        <v/>
      </c>
    </row>
    <row r="1846">
      <c r="A1846" t="n">
        <v>2017</v>
      </c>
      <c r="B1846" t="inlineStr">
        <is>
          <t>Q4</t>
        </is>
      </c>
      <c r="C1846" t="inlineStr">
        <is>
          <t>North America</t>
        </is>
      </c>
      <c r="D1846" t="inlineStr">
        <is>
          <t>Model Y</t>
        </is>
      </c>
      <c r="E1846" t="n">
        <v>1960</v>
      </c>
      <c r="F1846" t="n">
        <v>35579</v>
      </c>
      <c r="G1846" t="n">
        <v>60</v>
      </c>
      <c r="H1846" t="inlineStr">
        <is>
          <t>Standard</t>
        </is>
      </c>
      <c r="I1846" t="inlineStr">
        <is>
          <t>RWD</t>
        </is>
      </c>
      <c r="J1846" t="inlineStr">
        <is>
          <t>Black</t>
        </is>
      </c>
      <c r="K1846" t="n">
        <v>582</v>
      </c>
      <c r="L1846" t="n">
        <v>43</v>
      </c>
      <c r="M1846" t="n">
        <v>15.83</v>
      </c>
      <c r="N1846" t="n">
        <v>3314.61</v>
      </c>
      <c r="O1846" t="n">
        <v>4.72</v>
      </c>
      <c r="P1846" t="n">
        <v>4</v>
      </c>
      <c r="Q1846" t="n">
        <v>0</v>
      </c>
      <c r="R1846" t="n">
        <v>2020.2</v>
      </c>
      <c r="S1846" t="b">
        <v>0</v>
      </c>
      <c r="T1846" t="n">
        <v>4845273</v>
      </c>
      <c r="U1846" t="n">
        <v>4</v>
      </c>
      <c r="V1846" t="n">
        <v>0.0472</v>
      </c>
      <c r="W1846" t="n">
        <v>0.65</v>
      </c>
      <c r="X1846" t="n">
        <v>83.97</v>
      </c>
      <c r="Y1846">
        <f>VLOOKUP(D1846,$AB$2:$AC$7,2,FALSE)</f>
        <v/>
      </c>
      <c r="Z1846">
        <f>IF(A1846&lt;Y1846,"Yes","No")</f>
        <v/>
      </c>
    </row>
    <row r="1847">
      <c r="A1847" t="n">
        <v>2020</v>
      </c>
      <c r="B1847" t="inlineStr">
        <is>
          <t>Q2</t>
        </is>
      </c>
      <c r="C1847" t="inlineStr">
        <is>
          <t>Europe</t>
        </is>
      </c>
      <c r="D1847" t="inlineStr">
        <is>
          <t>Semi</t>
        </is>
      </c>
      <c r="E1847" t="n">
        <v>2188</v>
      </c>
      <c r="F1847" t="n">
        <v>36321.79</v>
      </c>
      <c r="G1847" t="n">
        <v>0</v>
      </c>
      <c r="H1847" t="inlineStr">
        <is>
          <t>Long Range</t>
        </is>
      </c>
      <c r="I1847" t="inlineStr">
        <is>
          <t>AWD</t>
        </is>
      </c>
      <c r="J1847" t="inlineStr">
        <is>
          <t>Black</t>
        </is>
      </c>
      <c r="K1847" t="n">
        <v>618</v>
      </c>
      <c r="L1847" t="n">
        <v>54</v>
      </c>
      <c r="M1847" t="n">
        <v>17.02</v>
      </c>
      <c r="N1847" t="n">
        <v>4798.18</v>
      </c>
      <c r="O1847" t="n">
        <v>4.39</v>
      </c>
      <c r="P1847" t="n">
        <v>8</v>
      </c>
      <c r="Q1847" t="n">
        <v>0</v>
      </c>
      <c r="R1847" t="n">
        <v>2021.11</v>
      </c>
      <c r="S1847" t="b">
        <v>0</v>
      </c>
      <c r="T1847" t="n">
        <v>813102</v>
      </c>
      <c r="U1847" t="n">
        <v>6</v>
      </c>
      <c r="V1847" t="n">
        <v>0.0325</v>
      </c>
      <c r="W1847" t="n">
        <v>1.58</v>
      </c>
      <c r="X1847" t="n">
        <v>61.24</v>
      </c>
      <c r="Y1847">
        <f>VLOOKUP(D1847,$AB$2:$AC$7,2,FALSE)</f>
        <v/>
      </c>
      <c r="Z1847">
        <f>IF(A1847&lt;Y1847,"Yes","No")</f>
        <v/>
      </c>
    </row>
    <row r="1848">
      <c r="A1848" t="n">
        <v>2016</v>
      </c>
      <c r="B1848" t="inlineStr">
        <is>
          <t>Q4</t>
        </is>
      </c>
      <c r="C1848" t="inlineStr">
        <is>
          <t>North America</t>
        </is>
      </c>
      <c r="D1848" t="inlineStr">
        <is>
          <t>Model S</t>
        </is>
      </c>
      <c r="E1848" t="n">
        <v>4613</v>
      </c>
      <c r="F1848" t="n">
        <v>95453.72</v>
      </c>
      <c r="G1848" t="n">
        <v>1</v>
      </c>
      <c r="H1848" t="inlineStr">
        <is>
          <t>Standard</t>
        </is>
      </c>
      <c r="I1848" t="inlineStr">
        <is>
          <t>RWD</t>
        </is>
      </c>
      <c r="J1848" t="inlineStr">
        <is>
          <t>White</t>
        </is>
      </c>
      <c r="K1848" t="n">
        <v>376</v>
      </c>
      <c r="L1848" t="n">
        <v>35</v>
      </c>
      <c r="M1848" t="n">
        <v>23.73</v>
      </c>
      <c r="N1848" t="n">
        <v>9192.42</v>
      </c>
      <c r="O1848" t="n">
        <v>4.88</v>
      </c>
      <c r="P1848" t="n">
        <v>4</v>
      </c>
      <c r="Q1848" t="n">
        <v>2</v>
      </c>
      <c r="R1848" t="n">
        <v>2024.11</v>
      </c>
      <c r="S1848" t="b">
        <v>0</v>
      </c>
      <c r="T1848" t="n">
        <v>587530</v>
      </c>
      <c r="U1848" t="n">
        <v>4</v>
      </c>
      <c r="V1848" t="n">
        <v>0.0534</v>
      </c>
      <c r="W1848" t="n">
        <v>1.7</v>
      </c>
      <c r="X1848" t="n">
        <v>65.72</v>
      </c>
      <c r="Y1848">
        <f>VLOOKUP(D1848,$AB$2:$AC$7,2,FALSE)</f>
        <v/>
      </c>
      <c r="Z1848">
        <f>IF(A1848&lt;Y1848,"Yes","No")</f>
        <v/>
      </c>
    </row>
    <row r="1849">
      <c r="A1849" t="n">
        <v>2023</v>
      </c>
      <c r="B1849" t="inlineStr">
        <is>
          <t>Q3</t>
        </is>
      </c>
      <c r="C1849" t="inlineStr">
        <is>
          <t>Australia</t>
        </is>
      </c>
      <c r="D1849" t="inlineStr">
        <is>
          <t>Model Y</t>
        </is>
      </c>
      <c r="E1849" t="n">
        <v>3630</v>
      </c>
      <c r="F1849" t="n">
        <v>70456.84</v>
      </c>
      <c r="G1849" t="n">
        <v>54</v>
      </c>
      <c r="H1849" t="inlineStr">
        <is>
          <t>Long Range</t>
        </is>
      </c>
      <c r="I1849" t="inlineStr">
        <is>
          <t>RWD</t>
        </is>
      </c>
      <c r="J1849" t="inlineStr">
        <is>
          <t>Silver</t>
        </is>
      </c>
      <c r="K1849" t="n">
        <v>520</v>
      </c>
      <c r="L1849" t="n">
        <v>54</v>
      </c>
      <c r="M1849" t="n">
        <v>14.8</v>
      </c>
      <c r="N1849" t="n">
        <v>5243.14</v>
      </c>
      <c r="O1849" t="n">
        <v>3.51</v>
      </c>
      <c r="P1849" t="n">
        <v>6</v>
      </c>
      <c r="Q1849" t="n">
        <v>1</v>
      </c>
      <c r="R1849" t="n">
        <v>2021.5</v>
      </c>
      <c r="S1849" t="b">
        <v>0</v>
      </c>
      <c r="T1849" t="n">
        <v>2288914</v>
      </c>
      <c r="U1849" t="n">
        <v>2</v>
      </c>
      <c r="V1849" t="n">
        <v>0.0448</v>
      </c>
      <c r="W1849" t="n">
        <v>2.25</v>
      </c>
      <c r="X1849" t="n">
        <v>79.89</v>
      </c>
      <c r="Y1849">
        <f>VLOOKUP(D1849,$AB$2:$AC$7,2,FALSE)</f>
        <v/>
      </c>
      <c r="Z1849">
        <f>IF(A1849&lt;Y1849,"Yes","No")</f>
        <v/>
      </c>
    </row>
    <row r="1850">
      <c r="A1850" t="n">
        <v>2023</v>
      </c>
      <c r="B1850" t="inlineStr">
        <is>
          <t>Q4</t>
        </is>
      </c>
      <c r="C1850" t="inlineStr">
        <is>
          <t>North America</t>
        </is>
      </c>
      <c r="D1850" t="inlineStr">
        <is>
          <t>Semi</t>
        </is>
      </c>
      <c r="E1850" t="n">
        <v>4080</v>
      </c>
      <c r="F1850" t="n">
        <v>63688.32</v>
      </c>
      <c r="G1850" t="n">
        <v>16</v>
      </c>
      <c r="H1850" t="inlineStr">
        <is>
          <t>Standard</t>
        </is>
      </c>
      <c r="I1850" t="inlineStr">
        <is>
          <t>AWD</t>
        </is>
      </c>
      <c r="J1850" t="inlineStr">
        <is>
          <t>Blue</t>
        </is>
      </c>
      <c r="K1850" t="n">
        <v>605</v>
      </c>
      <c r="L1850" t="n">
        <v>36</v>
      </c>
      <c r="M1850" t="n">
        <v>22.52</v>
      </c>
      <c r="N1850" t="n">
        <v>4488.89</v>
      </c>
      <c r="O1850" t="n">
        <v>4.34</v>
      </c>
      <c r="P1850" t="n">
        <v>4</v>
      </c>
      <c r="Q1850" t="n">
        <v>3</v>
      </c>
      <c r="R1850" t="n">
        <v>2020.6</v>
      </c>
      <c r="S1850" t="b">
        <v>1</v>
      </c>
      <c r="T1850" t="n">
        <v>734502</v>
      </c>
      <c r="U1850" t="n">
        <v>11</v>
      </c>
      <c r="V1850" t="n">
        <v>0.0549</v>
      </c>
      <c r="W1850" t="n">
        <v>2.07</v>
      </c>
      <c r="X1850" t="n">
        <v>69.91</v>
      </c>
      <c r="Y1850">
        <f>VLOOKUP(D1850,$AB$2:$AC$7,2,FALSE)</f>
        <v/>
      </c>
      <c r="Z1850">
        <f>IF(A1850&lt;Y1850,"Yes","No")</f>
        <v/>
      </c>
    </row>
    <row r="1851">
      <c r="A1851" t="n">
        <v>2019</v>
      </c>
      <c r="B1851" t="inlineStr">
        <is>
          <t>Q1</t>
        </is>
      </c>
      <c r="C1851" t="inlineStr">
        <is>
          <t>South America</t>
        </is>
      </c>
      <c r="D1851" t="inlineStr">
        <is>
          <t>Model 3</t>
        </is>
      </c>
      <c r="E1851" t="n">
        <v>3339</v>
      </c>
      <c r="F1851" t="n">
        <v>76811.89</v>
      </c>
      <c r="G1851" t="n">
        <v>35</v>
      </c>
      <c r="H1851" t="inlineStr">
        <is>
          <t>Long Range</t>
        </is>
      </c>
      <c r="I1851" t="inlineStr">
        <is>
          <t>RWD</t>
        </is>
      </c>
      <c r="J1851" t="inlineStr">
        <is>
          <t>Red</t>
        </is>
      </c>
      <c r="K1851" t="n">
        <v>484</v>
      </c>
      <c r="L1851" t="n">
        <v>47</v>
      </c>
      <c r="M1851" t="n">
        <v>21.81</v>
      </c>
      <c r="N1851" t="n">
        <v>2279.93</v>
      </c>
      <c r="O1851" t="n">
        <v>3.95</v>
      </c>
      <c r="P1851" t="n">
        <v>6</v>
      </c>
      <c r="Q1851" t="n">
        <v>1</v>
      </c>
      <c r="R1851" t="n">
        <v>2024.5</v>
      </c>
      <c r="S1851" t="b">
        <v>1</v>
      </c>
      <c r="T1851" t="n">
        <v>3492391</v>
      </c>
      <c r="U1851" t="n">
        <v>9</v>
      </c>
      <c r="V1851" t="n">
        <v>0.08119999999999999</v>
      </c>
      <c r="W1851" t="n">
        <v>0.54</v>
      </c>
      <c r="X1851" t="n">
        <v>76.16</v>
      </c>
      <c r="Y1851">
        <f>VLOOKUP(D1851,$AB$2:$AC$7,2,FALSE)</f>
        <v/>
      </c>
      <c r="Z1851">
        <f>IF(A1851&lt;Y1851,"Yes","No")</f>
        <v/>
      </c>
    </row>
    <row r="1852">
      <c r="A1852" t="n">
        <v>2023</v>
      </c>
      <c r="B1852" t="inlineStr">
        <is>
          <t>Q3</t>
        </is>
      </c>
      <c r="C1852" t="inlineStr">
        <is>
          <t>North America</t>
        </is>
      </c>
      <c r="D1852" t="inlineStr">
        <is>
          <t>Model S</t>
        </is>
      </c>
      <c r="E1852" t="n">
        <v>2740</v>
      </c>
      <c r="F1852" t="n">
        <v>104626.85</v>
      </c>
      <c r="G1852" t="n">
        <v>14</v>
      </c>
      <c r="H1852" t="inlineStr">
        <is>
          <t>Long Range</t>
        </is>
      </c>
      <c r="I1852" t="inlineStr">
        <is>
          <t>RWD</t>
        </is>
      </c>
      <c r="J1852" t="inlineStr">
        <is>
          <t>Black</t>
        </is>
      </c>
      <c r="K1852" t="n">
        <v>560</v>
      </c>
      <c r="L1852" t="n">
        <v>62</v>
      </c>
      <c r="M1852" t="n">
        <v>16.02</v>
      </c>
      <c r="N1852" t="n">
        <v>4753.48</v>
      </c>
      <c r="O1852" t="n">
        <v>4.99</v>
      </c>
      <c r="P1852" t="n">
        <v>4</v>
      </c>
      <c r="Q1852" t="n">
        <v>2</v>
      </c>
      <c r="R1852" t="n">
        <v>2021.5</v>
      </c>
      <c r="S1852" t="b">
        <v>1</v>
      </c>
      <c r="T1852" t="n">
        <v>3547554</v>
      </c>
      <c r="U1852" t="n">
        <v>11</v>
      </c>
      <c r="V1852" t="n">
        <v>0.0699</v>
      </c>
      <c r="W1852" t="n">
        <v>0.73</v>
      </c>
      <c r="X1852" t="n">
        <v>64.5</v>
      </c>
      <c r="Y1852">
        <f>VLOOKUP(D1852,$AB$2:$AC$7,2,FALSE)</f>
        <v/>
      </c>
      <c r="Z1852">
        <f>IF(A1852&lt;Y1852,"Yes","No")</f>
        <v/>
      </c>
    </row>
    <row r="1853">
      <c r="A1853" t="n">
        <v>2012</v>
      </c>
      <c r="B1853" t="inlineStr">
        <is>
          <t>Q4</t>
        </is>
      </c>
      <c r="C1853" t="inlineStr">
        <is>
          <t>Australia</t>
        </is>
      </c>
      <c r="D1853" t="inlineStr">
        <is>
          <t>Semi</t>
        </is>
      </c>
      <c r="E1853" t="n">
        <v>4465</v>
      </c>
      <c r="F1853" t="n">
        <v>41680.67</v>
      </c>
      <c r="G1853" t="n">
        <v>41</v>
      </c>
      <c r="H1853" t="inlineStr">
        <is>
          <t>Standard</t>
        </is>
      </c>
      <c r="I1853" t="inlineStr">
        <is>
          <t>AWD</t>
        </is>
      </c>
      <c r="J1853" t="inlineStr">
        <is>
          <t>Blue</t>
        </is>
      </c>
      <c r="K1853" t="n">
        <v>623</v>
      </c>
      <c r="L1853" t="n">
        <v>34</v>
      </c>
      <c r="M1853" t="n">
        <v>23.82</v>
      </c>
      <c r="N1853" t="n">
        <v>4196.77</v>
      </c>
      <c r="O1853" t="n">
        <v>4.04</v>
      </c>
      <c r="P1853" t="n">
        <v>8</v>
      </c>
      <c r="Q1853" t="n">
        <v>1</v>
      </c>
      <c r="R1853" t="n">
        <v>2021.1</v>
      </c>
      <c r="S1853" t="b">
        <v>0</v>
      </c>
      <c r="T1853" t="n">
        <v>3383585</v>
      </c>
      <c r="U1853" t="n">
        <v>8</v>
      </c>
      <c r="V1853" t="n">
        <v>0.07630000000000001</v>
      </c>
      <c r="W1853" t="n">
        <v>1.87</v>
      </c>
      <c r="X1853" t="n">
        <v>69.39</v>
      </c>
      <c r="Y1853">
        <f>VLOOKUP(D1853,$AB$2:$AC$7,2,FALSE)</f>
        <v/>
      </c>
      <c r="Z1853">
        <f>IF(A1853&lt;Y1853,"Yes","No")</f>
        <v/>
      </c>
    </row>
    <row r="1854">
      <c r="A1854" t="n">
        <v>2013</v>
      </c>
      <c r="B1854" t="inlineStr">
        <is>
          <t>Q4</t>
        </is>
      </c>
      <c r="C1854" t="inlineStr">
        <is>
          <t>North America</t>
        </is>
      </c>
      <c r="D1854" t="inlineStr">
        <is>
          <t>Model X</t>
        </is>
      </c>
      <c r="E1854" t="n">
        <v>359</v>
      </c>
      <c r="F1854" t="n">
        <v>37490.17</v>
      </c>
      <c r="G1854" t="n">
        <v>31</v>
      </c>
      <c r="H1854" t="inlineStr">
        <is>
          <t>Long Range</t>
        </is>
      </c>
      <c r="I1854" t="inlineStr">
        <is>
          <t>AWD</t>
        </is>
      </c>
      <c r="J1854" t="inlineStr">
        <is>
          <t>Red</t>
        </is>
      </c>
      <c r="K1854" t="n">
        <v>584</v>
      </c>
      <c r="L1854" t="n">
        <v>52</v>
      </c>
      <c r="M1854" t="n">
        <v>22.09</v>
      </c>
      <c r="N1854" t="n">
        <v>259.11</v>
      </c>
      <c r="O1854" t="n">
        <v>4.61</v>
      </c>
      <c r="P1854" t="n">
        <v>4</v>
      </c>
      <c r="Q1854" t="n">
        <v>0</v>
      </c>
      <c r="R1854" t="n">
        <v>2023.8</v>
      </c>
      <c r="S1854" t="b">
        <v>0</v>
      </c>
      <c r="T1854" t="n">
        <v>1601723</v>
      </c>
      <c r="U1854" t="n">
        <v>10</v>
      </c>
      <c r="V1854" t="n">
        <v>0.0356</v>
      </c>
      <c r="W1854" t="n">
        <v>1.24</v>
      </c>
      <c r="X1854" t="n">
        <v>73.7</v>
      </c>
      <c r="Y1854">
        <f>VLOOKUP(D1854,$AB$2:$AC$7,2,FALSE)</f>
        <v/>
      </c>
      <c r="Z1854">
        <f>IF(A1854&lt;Y1854,"Yes","No")</f>
        <v/>
      </c>
    </row>
    <row r="1855">
      <c r="A1855" t="n">
        <v>2013</v>
      </c>
      <c r="B1855" t="inlineStr">
        <is>
          <t>Q4</t>
        </is>
      </c>
      <c r="C1855" t="inlineStr">
        <is>
          <t>Australia</t>
        </is>
      </c>
      <c r="D1855" t="inlineStr">
        <is>
          <t>Model Y</t>
        </is>
      </c>
      <c r="E1855" t="n">
        <v>424</v>
      </c>
      <c r="F1855" t="n">
        <v>71844.83</v>
      </c>
      <c r="G1855" t="n">
        <v>31</v>
      </c>
      <c r="H1855" t="inlineStr">
        <is>
          <t>Standard</t>
        </is>
      </c>
      <c r="I1855" t="inlineStr">
        <is>
          <t>AWD</t>
        </is>
      </c>
      <c r="J1855" t="inlineStr">
        <is>
          <t>Silver</t>
        </is>
      </c>
      <c r="K1855" t="n">
        <v>431</v>
      </c>
      <c r="L1855" t="n">
        <v>81</v>
      </c>
      <c r="M1855" t="n">
        <v>22.93</v>
      </c>
      <c r="N1855" t="n">
        <v>681.14</v>
      </c>
      <c r="O1855" t="n">
        <v>3.85</v>
      </c>
      <c r="P1855" t="n">
        <v>4</v>
      </c>
      <c r="Q1855" t="n">
        <v>2</v>
      </c>
      <c r="R1855" t="n">
        <v>2021.1</v>
      </c>
      <c r="S1855" t="b">
        <v>1</v>
      </c>
      <c r="T1855" t="n">
        <v>1028995</v>
      </c>
      <c r="U1855" t="n">
        <v>7</v>
      </c>
      <c r="V1855" t="n">
        <v>0.0243</v>
      </c>
      <c r="W1855" t="n">
        <v>2.4</v>
      </c>
      <c r="X1855" t="n">
        <v>82.36</v>
      </c>
      <c r="Y1855">
        <f>VLOOKUP(D1855,$AB$2:$AC$7,2,FALSE)</f>
        <v/>
      </c>
      <c r="Z1855">
        <f>IF(A1855&lt;Y1855,"Yes","No")</f>
        <v/>
      </c>
    </row>
    <row r="1856">
      <c r="A1856" t="n">
        <v>2021</v>
      </c>
      <c r="B1856" t="inlineStr">
        <is>
          <t>Q4</t>
        </is>
      </c>
      <c r="C1856" t="inlineStr">
        <is>
          <t>South America</t>
        </is>
      </c>
      <c r="D1856" t="inlineStr">
        <is>
          <t>Model 3</t>
        </is>
      </c>
      <c r="E1856" t="n">
        <v>1657</v>
      </c>
      <c r="F1856" t="n">
        <v>70940.10000000001</v>
      </c>
      <c r="G1856" t="n">
        <v>53</v>
      </c>
      <c r="H1856" t="inlineStr">
        <is>
          <t>Long Range</t>
        </is>
      </c>
      <c r="I1856" t="inlineStr">
        <is>
          <t>RWD</t>
        </is>
      </c>
      <c r="J1856" t="inlineStr">
        <is>
          <t>Green</t>
        </is>
      </c>
      <c r="K1856" t="n">
        <v>377</v>
      </c>
      <c r="L1856" t="n">
        <v>87</v>
      </c>
      <c r="M1856" t="n">
        <v>19.29</v>
      </c>
      <c r="N1856" t="n">
        <v>2738.14</v>
      </c>
      <c r="O1856" t="n">
        <v>3.76</v>
      </c>
      <c r="P1856" t="n">
        <v>4</v>
      </c>
      <c r="Q1856" t="n">
        <v>2</v>
      </c>
      <c r="R1856" t="n">
        <v>2024.1</v>
      </c>
      <c r="S1856" t="b">
        <v>0</v>
      </c>
      <c r="T1856" t="n">
        <v>2503964</v>
      </c>
      <c r="U1856" t="n">
        <v>9</v>
      </c>
      <c r="V1856" t="n">
        <v>0.0665</v>
      </c>
      <c r="W1856" t="n">
        <v>2.05</v>
      </c>
      <c r="X1856" t="n">
        <v>77.73</v>
      </c>
      <c r="Y1856">
        <f>VLOOKUP(D1856,$AB$2:$AC$7,2,FALSE)</f>
        <v/>
      </c>
      <c r="Z1856">
        <f>IF(A1856&lt;Y1856,"Yes","No")</f>
        <v/>
      </c>
    </row>
    <row r="1857">
      <c r="A1857" t="n">
        <v>2020</v>
      </c>
      <c r="B1857" t="inlineStr">
        <is>
          <t>Q1</t>
        </is>
      </c>
      <c r="C1857" t="inlineStr">
        <is>
          <t>North America</t>
        </is>
      </c>
      <c r="D1857" t="inlineStr">
        <is>
          <t>Model 3</t>
        </is>
      </c>
      <c r="E1857" t="n">
        <v>1403</v>
      </c>
      <c r="F1857" t="n">
        <v>64090.58</v>
      </c>
      <c r="G1857" t="n">
        <v>25</v>
      </c>
      <c r="H1857" t="inlineStr">
        <is>
          <t>Standard</t>
        </is>
      </c>
      <c r="I1857" t="inlineStr">
        <is>
          <t>AWD</t>
        </is>
      </c>
      <c r="J1857" t="inlineStr">
        <is>
          <t>Silver</t>
        </is>
      </c>
      <c r="K1857" t="n">
        <v>460</v>
      </c>
      <c r="L1857" t="n">
        <v>56</v>
      </c>
      <c r="M1857" t="n">
        <v>14.15</v>
      </c>
      <c r="N1857" t="n">
        <v>742.35</v>
      </c>
      <c r="O1857" t="n">
        <v>4.34</v>
      </c>
      <c r="P1857" t="n">
        <v>4</v>
      </c>
      <c r="Q1857" t="n">
        <v>1</v>
      </c>
      <c r="R1857" t="n">
        <v>2022.8</v>
      </c>
      <c r="S1857" t="b">
        <v>1</v>
      </c>
      <c r="T1857" t="n">
        <v>686057</v>
      </c>
      <c r="U1857" t="n">
        <v>8</v>
      </c>
      <c r="V1857" t="n">
        <v>0.0887</v>
      </c>
      <c r="W1857" t="n">
        <v>0.84</v>
      </c>
      <c r="X1857" t="n">
        <v>61.42</v>
      </c>
      <c r="Y1857">
        <f>VLOOKUP(D1857,$AB$2:$AC$7,2,FALSE)</f>
        <v/>
      </c>
      <c r="Z1857">
        <f>IF(A1857&lt;Y1857,"Yes","No")</f>
        <v/>
      </c>
    </row>
    <row r="1858">
      <c r="A1858" t="n">
        <v>2022</v>
      </c>
      <c r="B1858" t="inlineStr">
        <is>
          <t>Q4</t>
        </is>
      </c>
      <c r="C1858" t="inlineStr">
        <is>
          <t>Europe</t>
        </is>
      </c>
      <c r="D1858" t="inlineStr">
        <is>
          <t>Model Y</t>
        </is>
      </c>
      <c r="E1858" t="n">
        <v>560</v>
      </c>
      <c r="F1858" t="n">
        <v>54251.21</v>
      </c>
      <c r="G1858" t="n">
        <v>23</v>
      </c>
      <c r="H1858" t="inlineStr">
        <is>
          <t>Long Range</t>
        </is>
      </c>
      <c r="I1858" t="inlineStr">
        <is>
          <t>RWD</t>
        </is>
      </c>
      <c r="J1858" t="inlineStr">
        <is>
          <t>Silver</t>
        </is>
      </c>
      <c r="K1858" t="n">
        <v>404</v>
      </c>
      <c r="L1858" t="n">
        <v>50</v>
      </c>
      <c r="M1858" t="n">
        <v>14.48</v>
      </c>
      <c r="N1858" t="n">
        <v>770.6799999999999</v>
      </c>
      <c r="O1858" t="n">
        <v>4.07</v>
      </c>
      <c r="P1858" t="n">
        <v>4</v>
      </c>
      <c r="Q1858" t="n">
        <v>3</v>
      </c>
      <c r="R1858" t="n">
        <v>2023.3</v>
      </c>
      <c r="S1858" t="b">
        <v>0</v>
      </c>
      <c r="T1858" t="n">
        <v>3012692</v>
      </c>
      <c r="U1858" t="n">
        <v>10</v>
      </c>
      <c r="V1858" t="n">
        <v>0.08740000000000001</v>
      </c>
      <c r="W1858" t="n">
        <v>2.35</v>
      </c>
      <c r="X1858" t="n">
        <v>82.39</v>
      </c>
      <c r="Y1858">
        <f>VLOOKUP(D1858,$AB$2:$AC$7,2,FALSE)</f>
        <v/>
      </c>
      <c r="Z1858">
        <f>IF(A1858&lt;Y1858,"Yes","No")</f>
        <v/>
      </c>
    </row>
    <row r="1859">
      <c r="A1859" t="n">
        <v>2018</v>
      </c>
      <c r="B1859" t="inlineStr">
        <is>
          <t>Q1</t>
        </is>
      </c>
      <c r="C1859" t="inlineStr">
        <is>
          <t>Europe</t>
        </is>
      </c>
      <c r="D1859" t="inlineStr">
        <is>
          <t>Model X</t>
        </is>
      </c>
      <c r="E1859" t="n">
        <v>2044</v>
      </c>
      <c r="F1859" t="n">
        <v>118369.48</v>
      </c>
      <c r="G1859" t="n">
        <v>24</v>
      </c>
      <c r="H1859" t="inlineStr">
        <is>
          <t>Performance</t>
        </is>
      </c>
      <c r="I1859" t="inlineStr">
        <is>
          <t>RWD</t>
        </is>
      </c>
      <c r="J1859" t="inlineStr">
        <is>
          <t>Black</t>
        </is>
      </c>
      <c r="K1859" t="n">
        <v>423</v>
      </c>
      <c r="L1859" t="n">
        <v>81</v>
      </c>
      <c r="M1859" t="n">
        <v>13.73</v>
      </c>
      <c r="N1859" t="n">
        <v>1627.73</v>
      </c>
      <c r="O1859" t="n">
        <v>3.99</v>
      </c>
      <c r="P1859" t="n">
        <v>6</v>
      </c>
      <c r="Q1859" t="n">
        <v>2</v>
      </c>
      <c r="R1859" t="n">
        <v>2020.9</v>
      </c>
      <c r="S1859" t="b">
        <v>1</v>
      </c>
      <c r="T1859" t="n">
        <v>3348155</v>
      </c>
      <c r="U1859" t="n">
        <v>11</v>
      </c>
      <c r="V1859" t="n">
        <v>0.0341</v>
      </c>
      <c r="W1859" t="n">
        <v>1.73</v>
      </c>
      <c r="X1859" t="n">
        <v>76.77</v>
      </c>
      <c r="Y1859">
        <f>VLOOKUP(D1859,$AB$2:$AC$7,2,FALSE)</f>
        <v/>
      </c>
      <c r="Z1859">
        <f>IF(A1859&lt;Y1859,"Yes","No")</f>
        <v/>
      </c>
    </row>
    <row r="1860">
      <c r="A1860" t="n">
        <v>2019</v>
      </c>
      <c r="B1860" t="inlineStr">
        <is>
          <t>Q2</t>
        </is>
      </c>
      <c r="C1860" t="inlineStr">
        <is>
          <t>South America</t>
        </is>
      </c>
      <c r="D1860" t="inlineStr">
        <is>
          <t>Model Y</t>
        </is>
      </c>
      <c r="E1860" t="n">
        <v>843</v>
      </c>
      <c r="F1860" t="n">
        <v>104464.03</v>
      </c>
      <c r="G1860" t="n">
        <v>34</v>
      </c>
      <c r="H1860" t="inlineStr">
        <is>
          <t>Standard</t>
        </is>
      </c>
      <c r="I1860" t="inlineStr">
        <is>
          <t>RWD</t>
        </is>
      </c>
      <c r="J1860" t="inlineStr">
        <is>
          <t>Red</t>
        </is>
      </c>
      <c r="K1860" t="n">
        <v>378</v>
      </c>
      <c r="L1860" t="n">
        <v>33</v>
      </c>
      <c r="M1860" t="n">
        <v>20.68</v>
      </c>
      <c r="N1860" t="n">
        <v>1158.31</v>
      </c>
      <c r="O1860" t="n">
        <v>3.98</v>
      </c>
      <c r="P1860" t="n">
        <v>6</v>
      </c>
      <c r="Q1860" t="n">
        <v>2</v>
      </c>
      <c r="R1860" t="n">
        <v>2021.12</v>
      </c>
      <c r="S1860" t="b">
        <v>1</v>
      </c>
      <c r="T1860" t="n">
        <v>329180</v>
      </c>
      <c r="U1860" t="n">
        <v>2</v>
      </c>
      <c r="V1860" t="n">
        <v>0.0349</v>
      </c>
      <c r="W1860" t="n">
        <v>0.62</v>
      </c>
      <c r="X1860" t="n">
        <v>81.05</v>
      </c>
      <c r="Y1860">
        <f>VLOOKUP(D1860,$AB$2:$AC$7,2,FALSE)</f>
        <v/>
      </c>
      <c r="Z1860">
        <f>IF(A1860&lt;Y1860,"Yes","No")</f>
        <v/>
      </c>
    </row>
    <row r="1861">
      <c r="A1861" t="n">
        <v>2017</v>
      </c>
      <c r="B1861" t="inlineStr">
        <is>
          <t>Q4</t>
        </is>
      </c>
      <c r="C1861" t="inlineStr">
        <is>
          <t>North America</t>
        </is>
      </c>
      <c r="D1861" t="inlineStr">
        <is>
          <t>Semi</t>
        </is>
      </c>
      <c r="E1861" t="n">
        <v>4421</v>
      </c>
      <c r="F1861" t="n">
        <v>86783.73</v>
      </c>
      <c r="G1861" t="n">
        <v>54</v>
      </c>
      <c r="H1861" t="inlineStr">
        <is>
          <t>Performance</t>
        </is>
      </c>
      <c r="I1861" t="inlineStr">
        <is>
          <t>RWD</t>
        </is>
      </c>
      <c r="J1861" t="inlineStr">
        <is>
          <t>Red</t>
        </is>
      </c>
      <c r="K1861" t="n">
        <v>546</v>
      </c>
      <c r="L1861" t="n">
        <v>47</v>
      </c>
      <c r="M1861" t="n">
        <v>19.78</v>
      </c>
      <c r="N1861" t="n">
        <v>9718.42</v>
      </c>
      <c r="O1861" t="n">
        <v>3.87</v>
      </c>
      <c r="P1861" t="n">
        <v>6</v>
      </c>
      <c r="Q1861" t="n">
        <v>0</v>
      </c>
      <c r="R1861" t="n">
        <v>2022.5</v>
      </c>
      <c r="S1861" t="b">
        <v>0</v>
      </c>
      <c r="T1861" t="n">
        <v>527306</v>
      </c>
      <c r="U1861" t="n">
        <v>12</v>
      </c>
      <c r="V1861" t="n">
        <v>0.0847</v>
      </c>
      <c r="W1861" t="n">
        <v>1.13</v>
      </c>
      <c r="X1861" t="n">
        <v>76.63</v>
      </c>
      <c r="Y1861">
        <f>VLOOKUP(D1861,$AB$2:$AC$7,2,FALSE)</f>
        <v/>
      </c>
      <c r="Z1861">
        <f>IF(A1861&lt;Y1861,"Yes","No")</f>
        <v/>
      </c>
    </row>
    <row r="1862">
      <c r="A1862" t="n">
        <v>2015</v>
      </c>
      <c r="B1862" t="inlineStr">
        <is>
          <t>Q1</t>
        </is>
      </c>
      <c r="C1862" t="inlineStr">
        <is>
          <t>Asia</t>
        </is>
      </c>
      <c r="D1862" t="inlineStr">
        <is>
          <t>Model Y</t>
        </is>
      </c>
      <c r="E1862" t="n">
        <v>170</v>
      </c>
      <c r="F1862" t="n">
        <v>45751.5</v>
      </c>
      <c r="G1862" t="n">
        <v>41</v>
      </c>
      <c r="H1862" t="inlineStr">
        <is>
          <t>Performance</t>
        </is>
      </c>
      <c r="I1862" t="inlineStr">
        <is>
          <t>AWD</t>
        </is>
      </c>
      <c r="J1862" t="inlineStr">
        <is>
          <t>Black</t>
        </is>
      </c>
      <c r="K1862" t="n">
        <v>583</v>
      </c>
      <c r="L1862" t="n">
        <v>57</v>
      </c>
      <c r="M1862" t="n">
        <v>16.15</v>
      </c>
      <c r="N1862" t="n">
        <v>123.62</v>
      </c>
      <c r="O1862" t="n">
        <v>3.78</v>
      </c>
      <c r="P1862" t="n">
        <v>4</v>
      </c>
      <c r="Q1862" t="n">
        <v>2</v>
      </c>
      <c r="R1862" t="n">
        <v>2020.2</v>
      </c>
      <c r="S1862" t="b">
        <v>0</v>
      </c>
      <c r="T1862" t="n">
        <v>4218321</v>
      </c>
      <c r="U1862" t="n">
        <v>7</v>
      </c>
      <c r="V1862" t="n">
        <v>0.0369</v>
      </c>
      <c r="W1862" t="n">
        <v>0.92</v>
      </c>
      <c r="X1862" t="n">
        <v>76.26000000000001</v>
      </c>
      <c r="Y1862">
        <f>VLOOKUP(D1862,$AB$2:$AC$7,2,FALSE)</f>
        <v/>
      </c>
      <c r="Z1862">
        <f>IF(A1862&lt;Y1862,"Yes","No")</f>
        <v/>
      </c>
    </row>
    <row r="1863">
      <c r="A1863" t="n">
        <v>2024</v>
      </c>
      <c r="B1863" t="inlineStr">
        <is>
          <t>Q1</t>
        </is>
      </c>
      <c r="C1863" t="inlineStr">
        <is>
          <t>South America</t>
        </is>
      </c>
      <c r="D1863" t="inlineStr">
        <is>
          <t>Model X</t>
        </is>
      </c>
      <c r="E1863" t="n">
        <v>1524</v>
      </c>
      <c r="F1863" t="n">
        <v>76200.77</v>
      </c>
      <c r="G1863" t="n">
        <v>1</v>
      </c>
      <c r="H1863" t="inlineStr">
        <is>
          <t>Long Range</t>
        </is>
      </c>
      <c r="I1863" t="inlineStr">
        <is>
          <t>AWD</t>
        </is>
      </c>
      <c r="J1863" t="inlineStr">
        <is>
          <t>Silver</t>
        </is>
      </c>
      <c r="K1863" t="n">
        <v>434</v>
      </c>
      <c r="L1863" t="n">
        <v>62</v>
      </c>
      <c r="M1863" t="n">
        <v>16.91</v>
      </c>
      <c r="N1863" t="n">
        <v>770.13</v>
      </c>
      <c r="O1863" t="n">
        <v>3.75</v>
      </c>
      <c r="P1863" t="n">
        <v>6</v>
      </c>
      <c r="Q1863" t="n">
        <v>1</v>
      </c>
      <c r="R1863" t="n">
        <v>2021.1</v>
      </c>
      <c r="S1863" t="b">
        <v>0</v>
      </c>
      <c r="T1863" t="n">
        <v>1274701</v>
      </c>
      <c r="U1863" t="n">
        <v>10</v>
      </c>
      <c r="V1863" t="n">
        <v>0.0425</v>
      </c>
      <c r="W1863" t="n">
        <v>1.14</v>
      </c>
      <c r="X1863" t="n">
        <v>71.09</v>
      </c>
      <c r="Y1863">
        <f>VLOOKUP(D1863,$AB$2:$AC$7,2,FALSE)</f>
        <v/>
      </c>
      <c r="Z1863">
        <f>IF(A1863&lt;Y1863,"Yes","No")</f>
        <v/>
      </c>
    </row>
    <row r="1864">
      <c r="A1864" t="n">
        <v>2012</v>
      </c>
      <c r="B1864" t="inlineStr">
        <is>
          <t>Q1</t>
        </is>
      </c>
      <c r="C1864" t="inlineStr">
        <is>
          <t>Europe</t>
        </is>
      </c>
      <c r="D1864" t="inlineStr">
        <is>
          <t>Model X</t>
        </is>
      </c>
      <c r="E1864" t="n">
        <v>1336</v>
      </c>
      <c r="F1864" t="n">
        <v>56495.82</v>
      </c>
      <c r="G1864" t="n">
        <v>5</v>
      </c>
      <c r="H1864" t="inlineStr">
        <is>
          <t>Standard</t>
        </is>
      </c>
      <c r="I1864" t="inlineStr">
        <is>
          <t>RWD</t>
        </is>
      </c>
      <c r="J1864" t="inlineStr">
        <is>
          <t>Silver</t>
        </is>
      </c>
      <c r="K1864" t="n">
        <v>611</v>
      </c>
      <c r="L1864" t="n">
        <v>60</v>
      </c>
      <c r="M1864" t="n">
        <v>21.07</v>
      </c>
      <c r="N1864" t="n">
        <v>3287.35</v>
      </c>
      <c r="O1864" t="n">
        <v>4.02</v>
      </c>
      <c r="P1864" t="n">
        <v>6</v>
      </c>
      <c r="Q1864" t="n">
        <v>0</v>
      </c>
      <c r="R1864" t="n">
        <v>2021.1</v>
      </c>
      <c r="S1864" t="b">
        <v>1</v>
      </c>
      <c r="T1864" t="n">
        <v>4550981</v>
      </c>
      <c r="U1864" t="n">
        <v>12</v>
      </c>
      <c r="V1864" t="n">
        <v>0.0341</v>
      </c>
      <c r="W1864" t="n">
        <v>1.53</v>
      </c>
      <c r="X1864" t="n">
        <v>70.77</v>
      </c>
      <c r="Y1864">
        <f>VLOOKUP(D1864,$AB$2:$AC$7,2,FALSE)</f>
        <v/>
      </c>
      <c r="Z1864">
        <f>IF(A1864&lt;Y1864,"Yes","No")</f>
        <v/>
      </c>
    </row>
    <row r="1865">
      <c r="A1865" t="n">
        <v>2013</v>
      </c>
      <c r="B1865" t="inlineStr">
        <is>
          <t>Q3</t>
        </is>
      </c>
      <c r="C1865" t="inlineStr">
        <is>
          <t>North America</t>
        </is>
      </c>
      <c r="D1865" t="inlineStr">
        <is>
          <t>Model 3</t>
        </is>
      </c>
      <c r="E1865" t="n">
        <v>230</v>
      </c>
      <c r="F1865" t="n">
        <v>117260.75</v>
      </c>
      <c r="G1865" t="n">
        <v>59</v>
      </c>
      <c r="H1865" t="inlineStr">
        <is>
          <t>Standard</t>
        </is>
      </c>
      <c r="I1865" t="inlineStr">
        <is>
          <t>RWD</t>
        </is>
      </c>
      <c r="J1865" t="inlineStr">
        <is>
          <t>White</t>
        </is>
      </c>
      <c r="K1865" t="n">
        <v>673</v>
      </c>
      <c r="L1865" t="n">
        <v>89</v>
      </c>
      <c r="M1865" t="n">
        <v>13.5</v>
      </c>
      <c r="N1865" t="n">
        <v>241.43</v>
      </c>
      <c r="O1865" t="n">
        <v>4.97</v>
      </c>
      <c r="P1865" t="n">
        <v>4</v>
      </c>
      <c r="Q1865" t="n">
        <v>2</v>
      </c>
      <c r="R1865" t="n">
        <v>2023.1</v>
      </c>
      <c r="S1865" t="b">
        <v>1</v>
      </c>
      <c r="T1865" t="n">
        <v>1914199</v>
      </c>
      <c r="U1865" t="n">
        <v>4</v>
      </c>
      <c r="V1865" t="n">
        <v>0.0526</v>
      </c>
      <c r="W1865" t="n">
        <v>1.9</v>
      </c>
      <c r="X1865" t="n">
        <v>64.36</v>
      </c>
      <c r="Y1865">
        <f>VLOOKUP(D1865,$AB$2:$AC$7,2,FALSE)</f>
        <v/>
      </c>
      <c r="Z1865">
        <f>IF(A1865&lt;Y1865,"Yes","No")</f>
        <v/>
      </c>
    </row>
    <row r="1866">
      <c r="A1866" t="n">
        <v>2024</v>
      </c>
      <c r="B1866" t="inlineStr">
        <is>
          <t>Q4</t>
        </is>
      </c>
      <c r="C1866" t="inlineStr">
        <is>
          <t>South America</t>
        </is>
      </c>
      <c r="D1866" t="inlineStr">
        <is>
          <t>Cybertruck</t>
        </is>
      </c>
      <c r="E1866" t="n">
        <v>4833</v>
      </c>
      <c r="F1866" t="n">
        <v>57544.41</v>
      </c>
      <c r="G1866" t="n">
        <v>14</v>
      </c>
      <c r="H1866" t="inlineStr">
        <is>
          <t>Performance</t>
        </is>
      </c>
      <c r="I1866" t="inlineStr">
        <is>
          <t>RWD</t>
        </is>
      </c>
      <c r="J1866" t="inlineStr">
        <is>
          <t>Silver</t>
        </is>
      </c>
      <c r="K1866" t="n">
        <v>453</v>
      </c>
      <c r="L1866" t="n">
        <v>32</v>
      </c>
      <c r="M1866" t="n">
        <v>19.81</v>
      </c>
      <c r="N1866" t="n">
        <v>3874.65</v>
      </c>
      <c r="O1866" t="n">
        <v>4.05</v>
      </c>
      <c r="P1866" t="n">
        <v>5</v>
      </c>
      <c r="Q1866" t="n">
        <v>0</v>
      </c>
      <c r="R1866" t="n">
        <v>2023.1</v>
      </c>
      <c r="S1866" t="b">
        <v>0</v>
      </c>
      <c r="T1866" t="n">
        <v>3562616</v>
      </c>
      <c r="U1866" t="n">
        <v>5</v>
      </c>
      <c r="V1866" t="n">
        <v>0.047</v>
      </c>
      <c r="W1866" t="n">
        <v>0.59</v>
      </c>
      <c r="X1866" t="n">
        <v>62.43</v>
      </c>
      <c r="Y1866">
        <f>VLOOKUP(D1866,$AB$2:$AC$7,2,FALSE)</f>
        <v/>
      </c>
      <c r="Z1866">
        <f>IF(A1866&lt;Y1866,"Yes","No")</f>
        <v/>
      </c>
    </row>
    <row r="1867">
      <c r="A1867" t="n">
        <v>2016</v>
      </c>
      <c r="B1867" t="inlineStr">
        <is>
          <t>Q1</t>
        </is>
      </c>
      <c r="C1867" t="inlineStr">
        <is>
          <t>Europe</t>
        </is>
      </c>
      <c r="D1867" t="inlineStr">
        <is>
          <t>Model Y</t>
        </is>
      </c>
      <c r="E1867" t="n">
        <v>1730</v>
      </c>
      <c r="F1867" t="n">
        <v>86828.24000000001</v>
      </c>
      <c r="G1867" t="n">
        <v>19</v>
      </c>
      <c r="H1867" t="inlineStr">
        <is>
          <t>Performance</t>
        </is>
      </c>
      <c r="I1867" t="inlineStr">
        <is>
          <t>AWD</t>
        </is>
      </c>
      <c r="J1867" t="inlineStr">
        <is>
          <t>Black</t>
        </is>
      </c>
      <c r="K1867" t="n">
        <v>680</v>
      </c>
      <c r="L1867" t="n">
        <v>50</v>
      </c>
      <c r="M1867" t="n">
        <v>19.42</v>
      </c>
      <c r="N1867" t="n">
        <v>3681.79</v>
      </c>
      <c r="O1867" t="n">
        <v>4.35</v>
      </c>
      <c r="P1867" t="n">
        <v>8</v>
      </c>
      <c r="Q1867" t="n">
        <v>3</v>
      </c>
      <c r="R1867" t="n">
        <v>2024.5</v>
      </c>
      <c r="S1867" t="b">
        <v>1</v>
      </c>
      <c r="T1867" t="n">
        <v>3712799</v>
      </c>
      <c r="U1867" t="n">
        <v>6</v>
      </c>
      <c r="V1867" t="n">
        <v>0.0287</v>
      </c>
      <c r="W1867" t="n">
        <v>1.36</v>
      </c>
      <c r="X1867" t="n">
        <v>80.34</v>
      </c>
      <c r="Y1867">
        <f>VLOOKUP(D1867,$AB$2:$AC$7,2,FALSE)</f>
        <v/>
      </c>
      <c r="Z1867">
        <f>IF(A1867&lt;Y1867,"Yes","No")</f>
        <v/>
      </c>
    </row>
    <row r="1868">
      <c r="A1868" t="n">
        <v>2015</v>
      </c>
      <c r="B1868" t="inlineStr">
        <is>
          <t>Q1</t>
        </is>
      </c>
      <c r="C1868" t="inlineStr">
        <is>
          <t>Asia</t>
        </is>
      </c>
      <c r="D1868" t="inlineStr">
        <is>
          <t>Semi</t>
        </is>
      </c>
      <c r="E1868" t="n">
        <v>2631</v>
      </c>
      <c r="F1868" t="n">
        <v>93903.61</v>
      </c>
      <c r="G1868" t="n">
        <v>38</v>
      </c>
      <c r="H1868" t="inlineStr">
        <is>
          <t>Long Range</t>
        </is>
      </c>
      <c r="I1868" t="inlineStr">
        <is>
          <t>RWD</t>
        </is>
      </c>
      <c r="J1868" t="inlineStr">
        <is>
          <t>Blue</t>
        </is>
      </c>
      <c r="K1868" t="n">
        <v>632</v>
      </c>
      <c r="L1868" t="n">
        <v>78</v>
      </c>
      <c r="M1868" t="n">
        <v>14.41</v>
      </c>
      <c r="N1868" t="n">
        <v>1482.45</v>
      </c>
      <c r="O1868" t="n">
        <v>4.31</v>
      </c>
      <c r="P1868" t="n">
        <v>6</v>
      </c>
      <c r="Q1868" t="n">
        <v>0</v>
      </c>
      <c r="R1868" t="n">
        <v>2022.7</v>
      </c>
      <c r="S1868" t="b">
        <v>1</v>
      </c>
      <c r="T1868" t="n">
        <v>1004199</v>
      </c>
      <c r="U1868" t="n">
        <v>10</v>
      </c>
      <c r="V1868" t="n">
        <v>0.0503</v>
      </c>
      <c r="W1868" t="n">
        <v>1.6</v>
      </c>
      <c r="X1868" t="n">
        <v>74.37</v>
      </c>
      <c r="Y1868">
        <f>VLOOKUP(D1868,$AB$2:$AC$7,2,FALSE)</f>
        <v/>
      </c>
      <c r="Z1868">
        <f>IF(A1868&lt;Y1868,"Yes","No")</f>
        <v/>
      </c>
    </row>
    <row r="1869">
      <c r="A1869" t="n">
        <v>2018</v>
      </c>
      <c r="B1869" t="inlineStr">
        <is>
          <t>Q2</t>
        </is>
      </c>
      <c r="C1869" t="inlineStr">
        <is>
          <t>Europe</t>
        </is>
      </c>
      <c r="D1869" t="inlineStr">
        <is>
          <t>Semi</t>
        </is>
      </c>
      <c r="E1869" t="n">
        <v>429</v>
      </c>
      <c r="F1869" t="n">
        <v>45941.86</v>
      </c>
      <c r="G1869" t="n">
        <v>0</v>
      </c>
      <c r="H1869" t="inlineStr">
        <is>
          <t>Long Range</t>
        </is>
      </c>
      <c r="I1869" t="inlineStr">
        <is>
          <t>AWD</t>
        </is>
      </c>
      <c r="J1869" t="inlineStr">
        <is>
          <t>Black</t>
        </is>
      </c>
      <c r="K1869" t="n">
        <v>473</v>
      </c>
      <c r="L1869" t="n">
        <v>82</v>
      </c>
      <c r="M1869" t="n">
        <v>15.66</v>
      </c>
      <c r="N1869" t="n">
        <v>659.0700000000001</v>
      </c>
      <c r="O1869" t="n">
        <v>4.45</v>
      </c>
      <c r="P1869" t="n">
        <v>5</v>
      </c>
      <c r="Q1869" t="n">
        <v>0</v>
      </c>
      <c r="R1869" t="n">
        <v>2024.7</v>
      </c>
      <c r="S1869" t="b">
        <v>1</v>
      </c>
      <c r="T1869" t="n">
        <v>1317822</v>
      </c>
      <c r="U1869" t="n">
        <v>7</v>
      </c>
      <c r="V1869" t="n">
        <v>0.0124</v>
      </c>
      <c r="W1869" t="n">
        <v>1.95</v>
      </c>
      <c r="X1869" t="n">
        <v>79.77</v>
      </c>
      <c r="Y1869">
        <f>VLOOKUP(D1869,$AB$2:$AC$7,2,FALSE)</f>
        <v/>
      </c>
      <c r="Z1869">
        <f>IF(A1869&lt;Y1869,"Yes","No")</f>
        <v/>
      </c>
    </row>
    <row r="1870">
      <c r="A1870" t="n">
        <v>2019</v>
      </c>
      <c r="B1870" t="inlineStr">
        <is>
          <t>Q1</t>
        </is>
      </c>
      <c r="C1870" t="inlineStr">
        <is>
          <t>Asia</t>
        </is>
      </c>
      <c r="D1870" t="inlineStr">
        <is>
          <t>Model S</t>
        </is>
      </c>
      <c r="E1870" t="n">
        <v>248</v>
      </c>
      <c r="F1870" t="n">
        <v>101148.03</v>
      </c>
      <c r="G1870" t="n">
        <v>15</v>
      </c>
      <c r="H1870" t="inlineStr">
        <is>
          <t>Performance</t>
        </is>
      </c>
      <c r="I1870" t="inlineStr">
        <is>
          <t>RWD</t>
        </is>
      </c>
      <c r="J1870" t="inlineStr">
        <is>
          <t>Blue</t>
        </is>
      </c>
      <c r="K1870" t="n">
        <v>569</v>
      </c>
      <c r="L1870" t="n">
        <v>62</v>
      </c>
      <c r="M1870" t="n">
        <v>16.64</v>
      </c>
      <c r="N1870" t="n">
        <v>143.89</v>
      </c>
      <c r="O1870" t="n">
        <v>4.25</v>
      </c>
      <c r="P1870" t="n">
        <v>5</v>
      </c>
      <c r="Q1870" t="n">
        <v>3</v>
      </c>
      <c r="R1870" t="n">
        <v>2020.12</v>
      </c>
      <c r="S1870" t="b">
        <v>1</v>
      </c>
      <c r="T1870" t="n">
        <v>3993226</v>
      </c>
      <c r="U1870" t="n">
        <v>7</v>
      </c>
      <c r="V1870" t="n">
        <v>0.0529</v>
      </c>
      <c r="W1870" t="n">
        <v>1.51</v>
      </c>
      <c r="X1870" t="n">
        <v>72.55</v>
      </c>
      <c r="Y1870">
        <f>VLOOKUP(D1870,$AB$2:$AC$7,2,FALSE)</f>
        <v/>
      </c>
      <c r="Z1870">
        <f>IF(A1870&lt;Y1870,"Yes","No")</f>
        <v/>
      </c>
    </row>
    <row r="1871">
      <c r="A1871" t="n">
        <v>2018</v>
      </c>
      <c r="B1871" t="inlineStr">
        <is>
          <t>Q2</t>
        </is>
      </c>
      <c r="C1871" t="inlineStr">
        <is>
          <t>Australia</t>
        </is>
      </c>
      <c r="D1871" t="inlineStr">
        <is>
          <t>Cybertruck</t>
        </is>
      </c>
      <c r="E1871" t="n">
        <v>287</v>
      </c>
      <c r="F1871" t="n">
        <v>65338.48</v>
      </c>
      <c r="G1871" t="n">
        <v>31</v>
      </c>
      <c r="H1871" t="inlineStr">
        <is>
          <t>Standard</t>
        </is>
      </c>
      <c r="I1871" t="inlineStr">
        <is>
          <t>AWD</t>
        </is>
      </c>
      <c r="J1871" t="inlineStr">
        <is>
          <t>Silver</t>
        </is>
      </c>
      <c r="K1871" t="n">
        <v>619</v>
      </c>
      <c r="L1871" t="n">
        <v>39</v>
      </c>
      <c r="M1871" t="n">
        <v>15.41</v>
      </c>
      <c r="N1871" t="n">
        <v>650.3</v>
      </c>
      <c r="O1871" t="n">
        <v>3.56</v>
      </c>
      <c r="P1871" t="n">
        <v>8</v>
      </c>
      <c r="Q1871" t="n">
        <v>0</v>
      </c>
      <c r="R1871" t="n">
        <v>2020.1</v>
      </c>
      <c r="S1871" t="b">
        <v>1</v>
      </c>
      <c r="T1871" t="n">
        <v>2571323</v>
      </c>
      <c r="U1871" t="n">
        <v>9</v>
      </c>
      <c r="V1871" t="n">
        <v>0.055</v>
      </c>
      <c r="W1871" t="n">
        <v>1.76</v>
      </c>
      <c r="X1871" t="n">
        <v>74</v>
      </c>
      <c r="Y1871">
        <f>VLOOKUP(D1871,$AB$2:$AC$7,2,FALSE)</f>
        <v/>
      </c>
      <c r="Z1871">
        <f>IF(A1871&lt;Y1871,"Yes","No")</f>
        <v/>
      </c>
    </row>
    <row r="1872">
      <c r="A1872" t="n">
        <v>2013</v>
      </c>
      <c r="B1872" t="inlineStr">
        <is>
          <t>Q4</t>
        </is>
      </c>
      <c r="C1872" t="inlineStr">
        <is>
          <t>Europe</t>
        </is>
      </c>
      <c r="D1872" t="inlineStr">
        <is>
          <t>Model S</t>
        </is>
      </c>
      <c r="E1872" t="n">
        <v>76</v>
      </c>
      <c r="F1872" t="n">
        <v>82892.69</v>
      </c>
      <c r="G1872" t="n">
        <v>42</v>
      </c>
      <c r="H1872" t="inlineStr">
        <is>
          <t>Performance</t>
        </is>
      </c>
      <c r="I1872" t="inlineStr">
        <is>
          <t>RWD</t>
        </is>
      </c>
      <c r="J1872" t="inlineStr">
        <is>
          <t>Black</t>
        </is>
      </c>
      <c r="K1872" t="n">
        <v>556</v>
      </c>
      <c r="L1872" t="n">
        <v>59</v>
      </c>
      <c r="M1872" t="n">
        <v>19.33</v>
      </c>
      <c r="N1872" t="n">
        <v>187.75</v>
      </c>
      <c r="O1872" t="n">
        <v>3.76</v>
      </c>
      <c r="P1872" t="n">
        <v>4</v>
      </c>
      <c r="Q1872" t="n">
        <v>3</v>
      </c>
      <c r="R1872" t="n">
        <v>2024.1</v>
      </c>
      <c r="S1872" t="b">
        <v>0</v>
      </c>
      <c r="T1872" t="n">
        <v>194567</v>
      </c>
      <c r="U1872" t="n">
        <v>2</v>
      </c>
      <c r="V1872" t="n">
        <v>0.0441</v>
      </c>
      <c r="W1872" t="n">
        <v>2.27</v>
      </c>
      <c r="X1872" t="n">
        <v>71.97</v>
      </c>
      <c r="Y1872">
        <f>VLOOKUP(D1872,$AB$2:$AC$7,2,FALSE)</f>
        <v/>
      </c>
      <c r="Z1872">
        <f>IF(A1872&lt;Y1872,"Yes","No")</f>
        <v/>
      </c>
    </row>
    <row r="1873">
      <c r="A1873" t="n">
        <v>2024</v>
      </c>
      <c r="B1873" t="inlineStr">
        <is>
          <t>Q1</t>
        </is>
      </c>
      <c r="C1873" t="inlineStr">
        <is>
          <t>Europe</t>
        </is>
      </c>
      <c r="D1873" t="inlineStr">
        <is>
          <t>Model Y</t>
        </is>
      </c>
      <c r="E1873" t="n">
        <v>4866</v>
      </c>
      <c r="F1873" t="n">
        <v>38990.73</v>
      </c>
      <c r="G1873" t="n">
        <v>46</v>
      </c>
      <c r="H1873" t="inlineStr">
        <is>
          <t>Standard</t>
        </is>
      </c>
      <c r="I1873" t="inlineStr">
        <is>
          <t>RWD</t>
        </is>
      </c>
      <c r="J1873" t="inlineStr">
        <is>
          <t>Black</t>
        </is>
      </c>
      <c r="K1873" t="n">
        <v>628</v>
      </c>
      <c r="L1873" t="n">
        <v>73</v>
      </c>
      <c r="M1873" t="n">
        <v>16.2</v>
      </c>
      <c r="N1873" t="n">
        <v>5571.82</v>
      </c>
      <c r="O1873" t="n">
        <v>4.89</v>
      </c>
      <c r="P1873" t="n">
        <v>8</v>
      </c>
      <c r="Q1873" t="n">
        <v>0</v>
      </c>
      <c r="R1873" t="n">
        <v>2023.1</v>
      </c>
      <c r="S1873" t="b">
        <v>1</v>
      </c>
      <c r="T1873" t="n">
        <v>1415189</v>
      </c>
      <c r="U1873" t="n">
        <v>12</v>
      </c>
      <c r="V1873" t="n">
        <v>0.0357</v>
      </c>
      <c r="W1873" t="n">
        <v>1.83</v>
      </c>
      <c r="X1873" t="n">
        <v>78.29000000000001</v>
      </c>
      <c r="Y1873">
        <f>VLOOKUP(D1873,$AB$2:$AC$7,2,FALSE)</f>
        <v/>
      </c>
      <c r="Z1873">
        <f>IF(A1873&lt;Y1873,"Yes","No")</f>
        <v/>
      </c>
    </row>
    <row r="1874">
      <c r="A1874" t="n">
        <v>2019</v>
      </c>
      <c r="B1874" t="inlineStr">
        <is>
          <t>Q4</t>
        </is>
      </c>
      <c r="C1874" t="inlineStr">
        <is>
          <t>North America</t>
        </is>
      </c>
      <c r="D1874" t="inlineStr">
        <is>
          <t>Model 3</t>
        </is>
      </c>
      <c r="E1874" t="n">
        <v>1060</v>
      </c>
      <c r="F1874" t="n">
        <v>38509.45</v>
      </c>
      <c r="G1874" t="n">
        <v>3</v>
      </c>
      <c r="H1874" t="inlineStr">
        <is>
          <t>Performance</t>
        </is>
      </c>
      <c r="I1874" t="inlineStr">
        <is>
          <t>AWD</t>
        </is>
      </c>
      <c r="J1874" t="inlineStr">
        <is>
          <t>White</t>
        </is>
      </c>
      <c r="K1874" t="n">
        <v>636</v>
      </c>
      <c r="L1874" t="n">
        <v>76</v>
      </c>
      <c r="M1874" t="n">
        <v>13.05</v>
      </c>
      <c r="N1874" t="n">
        <v>1687.66</v>
      </c>
      <c r="O1874" t="n">
        <v>4.78</v>
      </c>
      <c r="P1874" t="n">
        <v>6</v>
      </c>
      <c r="Q1874" t="n">
        <v>2</v>
      </c>
      <c r="R1874" t="n">
        <v>2024.8</v>
      </c>
      <c r="S1874" t="b">
        <v>1</v>
      </c>
      <c r="T1874" t="n">
        <v>2379404</v>
      </c>
      <c r="U1874" t="n">
        <v>10</v>
      </c>
      <c r="V1874" t="n">
        <v>0.0322</v>
      </c>
      <c r="W1874" t="n">
        <v>1.01</v>
      </c>
      <c r="X1874" t="n">
        <v>87</v>
      </c>
      <c r="Y1874">
        <f>VLOOKUP(D1874,$AB$2:$AC$7,2,FALSE)</f>
        <v/>
      </c>
      <c r="Z1874">
        <f>IF(A1874&lt;Y1874,"Yes","No")</f>
        <v/>
      </c>
    </row>
    <row r="1875">
      <c r="A1875" t="n">
        <v>2017</v>
      </c>
      <c r="B1875" t="inlineStr">
        <is>
          <t>Q4</t>
        </is>
      </c>
      <c r="C1875" t="inlineStr">
        <is>
          <t>Australia</t>
        </is>
      </c>
      <c r="D1875" t="inlineStr">
        <is>
          <t>Semi</t>
        </is>
      </c>
      <c r="E1875" t="n">
        <v>1159</v>
      </c>
      <c r="F1875" t="n">
        <v>67885.63</v>
      </c>
      <c r="G1875" t="n">
        <v>11</v>
      </c>
      <c r="H1875" t="inlineStr">
        <is>
          <t>Standard</t>
        </is>
      </c>
      <c r="I1875" t="inlineStr">
        <is>
          <t>AWD</t>
        </is>
      </c>
      <c r="J1875" t="inlineStr">
        <is>
          <t>Red</t>
        </is>
      </c>
      <c r="K1875" t="n">
        <v>693</v>
      </c>
      <c r="L1875" t="n">
        <v>62</v>
      </c>
      <c r="M1875" t="n">
        <v>21.25</v>
      </c>
      <c r="N1875" t="n">
        <v>1558.52</v>
      </c>
      <c r="O1875" t="n">
        <v>4.13</v>
      </c>
      <c r="P1875" t="n">
        <v>8</v>
      </c>
      <c r="Q1875" t="n">
        <v>2</v>
      </c>
      <c r="R1875" t="n">
        <v>2020.6</v>
      </c>
      <c r="S1875" t="b">
        <v>0</v>
      </c>
      <c r="T1875" t="n">
        <v>2647559</v>
      </c>
      <c r="U1875" t="n">
        <v>5</v>
      </c>
      <c r="V1875" t="n">
        <v>0.06759999999999999</v>
      </c>
      <c r="W1875" t="n">
        <v>1.56</v>
      </c>
      <c r="X1875" t="n">
        <v>81.73999999999999</v>
      </c>
      <c r="Y1875">
        <f>VLOOKUP(D1875,$AB$2:$AC$7,2,FALSE)</f>
        <v/>
      </c>
      <c r="Z1875">
        <f>IF(A1875&lt;Y1875,"Yes","No")</f>
        <v/>
      </c>
    </row>
    <row r="1876">
      <c r="A1876" t="n">
        <v>2012</v>
      </c>
      <c r="B1876" t="inlineStr">
        <is>
          <t>Q2</t>
        </is>
      </c>
      <c r="C1876" t="inlineStr">
        <is>
          <t>Australia</t>
        </is>
      </c>
      <c r="D1876" t="inlineStr">
        <is>
          <t>Cybertruck</t>
        </is>
      </c>
      <c r="E1876" t="n">
        <v>1467</v>
      </c>
      <c r="F1876" t="n">
        <v>113399.43</v>
      </c>
      <c r="G1876" t="n">
        <v>41</v>
      </c>
      <c r="H1876" t="inlineStr">
        <is>
          <t>Long Range</t>
        </is>
      </c>
      <c r="I1876" t="inlineStr">
        <is>
          <t>AWD</t>
        </is>
      </c>
      <c r="J1876" t="inlineStr">
        <is>
          <t>Blue</t>
        </is>
      </c>
      <c r="K1876" t="n">
        <v>404</v>
      </c>
      <c r="L1876" t="n">
        <v>38</v>
      </c>
      <c r="M1876" t="n">
        <v>18.02</v>
      </c>
      <c r="N1876" t="n">
        <v>3306.2</v>
      </c>
      <c r="O1876" t="n">
        <v>4.29</v>
      </c>
      <c r="P1876" t="n">
        <v>8</v>
      </c>
      <c r="Q1876" t="n">
        <v>0</v>
      </c>
      <c r="R1876" t="n">
        <v>2022.2</v>
      </c>
      <c r="S1876" t="b">
        <v>0</v>
      </c>
      <c r="T1876" t="n">
        <v>2784632</v>
      </c>
      <c r="U1876" t="n">
        <v>9</v>
      </c>
      <c r="V1876" t="n">
        <v>0.0586</v>
      </c>
      <c r="W1876" t="n">
        <v>1.77</v>
      </c>
      <c r="X1876" t="n">
        <v>67.05</v>
      </c>
      <c r="Y1876">
        <f>VLOOKUP(D1876,$AB$2:$AC$7,2,FALSE)</f>
        <v/>
      </c>
      <c r="Z1876">
        <f>IF(A1876&lt;Y1876,"Yes","No")</f>
        <v/>
      </c>
    </row>
    <row r="1877">
      <c r="A1877" t="n">
        <v>2023</v>
      </c>
      <c r="B1877" t="inlineStr">
        <is>
          <t>Q4</t>
        </is>
      </c>
      <c r="C1877" t="inlineStr">
        <is>
          <t>Europe</t>
        </is>
      </c>
      <c r="D1877" t="inlineStr">
        <is>
          <t>Semi</t>
        </is>
      </c>
      <c r="E1877" t="n">
        <v>687</v>
      </c>
      <c r="F1877" t="n">
        <v>59114.95</v>
      </c>
      <c r="G1877" t="n">
        <v>10</v>
      </c>
      <c r="H1877" t="inlineStr">
        <is>
          <t>Standard</t>
        </is>
      </c>
      <c r="I1877" t="inlineStr">
        <is>
          <t>RWD</t>
        </is>
      </c>
      <c r="J1877" t="inlineStr">
        <is>
          <t>Green</t>
        </is>
      </c>
      <c r="K1877" t="n">
        <v>523</v>
      </c>
      <c r="L1877" t="n">
        <v>54</v>
      </c>
      <c r="M1877" t="n">
        <v>24.79</v>
      </c>
      <c r="N1877" t="n">
        <v>714.62</v>
      </c>
      <c r="O1877" t="n">
        <v>4.39</v>
      </c>
      <c r="P1877" t="n">
        <v>6</v>
      </c>
      <c r="Q1877" t="n">
        <v>2</v>
      </c>
      <c r="R1877" t="n">
        <v>2021.4</v>
      </c>
      <c r="S1877" t="b">
        <v>1</v>
      </c>
      <c r="T1877" t="n">
        <v>4267297</v>
      </c>
      <c r="U1877" t="n">
        <v>10</v>
      </c>
      <c r="V1877" t="n">
        <v>0.0243</v>
      </c>
      <c r="W1877" t="n">
        <v>0.95</v>
      </c>
      <c r="X1877" t="n">
        <v>84.22</v>
      </c>
      <c r="Y1877">
        <f>VLOOKUP(D1877,$AB$2:$AC$7,2,FALSE)</f>
        <v/>
      </c>
      <c r="Z1877">
        <f>IF(A1877&lt;Y1877,"Yes","No")</f>
        <v/>
      </c>
    </row>
    <row r="1878">
      <c r="A1878" t="n">
        <v>2017</v>
      </c>
      <c r="B1878" t="inlineStr">
        <is>
          <t>Q4</t>
        </is>
      </c>
      <c r="C1878" t="inlineStr">
        <is>
          <t>Australia</t>
        </is>
      </c>
      <c r="D1878" t="inlineStr">
        <is>
          <t>Model Y</t>
        </is>
      </c>
      <c r="E1878" t="n">
        <v>1154</v>
      </c>
      <c r="F1878" t="n">
        <v>37722.22</v>
      </c>
      <c r="G1878" t="n">
        <v>19</v>
      </c>
      <c r="H1878" t="inlineStr">
        <is>
          <t>Standard</t>
        </is>
      </c>
      <c r="I1878" t="inlineStr">
        <is>
          <t>RWD</t>
        </is>
      </c>
      <c r="J1878" t="inlineStr">
        <is>
          <t>Silver</t>
        </is>
      </c>
      <c r="K1878" t="n">
        <v>490</v>
      </c>
      <c r="L1878" t="n">
        <v>75</v>
      </c>
      <c r="M1878" t="n">
        <v>23.99</v>
      </c>
      <c r="N1878" t="n">
        <v>1161.08</v>
      </c>
      <c r="O1878" t="n">
        <v>3.52</v>
      </c>
      <c r="P1878" t="n">
        <v>4</v>
      </c>
      <c r="Q1878" t="n">
        <v>2</v>
      </c>
      <c r="R1878" t="n">
        <v>2023.8</v>
      </c>
      <c r="S1878" t="b">
        <v>0</v>
      </c>
      <c r="T1878" t="n">
        <v>3508143</v>
      </c>
      <c r="U1878" t="n">
        <v>8</v>
      </c>
      <c r="V1878" t="n">
        <v>0.0225</v>
      </c>
      <c r="W1878" t="n">
        <v>1.7</v>
      </c>
      <c r="X1878" t="n">
        <v>80.94</v>
      </c>
      <c r="Y1878">
        <f>VLOOKUP(D1878,$AB$2:$AC$7,2,FALSE)</f>
        <v/>
      </c>
      <c r="Z1878">
        <f>IF(A1878&lt;Y1878,"Yes","No")</f>
        <v/>
      </c>
    </row>
    <row r="1879">
      <c r="A1879" t="n">
        <v>2020</v>
      </c>
      <c r="B1879" t="inlineStr">
        <is>
          <t>Q3</t>
        </is>
      </c>
      <c r="C1879" t="inlineStr">
        <is>
          <t>Australia</t>
        </is>
      </c>
      <c r="D1879" t="inlineStr">
        <is>
          <t>Model X</t>
        </is>
      </c>
      <c r="E1879" t="n">
        <v>1075</v>
      </c>
      <c r="F1879" t="n">
        <v>61868.12</v>
      </c>
      <c r="G1879" t="n">
        <v>21</v>
      </c>
      <c r="H1879" t="inlineStr">
        <is>
          <t>Performance</t>
        </is>
      </c>
      <c r="I1879" t="inlineStr">
        <is>
          <t>RWD</t>
        </is>
      </c>
      <c r="J1879" t="inlineStr">
        <is>
          <t>Black</t>
        </is>
      </c>
      <c r="K1879" t="n">
        <v>484</v>
      </c>
      <c r="L1879" t="n">
        <v>51</v>
      </c>
      <c r="M1879" t="n">
        <v>19.75</v>
      </c>
      <c r="N1879" t="n">
        <v>1444.61</v>
      </c>
      <c r="O1879" t="n">
        <v>4.18</v>
      </c>
      <c r="P1879" t="n">
        <v>5</v>
      </c>
      <c r="Q1879" t="n">
        <v>0</v>
      </c>
      <c r="R1879" t="n">
        <v>2023.3</v>
      </c>
      <c r="S1879" t="b">
        <v>1</v>
      </c>
      <c r="T1879" t="n">
        <v>3623412</v>
      </c>
      <c r="U1879" t="n">
        <v>9</v>
      </c>
      <c r="V1879" t="n">
        <v>0.0654</v>
      </c>
      <c r="W1879" t="n">
        <v>0.59</v>
      </c>
      <c r="X1879" t="n">
        <v>79.98999999999999</v>
      </c>
      <c r="Y1879">
        <f>VLOOKUP(D1879,$AB$2:$AC$7,2,FALSE)</f>
        <v/>
      </c>
      <c r="Z1879">
        <f>IF(A1879&lt;Y1879,"Yes","No")</f>
        <v/>
      </c>
    </row>
    <row r="1880">
      <c r="A1880" t="n">
        <v>2013</v>
      </c>
      <c r="B1880" t="inlineStr">
        <is>
          <t>Q3</t>
        </is>
      </c>
      <c r="C1880" t="inlineStr">
        <is>
          <t>Asia</t>
        </is>
      </c>
      <c r="D1880" t="inlineStr">
        <is>
          <t>Model S</t>
        </is>
      </c>
      <c r="E1880" t="n">
        <v>1915</v>
      </c>
      <c r="F1880" t="n">
        <v>78924.94</v>
      </c>
      <c r="G1880" t="n">
        <v>28</v>
      </c>
      <c r="H1880" t="inlineStr">
        <is>
          <t>Performance</t>
        </is>
      </c>
      <c r="I1880" t="inlineStr">
        <is>
          <t>AWD</t>
        </is>
      </c>
      <c r="J1880" t="inlineStr">
        <is>
          <t>Silver</t>
        </is>
      </c>
      <c r="K1880" t="n">
        <v>558</v>
      </c>
      <c r="L1880" t="n">
        <v>72</v>
      </c>
      <c r="M1880" t="n">
        <v>19.45</v>
      </c>
      <c r="N1880" t="n">
        <v>1794.86</v>
      </c>
      <c r="O1880" t="n">
        <v>3.85</v>
      </c>
      <c r="P1880" t="n">
        <v>5</v>
      </c>
      <c r="Q1880" t="n">
        <v>1</v>
      </c>
      <c r="R1880" t="n">
        <v>2024.11</v>
      </c>
      <c r="S1880" t="b">
        <v>0</v>
      </c>
      <c r="T1880" t="n">
        <v>1256174</v>
      </c>
      <c r="U1880" t="n">
        <v>4</v>
      </c>
      <c r="V1880" t="n">
        <v>0.0422</v>
      </c>
      <c r="W1880" t="n">
        <v>2.26</v>
      </c>
      <c r="X1880" t="n">
        <v>72.7</v>
      </c>
      <c r="Y1880">
        <f>VLOOKUP(D1880,$AB$2:$AC$7,2,FALSE)</f>
        <v/>
      </c>
      <c r="Z1880">
        <f>IF(A1880&lt;Y1880,"Yes","No")</f>
        <v/>
      </c>
    </row>
    <row r="1881">
      <c r="A1881" t="n">
        <v>2020</v>
      </c>
      <c r="B1881" t="inlineStr">
        <is>
          <t>Q4</t>
        </is>
      </c>
      <c r="C1881" t="inlineStr">
        <is>
          <t>Europe</t>
        </is>
      </c>
      <c r="D1881" t="inlineStr">
        <is>
          <t>Cybertruck</t>
        </is>
      </c>
      <c r="E1881" t="n">
        <v>3427</v>
      </c>
      <c r="F1881" t="n">
        <v>110942.39</v>
      </c>
      <c r="G1881" t="n">
        <v>5</v>
      </c>
      <c r="H1881" t="inlineStr">
        <is>
          <t>Standard</t>
        </is>
      </c>
      <c r="I1881" t="inlineStr">
        <is>
          <t>AWD</t>
        </is>
      </c>
      <c r="J1881" t="inlineStr">
        <is>
          <t>White</t>
        </is>
      </c>
      <c r="K1881" t="n">
        <v>555</v>
      </c>
      <c r="L1881" t="n">
        <v>53</v>
      </c>
      <c r="M1881" t="n">
        <v>18.97</v>
      </c>
      <c r="N1881" t="n">
        <v>6109.83</v>
      </c>
      <c r="O1881" t="n">
        <v>3.58</v>
      </c>
      <c r="P1881" t="n">
        <v>6</v>
      </c>
      <c r="Q1881" t="n">
        <v>1</v>
      </c>
      <c r="R1881" t="n">
        <v>2023.11</v>
      </c>
      <c r="S1881" t="b">
        <v>1</v>
      </c>
      <c r="T1881" t="n">
        <v>2661935</v>
      </c>
      <c r="U1881" t="n">
        <v>11</v>
      </c>
      <c r="V1881" t="n">
        <v>0.0245</v>
      </c>
      <c r="W1881" t="n">
        <v>0.79</v>
      </c>
      <c r="X1881" t="n">
        <v>66.95</v>
      </c>
      <c r="Y1881">
        <f>VLOOKUP(D1881,$AB$2:$AC$7,2,FALSE)</f>
        <v/>
      </c>
      <c r="Z1881">
        <f>IF(A1881&lt;Y1881,"Yes","No")</f>
        <v/>
      </c>
    </row>
    <row r="1882">
      <c r="A1882" t="n">
        <v>2017</v>
      </c>
      <c r="B1882" t="inlineStr">
        <is>
          <t>Q1</t>
        </is>
      </c>
      <c r="C1882" t="inlineStr">
        <is>
          <t>Australia</t>
        </is>
      </c>
      <c r="D1882" t="inlineStr">
        <is>
          <t>Model S</t>
        </is>
      </c>
      <c r="E1882" t="n">
        <v>478</v>
      </c>
      <c r="F1882" t="n">
        <v>97028.35000000001</v>
      </c>
      <c r="G1882" t="n">
        <v>9</v>
      </c>
      <c r="H1882" t="inlineStr">
        <is>
          <t>Long Range</t>
        </is>
      </c>
      <c r="I1882" t="inlineStr">
        <is>
          <t>RWD</t>
        </is>
      </c>
      <c r="J1882" t="inlineStr">
        <is>
          <t>White</t>
        </is>
      </c>
      <c r="K1882" t="n">
        <v>549</v>
      </c>
      <c r="L1882" t="n">
        <v>70</v>
      </c>
      <c r="M1882" t="n">
        <v>22.94</v>
      </c>
      <c r="N1882" t="n">
        <v>798.71</v>
      </c>
      <c r="O1882" t="n">
        <v>4.15</v>
      </c>
      <c r="P1882" t="n">
        <v>6</v>
      </c>
      <c r="Q1882" t="n">
        <v>0</v>
      </c>
      <c r="R1882" t="n">
        <v>2024.2</v>
      </c>
      <c r="S1882" t="b">
        <v>1</v>
      </c>
      <c r="T1882" t="n">
        <v>493901</v>
      </c>
      <c r="U1882" t="n">
        <v>11</v>
      </c>
      <c r="V1882" t="n">
        <v>0.0196</v>
      </c>
      <c r="W1882" t="n">
        <v>1.28</v>
      </c>
      <c r="X1882" t="n">
        <v>85.04000000000001</v>
      </c>
      <c r="Y1882">
        <f>VLOOKUP(D1882,$AB$2:$AC$7,2,FALSE)</f>
        <v/>
      </c>
      <c r="Z1882">
        <f>IF(A1882&lt;Y1882,"Yes","No")</f>
        <v/>
      </c>
    </row>
    <row r="1883">
      <c r="A1883" t="n">
        <v>2021</v>
      </c>
      <c r="B1883" t="inlineStr">
        <is>
          <t>Q3</t>
        </is>
      </c>
      <c r="C1883" t="inlineStr">
        <is>
          <t>Asia</t>
        </is>
      </c>
      <c r="D1883" t="inlineStr">
        <is>
          <t>Model X</t>
        </is>
      </c>
      <c r="E1883" t="n">
        <v>2597</v>
      </c>
      <c r="F1883" t="n">
        <v>114516.82</v>
      </c>
      <c r="G1883" t="n">
        <v>15</v>
      </c>
      <c r="H1883" t="inlineStr">
        <is>
          <t>Standard</t>
        </is>
      </c>
      <c r="I1883" t="inlineStr">
        <is>
          <t>AWD</t>
        </is>
      </c>
      <c r="J1883" t="inlineStr">
        <is>
          <t>Red</t>
        </is>
      </c>
      <c r="K1883" t="n">
        <v>592</v>
      </c>
      <c r="L1883" t="n">
        <v>86</v>
      </c>
      <c r="M1883" t="n">
        <v>19.23</v>
      </c>
      <c r="N1883" t="n">
        <v>2694.47</v>
      </c>
      <c r="O1883" t="n">
        <v>4.1</v>
      </c>
      <c r="P1883" t="n">
        <v>8</v>
      </c>
      <c r="Q1883" t="n">
        <v>2</v>
      </c>
      <c r="R1883" t="n">
        <v>2021.1</v>
      </c>
      <c r="S1883" t="b">
        <v>0</v>
      </c>
      <c r="T1883" t="n">
        <v>1617481</v>
      </c>
      <c r="U1883" t="n">
        <v>4</v>
      </c>
      <c r="V1883" t="n">
        <v>0.0406</v>
      </c>
      <c r="W1883" t="n">
        <v>1.85</v>
      </c>
      <c r="X1883" t="n">
        <v>77.12</v>
      </c>
      <c r="Y1883">
        <f>VLOOKUP(D1883,$AB$2:$AC$7,2,FALSE)</f>
        <v/>
      </c>
      <c r="Z1883">
        <f>IF(A1883&lt;Y1883,"Yes","No")</f>
        <v/>
      </c>
    </row>
    <row r="1884">
      <c r="A1884" t="n">
        <v>2019</v>
      </c>
      <c r="B1884" t="inlineStr">
        <is>
          <t>Q2</t>
        </is>
      </c>
      <c r="C1884" t="inlineStr">
        <is>
          <t>North America</t>
        </is>
      </c>
      <c r="D1884" t="inlineStr">
        <is>
          <t>Model Y</t>
        </is>
      </c>
      <c r="E1884" t="n">
        <v>1674</v>
      </c>
      <c r="F1884" t="n">
        <v>48416.9</v>
      </c>
      <c r="G1884" t="n">
        <v>26</v>
      </c>
      <c r="H1884" t="inlineStr">
        <is>
          <t>Long Range</t>
        </is>
      </c>
      <c r="I1884" t="inlineStr">
        <is>
          <t>RWD</t>
        </is>
      </c>
      <c r="J1884" t="inlineStr">
        <is>
          <t>Blue</t>
        </is>
      </c>
      <c r="K1884" t="n">
        <v>641</v>
      </c>
      <c r="L1884" t="n">
        <v>86</v>
      </c>
      <c r="M1884" t="n">
        <v>14.27</v>
      </c>
      <c r="N1884" t="n">
        <v>3346.27</v>
      </c>
      <c r="O1884" t="n">
        <v>3.59</v>
      </c>
      <c r="P1884" t="n">
        <v>8</v>
      </c>
      <c r="Q1884" t="n">
        <v>0</v>
      </c>
      <c r="R1884" t="n">
        <v>2020.8</v>
      </c>
      <c r="S1884" t="b">
        <v>1</v>
      </c>
      <c r="T1884" t="n">
        <v>1890120</v>
      </c>
      <c r="U1884" t="n">
        <v>12</v>
      </c>
      <c r="V1884" t="n">
        <v>0.0922</v>
      </c>
      <c r="W1884" t="n">
        <v>0.5</v>
      </c>
      <c r="X1884" t="n">
        <v>64.40000000000001</v>
      </c>
      <c r="Y1884">
        <f>VLOOKUP(D1884,$AB$2:$AC$7,2,FALSE)</f>
        <v/>
      </c>
      <c r="Z1884">
        <f>IF(A1884&lt;Y1884,"Yes","No")</f>
        <v/>
      </c>
    </row>
    <row r="1885">
      <c r="A1885" t="n">
        <v>2012</v>
      </c>
      <c r="B1885" t="inlineStr">
        <is>
          <t>Q1</t>
        </is>
      </c>
      <c r="C1885" t="inlineStr">
        <is>
          <t>Australia</t>
        </is>
      </c>
      <c r="D1885" t="inlineStr">
        <is>
          <t>Model X</t>
        </is>
      </c>
      <c r="E1885" t="n">
        <v>1492</v>
      </c>
      <c r="F1885" t="n">
        <v>47554.07</v>
      </c>
      <c r="G1885" t="n">
        <v>29</v>
      </c>
      <c r="H1885" t="inlineStr">
        <is>
          <t>Long Range</t>
        </is>
      </c>
      <c r="I1885" t="inlineStr">
        <is>
          <t>RWD</t>
        </is>
      </c>
      <c r="J1885" t="inlineStr">
        <is>
          <t>Black</t>
        </is>
      </c>
      <c r="K1885" t="n">
        <v>508</v>
      </c>
      <c r="L1885" t="n">
        <v>83</v>
      </c>
      <c r="M1885" t="n">
        <v>19.9</v>
      </c>
      <c r="N1885" t="n">
        <v>1660.91</v>
      </c>
      <c r="O1885" t="n">
        <v>4.51</v>
      </c>
      <c r="P1885" t="n">
        <v>6</v>
      </c>
      <c r="Q1885" t="n">
        <v>1</v>
      </c>
      <c r="R1885" t="n">
        <v>2023.11</v>
      </c>
      <c r="S1885" t="b">
        <v>0</v>
      </c>
      <c r="T1885" t="n">
        <v>610633</v>
      </c>
      <c r="U1885" t="n">
        <v>7</v>
      </c>
      <c r="V1885" t="n">
        <v>0.09760000000000001</v>
      </c>
      <c r="W1885" t="n">
        <v>1.07</v>
      </c>
      <c r="X1885" t="n">
        <v>86.66</v>
      </c>
      <c r="Y1885">
        <f>VLOOKUP(D1885,$AB$2:$AC$7,2,FALSE)</f>
        <v/>
      </c>
      <c r="Z1885">
        <f>IF(A1885&lt;Y1885,"Yes","No")</f>
        <v/>
      </c>
    </row>
    <row r="1886">
      <c r="A1886" t="n">
        <v>2022</v>
      </c>
      <c r="B1886" t="inlineStr">
        <is>
          <t>Q3</t>
        </is>
      </c>
      <c r="C1886" t="inlineStr">
        <is>
          <t>North America</t>
        </is>
      </c>
      <c r="D1886" t="inlineStr">
        <is>
          <t>Model S</t>
        </is>
      </c>
      <c r="E1886" t="n">
        <v>3418</v>
      </c>
      <c r="F1886" t="n">
        <v>36264.27</v>
      </c>
      <c r="G1886" t="n">
        <v>32</v>
      </c>
      <c r="H1886" t="inlineStr">
        <is>
          <t>Long Range</t>
        </is>
      </c>
      <c r="I1886" t="inlineStr">
        <is>
          <t>RWD</t>
        </is>
      </c>
      <c r="J1886" t="inlineStr">
        <is>
          <t>Black</t>
        </is>
      </c>
      <c r="K1886" t="n">
        <v>631</v>
      </c>
      <c r="L1886" t="n">
        <v>64</v>
      </c>
      <c r="M1886" t="n">
        <v>21.65</v>
      </c>
      <c r="N1886" t="n">
        <v>4056.22</v>
      </c>
      <c r="O1886" t="n">
        <v>4.4</v>
      </c>
      <c r="P1886" t="n">
        <v>8</v>
      </c>
      <c r="Q1886" t="n">
        <v>2</v>
      </c>
      <c r="R1886" t="n">
        <v>2024.12</v>
      </c>
      <c r="S1886" t="b">
        <v>1</v>
      </c>
      <c r="T1886" t="n">
        <v>597732</v>
      </c>
      <c r="U1886" t="n">
        <v>6</v>
      </c>
      <c r="V1886" t="n">
        <v>0.0751</v>
      </c>
      <c r="W1886" t="n">
        <v>1.85</v>
      </c>
      <c r="X1886" t="n">
        <v>86.45</v>
      </c>
      <c r="Y1886">
        <f>VLOOKUP(D1886,$AB$2:$AC$7,2,FALSE)</f>
        <v/>
      </c>
      <c r="Z1886">
        <f>IF(A1886&lt;Y1886,"Yes","No")</f>
        <v/>
      </c>
    </row>
    <row r="1887">
      <c r="A1887" t="n">
        <v>2014</v>
      </c>
      <c r="B1887" t="inlineStr">
        <is>
          <t>Q2</t>
        </is>
      </c>
      <c r="C1887" t="inlineStr">
        <is>
          <t>Europe</t>
        </is>
      </c>
      <c r="D1887" t="inlineStr">
        <is>
          <t>Model S</t>
        </is>
      </c>
      <c r="E1887" t="n">
        <v>860</v>
      </c>
      <c r="F1887" t="n">
        <v>68946.13</v>
      </c>
      <c r="G1887" t="n">
        <v>60</v>
      </c>
      <c r="H1887" t="inlineStr">
        <is>
          <t>Long Range</t>
        </is>
      </c>
      <c r="I1887" t="inlineStr">
        <is>
          <t>AWD</t>
        </is>
      </c>
      <c r="J1887" t="inlineStr">
        <is>
          <t>Red</t>
        </is>
      </c>
      <c r="K1887" t="n">
        <v>687</v>
      </c>
      <c r="L1887" t="n">
        <v>45</v>
      </c>
      <c r="M1887" t="n">
        <v>20.53</v>
      </c>
      <c r="N1887" t="n">
        <v>2143.6</v>
      </c>
      <c r="O1887" t="n">
        <v>4.4</v>
      </c>
      <c r="P1887" t="n">
        <v>8</v>
      </c>
      <c r="Q1887" t="n">
        <v>3</v>
      </c>
      <c r="R1887" t="n">
        <v>2022.5</v>
      </c>
      <c r="S1887" t="b">
        <v>0</v>
      </c>
      <c r="T1887" t="n">
        <v>2006424</v>
      </c>
      <c r="U1887" t="n">
        <v>5</v>
      </c>
      <c r="V1887" t="n">
        <v>0.0798</v>
      </c>
      <c r="W1887" t="n">
        <v>2.45</v>
      </c>
      <c r="X1887" t="n">
        <v>77.79000000000001</v>
      </c>
      <c r="Y1887">
        <f>VLOOKUP(D1887,$AB$2:$AC$7,2,FALSE)</f>
        <v/>
      </c>
      <c r="Z1887">
        <f>IF(A1887&lt;Y1887,"Yes","No")</f>
        <v/>
      </c>
    </row>
    <row r="1888">
      <c r="A1888" t="n">
        <v>2016</v>
      </c>
      <c r="B1888" t="inlineStr">
        <is>
          <t>Q3</t>
        </is>
      </c>
      <c r="C1888" t="inlineStr">
        <is>
          <t>Australia</t>
        </is>
      </c>
      <c r="D1888" t="inlineStr">
        <is>
          <t>Cybertruck</t>
        </is>
      </c>
      <c r="E1888" t="n">
        <v>3560</v>
      </c>
      <c r="F1888" t="n">
        <v>115639.49</v>
      </c>
      <c r="G1888" t="n">
        <v>58</v>
      </c>
      <c r="H1888" t="inlineStr">
        <is>
          <t>Long Range</t>
        </is>
      </c>
      <c r="I1888" t="inlineStr">
        <is>
          <t>RWD</t>
        </is>
      </c>
      <c r="J1888" t="inlineStr">
        <is>
          <t>Green</t>
        </is>
      </c>
      <c r="K1888" t="n">
        <v>377</v>
      </c>
      <c r="L1888" t="n">
        <v>48</v>
      </c>
      <c r="M1888" t="n">
        <v>24.97</v>
      </c>
      <c r="N1888" t="n">
        <v>8174.08</v>
      </c>
      <c r="O1888" t="n">
        <v>4.91</v>
      </c>
      <c r="P1888" t="n">
        <v>5</v>
      </c>
      <c r="Q1888" t="n">
        <v>2</v>
      </c>
      <c r="R1888" t="n">
        <v>2023.12</v>
      </c>
      <c r="S1888" t="b">
        <v>0</v>
      </c>
      <c r="T1888" t="n">
        <v>4133465</v>
      </c>
      <c r="U1888" t="n">
        <v>4</v>
      </c>
      <c r="V1888" t="n">
        <v>0.0808</v>
      </c>
      <c r="W1888" t="n">
        <v>2.08</v>
      </c>
      <c r="X1888" t="n">
        <v>84.16</v>
      </c>
      <c r="Y1888">
        <f>VLOOKUP(D1888,$AB$2:$AC$7,2,FALSE)</f>
        <v/>
      </c>
      <c r="Z1888">
        <f>IF(A1888&lt;Y1888,"Yes","No")</f>
        <v/>
      </c>
    </row>
    <row r="1889">
      <c r="A1889" t="n">
        <v>2015</v>
      </c>
      <c r="B1889" t="inlineStr">
        <is>
          <t>Q3</t>
        </is>
      </c>
      <c r="C1889" t="inlineStr">
        <is>
          <t>North America</t>
        </is>
      </c>
      <c r="D1889" t="inlineStr">
        <is>
          <t>Cybertruck</t>
        </is>
      </c>
      <c r="E1889" t="n">
        <v>133</v>
      </c>
      <c r="F1889" t="n">
        <v>69856.12</v>
      </c>
      <c r="G1889" t="n">
        <v>40</v>
      </c>
      <c r="H1889" t="inlineStr">
        <is>
          <t>Performance</t>
        </is>
      </c>
      <c r="I1889" t="inlineStr">
        <is>
          <t>AWD</t>
        </is>
      </c>
      <c r="J1889" t="inlineStr">
        <is>
          <t>Red</t>
        </is>
      </c>
      <c r="K1889" t="n">
        <v>366</v>
      </c>
      <c r="L1889" t="n">
        <v>68</v>
      </c>
      <c r="M1889" t="n">
        <v>19.87</v>
      </c>
      <c r="N1889" t="n">
        <v>215.2</v>
      </c>
      <c r="O1889" t="n">
        <v>3.94</v>
      </c>
      <c r="P1889" t="n">
        <v>5</v>
      </c>
      <c r="Q1889" t="n">
        <v>1</v>
      </c>
      <c r="R1889" t="n">
        <v>2024.1</v>
      </c>
      <c r="S1889" t="b">
        <v>1</v>
      </c>
      <c r="T1889" t="n">
        <v>653882</v>
      </c>
      <c r="U1889" t="n">
        <v>8</v>
      </c>
      <c r="V1889" t="n">
        <v>0.0672</v>
      </c>
      <c r="W1889" t="n">
        <v>0.76</v>
      </c>
      <c r="X1889" t="n">
        <v>63.86</v>
      </c>
      <c r="Y1889">
        <f>VLOOKUP(D1889,$AB$2:$AC$7,2,FALSE)</f>
        <v/>
      </c>
      <c r="Z1889">
        <f>IF(A1889&lt;Y1889,"Yes","No")</f>
        <v/>
      </c>
    </row>
    <row r="1890">
      <c r="A1890" t="n">
        <v>2014</v>
      </c>
      <c r="B1890" t="inlineStr">
        <is>
          <t>Q4</t>
        </is>
      </c>
      <c r="C1890" t="inlineStr">
        <is>
          <t>Asia</t>
        </is>
      </c>
      <c r="D1890" t="inlineStr">
        <is>
          <t>Cybertruck</t>
        </is>
      </c>
      <c r="E1890" t="n">
        <v>2906</v>
      </c>
      <c r="F1890" t="n">
        <v>116634.56</v>
      </c>
      <c r="G1890" t="n">
        <v>30</v>
      </c>
      <c r="H1890" t="inlineStr">
        <is>
          <t>Standard</t>
        </is>
      </c>
      <c r="I1890" t="inlineStr">
        <is>
          <t>AWD</t>
        </is>
      </c>
      <c r="J1890" t="inlineStr">
        <is>
          <t>White</t>
        </is>
      </c>
      <c r="K1890" t="n">
        <v>614</v>
      </c>
      <c r="L1890" t="n">
        <v>67</v>
      </c>
      <c r="M1890" t="n">
        <v>13.86</v>
      </c>
      <c r="N1890" t="n">
        <v>3442.96</v>
      </c>
      <c r="O1890" t="n">
        <v>4.05</v>
      </c>
      <c r="P1890" t="n">
        <v>4</v>
      </c>
      <c r="Q1890" t="n">
        <v>2</v>
      </c>
      <c r="R1890" t="n">
        <v>2024.12</v>
      </c>
      <c r="S1890" t="b">
        <v>0</v>
      </c>
      <c r="T1890" t="n">
        <v>2017591</v>
      </c>
      <c r="U1890" t="n">
        <v>6</v>
      </c>
      <c r="V1890" t="n">
        <v>0.0711</v>
      </c>
      <c r="W1890" t="n">
        <v>1.2</v>
      </c>
      <c r="X1890" t="n">
        <v>71.37</v>
      </c>
      <c r="Y1890">
        <f>VLOOKUP(D1890,$AB$2:$AC$7,2,FALSE)</f>
        <v/>
      </c>
      <c r="Z1890">
        <f>IF(A1890&lt;Y1890,"Yes","No")</f>
        <v/>
      </c>
    </row>
    <row r="1891">
      <c r="A1891" t="n">
        <v>2013</v>
      </c>
      <c r="B1891" t="inlineStr">
        <is>
          <t>Q2</t>
        </is>
      </c>
      <c r="C1891" t="inlineStr">
        <is>
          <t>Europe</t>
        </is>
      </c>
      <c r="D1891" t="inlineStr">
        <is>
          <t>Model X</t>
        </is>
      </c>
      <c r="E1891" t="n">
        <v>1725</v>
      </c>
      <c r="F1891" t="n">
        <v>113125.63</v>
      </c>
      <c r="G1891" t="n">
        <v>17</v>
      </c>
      <c r="H1891" t="inlineStr">
        <is>
          <t>Standard</t>
        </is>
      </c>
      <c r="I1891" t="inlineStr">
        <is>
          <t>RWD</t>
        </is>
      </c>
      <c r="J1891" t="inlineStr">
        <is>
          <t>Green</t>
        </is>
      </c>
      <c r="K1891" t="n">
        <v>363</v>
      </c>
      <c r="L1891" t="n">
        <v>62</v>
      </c>
      <c r="M1891" t="n">
        <v>22.27</v>
      </c>
      <c r="N1891" t="n">
        <v>2292.19</v>
      </c>
      <c r="O1891" t="n">
        <v>4.48</v>
      </c>
      <c r="P1891" t="n">
        <v>4</v>
      </c>
      <c r="Q1891" t="n">
        <v>1</v>
      </c>
      <c r="R1891" t="n">
        <v>2024.6</v>
      </c>
      <c r="S1891" t="b">
        <v>0</v>
      </c>
      <c r="T1891" t="n">
        <v>2101941</v>
      </c>
      <c r="U1891" t="n">
        <v>7</v>
      </c>
      <c r="V1891" t="n">
        <v>0.094</v>
      </c>
      <c r="W1891" t="n">
        <v>1.58</v>
      </c>
      <c r="X1891" t="n">
        <v>83.5</v>
      </c>
      <c r="Y1891">
        <f>VLOOKUP(D1891,$AB$2:$AC$7,2,FALSE)</f>
        <v/>
      </c>
      <c r="Z1891">
        <f>IF(A1891&lt;Y1891,"Yes","No")</f>
        <v/>
      </c>
    </row>
    <row r="1892">
      <c r="A1892" t="n">
        <v>2016</v>
      </c>
      <c r="B1892" t="inlineStr">
        <is>
          <t>Q3</t>
        </is>
      </c>
      <c r="C1892" t="inlineStr">
        <is>
          <t>South America</t>
        </is>
      </c>
      <c r="D1892" t="inlineStr">
        <is>
          <t>Model S</t>
        </is>
      </c>
      <c r="E1892" t="n">
        <v>3921</v>
      </c>
      <c r="F1892" t="n">
        <v>52788.05</v>
      </c>
      <c r="G1892" t="n">
        <v>44</v>
      </c>
      <c r="H1892" t="inlineStr">
        <is>
          <t>Performance</t>
        </is>
      </c>
      <c r="I1892" t="inlineStr">
        <is>
          <t>AWD</t>
        </is>
      </c>
      <c r="J1892" t="inlineStr">
        <is>
          <t>Black</t>
        </is>
      </c>
      <c r="K1892" t="n">
        <v>617</v>
      </c>
      <c r="L1892" t="n">
        <v>40</v>
      </c>
      <c r="M1892" t="n">
        <v>13.88</v>
      </c>
      <c r="N1892" t="n">
        <v>2750.62</v>
      </c>
      <c r="O1892" t="n">
        <v>3.61</v>
      </c>
      <c r="P1892" t="n">
        <v>8</v>
      </c>
      <c r="Q1892" t="n">
        <v>2</v>
      </c>
      <c r="R1892" t="n">
        <v>2021.2</v>
      </c>
      <c r="S1892" t="b">
        <v>1</v>
      </c>
      <c r="T1892" t="n">
        <v>2778784</v>
      </c>
      <c r="U1892" t="n">
        <v>6</v>
      </c>
      <c r="V1892" t="n">
        <v>0.0336</v>
      </c>
      <c r="W1892" t="n">
        <v>1.49</v>
      </c>
      <c r="X1892" t="n">
        <v>76.61</v>
      </c>
      <c r="Y1892">
        <f>VLOOKUP(D1892,$AB$2:$AC$7,2,FALSE)</f>
        <v/>
      </c>
      <c r="Z1892">
        <f>IF(A1892&lt;Y1892,"Yes","No")</f>
        <v/>
      </c>
    </row>
    <row r="1893">
      <c r="A1893" t="n">
        <v>2021</v>
      </c>
      <c r="B1893" t="inlineStr">
        <is>
          <t>Q2</t>
        </is>
      </c>
      <c r="C1893" t="inlineStr">
        <is>
          <t>Australia</t>
        </is>
      </c>
      <c r="D1893" t="inlineStr">
        <is>
          <t>Semi</t>
        </is>
      </c>
      <c r="E1893" t="n">
        <v>3783</v>
      </c>
      <c r="F1893" t="n">
        <v>39407.19</v>
      </c>
      <c r="G1893" t="n">
        <v>3</v>
      </c>
      <c r="H1893" t="inlineStr">
        <is>
          <t>Long Range</t>
        </is>
      </c>
      <c r="I1893" t="inlineStr">
        <is>
          <t>AWD</t>
        </is>
      </c>
      <c r="J1893" t="inlineStr">
        <is>
          <t>Blue</t>
        </is>
      </c>
      <c r="K1893" t="n">
        <v>362</v>
      </c>
      <c r="L1893" t="n">
        <v>69</v>
      </c>
      <c r="M1893" t="n">
        <v>17.45</v>
      </c>
      <c r="N1893" t="n">
        <v>6773.95</v>
      </c>
      <c r="O1893" t="n">
        <v>3.53</v>
      </c>
      <c r="P1893" t="n">
        <v>8</v>
      </c>
      <c r="Q1893" t="n">
        <v>1</v>
      </c>
      <c r="R1893" t="n">
        <v>2023.11</v>
      </c>
      <c r="S1893" t="b">
        <v>1</v>
      </c>
      <c r="T1893" t="n">
        <v>1656105</v>
      </c>
      <c r="U1893" t="n">
        <v>9</v>
      </c>
      <c r="V1893" t="n">
        <v>0.0464</v>
      </c>
      <c r="W1893" t="n">
        <v>2.36</v>
      </c>
      <c r="X1893" t="n">
        <v>81.41</v>
      </c>
      <c r="Y1893">
        <f>VLOOKUP(D1893,$AB$2:$AC$7,2,FALSE)</f>
        <v/>
      </c>
      <c r="Z1893">
        <f>IF(A1893&lt;Y1893,"Yes","No")</f>
        <v/>
      </c>
    </row>
    <row r="1894">
      <c r="A1894" t="n">
        <v>2024</v>
      </c>
      <c r="B1894" t="inlineStr">
        <is>
          <t>Q2</t>
        </is>
      </c>
      <c r="C1894" t="inlineStr">
        <is>
          <t>Europe</t>
        </is>
      </c>
      <c r="D1894" t="inlineStr">
        <is>
          <t>Model Y</t>
        </is>
      </c>
      <c r="E1894" t="n">
        <v>2791</v>
      </c>
      <c r="F1894" t="n">
        <v>73505.34</v>
      </c>
      <c r="G1894" t="n">
        <v>0</v>
      </c>
      <c r="H1894" t="inlineStr">
        <is>
          <t>Long Range</t>
        </is>
      </c>
      <c r="I1894" t="inlineStr">
        <is>
          <t>AWD</t>
        </is>
      </c>
      <c r="J1894" t="inlineStr">
        <is>
          <t>White</t>
        </is>
      </c>
      <c r="K1894" t="n">
        <v>601</v>
      </c>
      <c r="L1894" t="n">
        <v>32</v>
      </c>
      <c r="M1894" t="n">
        <v>18.78</v>
      </c>
      <c r="N1894" t="n">
        <v>4864.78</v>
      </c>
      <c r="O1894" t="n">
        <v>4.69</v>
      </c>
      <c r="P1894" t="n">
        <v>5</v>
      </c>
      <c r="Q1894" t="n">
        <v>3</v>
      </c>
      <c r="R1894" t="n">
        <v>2024.9</v>
      </c>
      <c r="S1894" t="b">
        <v>0</v>
      </c>
      <c r="T1894" t="n">
        <v>4249273</v>
      </c>
      <c r="U1894" t="n">
        <v>12</v>
      </c>
      <c r="V1894" t="n">
        <v>0.0396</v>
      </c>
      <c r="W1894" t="n">
        <v>1.9</v>
      </c>
      <c r="X1894" t="n">
        <v>79.55</v>
      </c>
      <c r="Y1894">
        <f>VLOOKUP(D1894,$AB$2:$AC$7,2,FALSE)</f>
        <v/>
      </c>
      <c r="Z1894">
        <f>IF(A1894&lt;Y1894,"Yes","No")</f>
        <v/>
      </c>
    </row>
    <row r="1895">
      <c r="A1895" t="n">
        <v>2021</v>
      </c>
      <c r="B1895" t="inlineStr">
        <is>
          <t>Q4</t>
        </is>
      </c>
      <c r="C1895" t="inlineStr">
        <is>
          <t>Europe</t>
        </is>
      </c>
      <c r="D1895" t="inlineStr">
        <is>
          <t>Model Y</t>
        </is>
      </c>
      <c r="E1895" t="n">
        <v>4684</v>
      </c>
      <c r="F1895" t="n">
        <v>103470.78</v>
      </c>
      <c r="G1895" t="n">
        <v>51</v>
      </c>
      <c r="H1895" t="inlineStr">
        <is>
          <t>Performance</t>
        </is>
      </c>
      <c r="I1895" t="inlineStr">
        <is>
          <t>RWD</t>
        </is>
      </c>
      <c r="J1895" t="inlineStr">
        <is>
          <t>White</t>
        </is>
      </c>
      <c r="K1895" t="n">
        <v>491</v>
      </c>
      <c r="L1895" t="n">
        <v>47</v>
      </c>
      <c r="M1895" t="n">
        <v>14.29</v>
      </c>
      <c r="N1895" t="n">
        <v>8701.59</v>
      </c>
      <c r="O1895" t="n">
        <v>4.38</v>
      </c>
      <c r="P1895" t="n">
        <v>5</v>
      </c>
      <c r="Q1895" t="n">
        <v>2</v>
      </c>
      <c r="R1895" t="n">
        <v>2023.12</v>
      </c>
      <c r="S1895" t="b">
        <v>1</v>
      </c>
      <c r="T1895" t="n">
        <v>4523379</v>
      </c>
      <c r="U1895" t="n">
        <v>4</v>
      </c>
      <c r="V1895" t="n">
        <v>0.046</v>
      </c>
      <c r="W1895" t="n">
        <v>0.79</v>
      </c>
      <c r="X1895" t="n">
        <v>78.14</v>
      </c>
      <c r="Y1895">
        <f>VLOOKUP(D1895,$AB$2:$AC$7,2,FALSE)</f>
        <v/>
      </c>
      <c r="Z1895">
        <f>IF(A1895&lt;Y1895,"Yes","No")</f>
        <v/>
      </c>
    </row>
    <row r="1896">
      <c r="A1896" t="n">
        <v>2013</v>
      </c>
      <c r="B1896" t="inlineStr">
        <is>
          <t>Q4</t>
        </is>
      </c>
      <c r="C1896" t="inlineStr">
        <is>
          <t>Asia</t>
        </is>
      </c>
      <c r="D1896" t="inlineStr">
        <is>
          <t>Model S</t>
        </is>
      </c>
      <c r="E1896" t="n">
        <v>2636</v>
      </c>
      <c r="F1896" t="n">
        <v>86278.57000000001</v>
      </c>
      <c r="G1896" t="n">
        <v>36</v>
      </c>
      <c r="H1896" t="inlineStr">
        <is>
          <t>Long Range</t>
        </is>
      </c>
      <c r="I1896" t="inlineStr">
        <is>
          <t>AWD</t>
        </is>
      </c>
      <c r="J1896" t="inlineStr">
        <is>
          <t>Blue</t>
        </is>
      </c>
      <c r="K1896" t="n">
        <v>495</v>
      </c>
      <c r="L1896" t="n">
        <v>58</v>
      </c>
      <c r="M1896" t="n">
        <v>23.23</v>
      </c>
      <c r="N1896" t="n">
        <v>4182.78</v>
      </c>
      <c r="O1896" t="n">
        <v>4.61</v>
      </c>
      <c r="P1896" t="n">
        <v>8</v>
      </c>
      <c r="Q1896" t="n">
        <v>0</v>
      </c>
      <c r="R1896" t="n">
        <v>2022.11</v>
      </c>
      <c r="S1896" t="b">
        <v>0</v>
      </c>
      <c r="T1896" t="n">
        <v>1978050</v>
      </c>
      <c r="U1896" t="n">
        <v>5</v>
      </c>
      <c r="V1896" t="n">
        <v>0.0965</v>
      </c>
      <c r="W1896" t="n">
        <v>0.64</v>
      </c>
      <c r="X1896" t="n">
        <v>79.43000000000001</v>
      </c>
      <c r="Y1896">
        <f>VLOOKUP(D1896,$AB$2:$AC$7,2,FALSE)</f>
        <v/>
      </c>
      <c r="Z1896">
        <f>IF(A1896&lt;Y1896,"Yes","No")</f>
        <v/>
      </c>
    </row>
    <row r="1897">
      <c r="A1897" t="n">
        <v>2021</v>
      </c>
      <c r="B1897" t="inlineStr">
        <is>
          <t>Q2</t>
        </is>
      </c>
      <c r="C1897" t="inlineStr">
        <is>
          <t>North America</t>
        </is>
      </c>
      <c r="D1897" t="inlineStr">
        <is>
          <t>Semi</t>
        </is>
      </c>
      <c r="E1897" t="n">
        <v>1796</v>
      </c>
      <c r="F1897" t="n">
        <v>89497.42999999999</v>
      </c>
      <c r="G1897" t="n">
        <v>52</v>
      </c>
      <c r="H1897" t="inlineStr">
        <is>
          <t>Long Range</t>
        </is>
      </c>
      <c r="I1897" t="inlineStr">
        <is>
          <t>RWD</t>
        </is>
      </c>
      <c r="J1897" t="inlineStr">
        <is>
          <t>Blue</t>
        </is>
      </c>
      <c r="K1897" t="n">
        <v>382</v>
      </c>
      <c r="L1897" t="n">
        <v>69</v>
      </c>
      <c r="M1897" t="n">
        <v>22.98</v>
      </c>
      <c r="N1897" t="n">
        <v>3589.99</v>
      </c>
      <c r="O1897" t="n">
        <v>4.79</v>
      </c>
      <c r="P1897" t="n">
        <v>8</v>
      </c>
      <c r="Q1897" t="n">
        <v>2</v>
      </c>
      <c r="R1897" t="n">
        <v>2020.3</v>
      </c>
      <c r="S1897" t="b">
        <v>1</v>
      </c>
      <c r="T1897" t="n">
        <v>271078</v>
      </c>
      <c r="U1897" t="n">
        <v>2</v>
      </c>
      <c r="V1897" t="n">
        <v>0.08069999999999999</v>
      </c>
      <c r="W1897" t="n">
        <v>0.84</v>
      </c>
      <c r="X1897" t="n">
        <v>75.84999999999999</v>
      </c>
      <c r="Y1897">
        <f>VLOOKUP(D1897,$AB$2:$AC$7,2,FALSE)</f>
        <v/>
      </c>
      <c r="Z1897">
        <f>IF(A1897&lt;Y1897,"Yes","No")</f>
        <v/>
      </c>
    </row>
    <row r="1898">
      <c r="A1898" t="n">
        <v>2016</v>
      </c>
      <c r="B1898" t="inlineStr">
        <is>
          <t>Q3</t>
        </is>
      </c>
      <c r="C1898" t="inlineStr">
        <is>
          <t>South America</t>
        </is>
      </c>
      <c r="D1898" t="inlineStr">
        <is>
          <t>Semi</t>
        </is>
      </c>
      <c r="E1898" t="n">
        <v>3851</v>
      </c>
      <c r="F1898" t="n">
        <v>39794.1</v>
      </c>
      <c r="G1898" t="n">
        <v>0</v>
      </c>
      <c r="H1898" t="inlineStr">
        <is>
          <t>Long Range</t>
        </is>
      </c>
      <c r="I1898" t="inlineStr">
        <is>
          <t>AWD</t>
        </is>
      </c>
      <c r="J1898" t="inlineStr">
        <is>
          <t>Green</t>
        </is>
      </c>
      <c r="K1898" t="n">
        <v>414</v>
      </c>
      <c r="L1898" t="n">
        <v>90</v>
      </c>
      <c r="M1898" t="n">
        <v>16.91</v>
      </c>
      <c r="N1898" t="n">
        <v>5874.59</v>
      </c>
      <c r="O1898" t="n">
        <v>4.48</v>
      </c>
      <c r="P1898" t="n">
        <v>8</v>
      </c>
      <c r="Q1898" t="n">
        <v>1</v>
      </c>
      <c r="R1898" t="n">
        <v>2020.1</v>
      </c>
      <c r="S1898" t="b">
        <v>1</v>
      </c>
      <c r="T1898" t="n">
        <v>2875838</v>
      </c>
      <c r="U1898" t="n">
        <v>5</v>
      </c>
      <c r="V1898" t="n">
        <v>0.0898</v>
      </c>
      <c r="W1898" t="n">
        <v>2.17</v>
      </c>
      <c r="X1898" t="n">
        <v>71.48999999999999</v>
      </c>
      <c r="Y1898">
        <f>VLOOKUP(D1898,$AB$2:$AC$7,2,FALSE)</f>
        <v/>
      </c>
      <c r="Z1898">
        <f>IF(A1898&lt;Y1898,"Yes","No")</f>
        <v/>
      </c>
    </row>
    <row r="1899">
      <c r="A1899" t="n">
        <v>2021</v>
      </c>
      <c r="B1899" t="inlineStr">
        <is>
          <t>Q2</t>
        </is>
      </c>
      <c r="C1899" t="inlineStr">
        <is>
          <t>Europe</t>
        </is>
      </c>
      <c r="D1899" t="inlineStr">
        <is>
          <t>Semi</t>
        </is>
      </c>
      <c r="E1899" t="n">
        <v>4607</v>
      </c>
      <c r="F1899" t="n">
        <v>74751.45</v>
      </c>
      <c r="G1899" t="n">
        <v>36</v>
      </c>
      <c r="H1899" t="inlineStr">
        <is>
          <t>Performance</t>
        </is>
      </c>
      <c r="I1899" t="inlineStr">
        <is>
          <t>AWD</t>
        </is>
      </c>
      <c r="J1899" t="inlineStr">
        <is>
          <t>Green</t>
        </is>
      </c>
      <c r="K1899" t="n">
        <v>604</v>
      </c>
      <c r="L1899" t="n">
        <v>48</v>
      </c>
      <c r="M1899" t="n">
        <v>21.11</v>
      </c>
      <c r="N1899" t="n">
        <v>9614.309999999999</v>
      </c>
      <c r="O1899" t="n">
        <v>4.66</v>
      </c>
      <c r="P1899" t="n">
        <v>5</v>
      </c>
      <c r="Q1899" t="n">
        <v>3</v>
      </c>
      <c r="R1899" t="n">
        <v>2024.11</v>
      </c>
      <c r="S1899" t="b">
        <v>0</v>
      </c>
      <c r="T1899" t="n">
        <v>2761364</v>
      </c>
      <c r="U1899" t="n">
        <v>5</v>
      </c>
      <c r="V1899" t="n">
        <v>0.018</v>
      </c>
      <c r="W1899" t="n">
        <v>1.99</v>
      </c>
      <c r="X1899" t="n">
        <v>70.44</v>
      </c>
      <c r="Y1899">
        <f>VLOOKUP(D1899,$AB$2:$AC$7,2,FALSE)</f>
        <v/>
      </c>
      <c r="Z1899">
        <f>IF(A1899&lt;Y1899,"Yes","No")</f>
        <v/>
      </c>
    </row>
    <row r="1900">
      <c r="A1900" t="n">
        <v>2022</v>
      </c>
      <c r="B1900" t="inlineStr">
        <is>
          <t>Q3</t>
        </is>
      </c>
      <c r="C1900" t="inlineStr">
        <is>
          <t>Europe</t>
        </is>
      </c>
      <c r="D1900" t="inlineStr">
        <is>
          <t>Cybertruck</t>
        </is>
      </c>
      <c r="E1900" t="n">
        <v>4080</v>
      </c>
      <c r="F1900" t="n">
        <v>46389.81</v>
      </c>
      <c r="G1900" t="n">
        <v>42</v>
      </c>
      <c r="H1900" t="inlineStr">
        <is>
          <t>Standard</t>
        </is>
      </c>
      <c r="I1900" t="inlineStr">
        <is>
          <t>RWD</t>
        </is>
      </c>
      <c r="J1900" t="inlineStr">
        <is>
          <t>White</t>
        </is>
      </c>
      <c r="K1900" t="n">
        <v>578</v>
      </c>
      <c r="L1900" t="n">
        <v>68</v>
      </c>
      <c r="M1900" t="n">
        <v>15.31</v>
      </c>
      <c r="N1900" t="n">
        <v>2831.73</v>
      </c>
      <c r="O1900" t="n">
        <v>4.79</v>
      </c>
      <c r="P1900" t="n">
        <v>6</v>
      </c>
      <c r="Q1900" t="n">
        <v>2</v>
      </c>
      <c r="R1900" t="n">
        <v>2024.5</v>
      </c>
      <c r="S1900" t="b">
        <v>1</v>
      </c>
      <c r="T1900" t="n">
        <v>4835246</v>
      </c>
      <c r="U1900" t="n">
        <v>8</v>
      </c>
      <c r="V1900" t="n">
        <v>0.0694</v>
      </c>
      <c r="W1900" t="n">
        <v>1.13</v>
      </c>
      <c r="X1900" t="n">
        <v>80.36</v>
      </c>
      <c r="Y1900">
        <f>VLOOKUP(D1900,$AB$2:$AC$7,2,FALSE)</f>
        <v/>
      </c>
      <c r="Z1900">
        <f>IF(A1900&lt;Y1900,"Yes","No")</f>
        <v/>
      </c>
    </row>
    <row r="1901">
      <c r="A1901" t="n">
        <v>2024</v>
      </c>
      <c r="B1901" t="inlineStr">
        <is>
          <t>Q4</t>
        </is>
      </c>
      <c r="C1901" t="inlineStr">
        <is>
          <t>Europe</t>
        </is>
      </c>
      <c r="D1901" t="inlineStr">
        <is>
          <t>Semi</t>
        </is>
      </c>
      <c r="E1901" t="n">
        <v>2202</v>
      </c>
      <c r="F1901" t="n">
        <v>91876.2</v>
      </c>
      <c r="G1901" t="n">
        <v>35</v>
      </c>
      <c r="H1901" t="inlineStr">
        <is>
          <t>Long Range</t>
        </is>
      </c>
      <c r="I1901" t="inlineStr">
        <is>
          <t>AWD</t>
        </is>
      </c>
      <c r="J1901" t="inlineStr">
        <is>
          <t>Silver</t>
        </is>
      </c>
      <c r="K1901" t="n">
        <v>422</v>
      </c>
      <c r="L1901" t="n">
        <v>79</v>
      </c>
      <c r="M1901" t="n">
        <v>18.92</v>
      </c>
      <c r="N1901" t="n">
        <v>5246.28</v>
      </c>
      <c r="O1901" t="n">
        <v>3.61</v>
      </c>
      <c r="P1901" t="n">
        <v>6</v>
      </c>
      <c r="Q1901" t="n">
        <v>3</v>
      </c>
      <c r="R1901" t="n">
        <v>2021.11</v>
      </c>
      <c r="S1901" t="b">
        <v>0</v>
      </c>
      <c r="T1901" t="n">
        <v>4528702</v>
      </c>
      <c r="U1901" t="n">
        <v>7</v>
      </c>
      <c r="V1901" t="n">
        <v>0.0105</v>
      </c>
      <c r="W1901" t="n">
        <v>1.39</v>
      </c>
      <c r="X1901" t="n">
        <v>69.61</v>
      </c>
      <c r="Y1901">
        <f>VLOOKUP(D1901,$AB$2:$AC$7,2,FALSE)</f>
        <v/>
      </c>
      <c r="Z1901">
        <f>IF(A1901&lt;Y1901,"Yes","No")</f>
        <v/>
      </c>
    </row>
    <row r="1902">
      <c r="A1902" t="n">
        <v>2013</v>
      </c>
      <c r="B1902" t="inlineStr">
        <is>
          <t>Q2</t>
        </is>
      </c>
      <c r="C1902" t="inlineStr">
        <is>
          <t>Asia</t>
        </is>
      </c>
      <c r="D1902" t="inlineStr">
        <is>
          <t>Model S</t>
        </is>
      </c>
      <c r="E1902" t="n">
        <v>1021</v>
      </c>
      <c r="F1902" t="n">
        <v>102176.14</v>
      </c>
      <c r="G1902" t="n">
        <v>60</v>
      </c>
      <c r="H1902" t="inlineStr">
        <is>
          <t>Standard</t>
        </is>
      </c>
      <c r="I1902" t="inlineStr">
        <is>
          <t>AWD</t>
        </is>
      </c>
      <c r="J1902" t="inlineStr">
        <is>
          <t>Green</t>
        </is>
      </c>
      <c r="K1902" t="n">
        <v>622</v>
      </c>
      <c r="L1902" t="n">
        <v>57</v>
      </c>
      <c r="M1902" t="n">
        <v>18.44</v>
      </c>
      <c r="N1902" t="n">
        <v>2546.82</v>
      </c>
      <c r="O1902" t="n">
        <v>4.22</v>
      </c>
      <c r="P1902" t="n">
        <v>4</v>
      </c>
      <c r="Q1902" t="n">
        <v>2</v>
      </c>
      <c r="R1902" t="n">
        <v>2022.12</v>
      </c>
      <c r="S1902" t="b">
        <v>0</v>
      </c>
      <c r="T1902" t="n">
        <v>3574987</v>
      </c>
      <c r="U1902" t="n">
        <v>8</v>
      </c>
      <c r="V1902" t="n">
        <v>0.0956</v>
      </c>
      <c r="W1902" t="n">
        <v>0.65</v>
      </c>
      <c r="X1902" t="n">
        <v>72.25</v>
      </c>
      <c r="Y1902">
        <f>VLOOKUP(D1902,$AB$2:$AC$7,2,FALSE)</f>
        <v/>
      </c>
      <c r="Z1902">
        <f>IF(A1902&lt;Y1902,"Yes","No")</f>
        <v/>
      </c>
    </row>
    <row r="1903">
      <c r="A1903" t="n">
        <v>2018</v>
      </c>
      <c r="B1903" t="inlineStr">
        <is>
          <t>Q4</t>
        </is>
      </c>
      <c r="C1903" t="inlineStr">
        <is>
          <t>Australia</t>
        </is>
      </c>
      <c r="D1903" t="inlineStr">
        <is>
          <t>Model S</t>
        </is>
      </c>
      <c r="E1903" t="n">
        <v>805</v>
      </c>
      <c r="F1903" t="n">
        <v>96193.24000000001</v>
      </c>
      <c r="G1903" t="n">
        <v>3</v>
      </c>
      <c r="H1903" t="inlineStr">
        <is>
          <t>Performance</t>
        </is>
      </c>
      <c r="I1903" t="inlineStr">
        <is>
          <t>RWD</t>
        </is>
      </c>
      <c r="J1903" t="inlineStr">
        <is>
          <t>Black</t>
        </is>
      </c>
      <c r="K1903" t="n">
        <v>489</v>
      </c>
      <c r="L1903" t="n">
        <v>30</v>
      </c>
      <c r="M1903" t="n">
        <v>22.22</v>
      </c>
      <c r="N1903" t="n">
        <v>404.12</v>
      </c>
      <c r="O1903" t="n">
        <v>3.78</v>
      </c>
      <c r="P1903" t="n">
        <v>6</v>
      </c>
      <c r="Q1903" t="n">
        <v>2</v>
      </c>
      <c r="R1903" t="n">
        <v>2023.7</v>
      </c>
      <c r="S1903" t="b">
        <v>0</v>
      </c>
      <c r="T1903" t="n">
        <v>3970821</v>
      </c>
      <c r="U1903" t="n">
        <v>7</v>
      </c>
      <c r="V1903" t="n">
        <v>0.0477</v>
      </c>
      <c r="W1903" t="n">
        <v>1.78</v>
      </c>
      <c r="X1903" t="n">
        <v>83.09</v>
      </c>
      <c r="Y1903">
        <f>VLOOKUP(D1903,$AB$2:$AC$7,2,FALSE)</f>
        <v/>
      </c>
      <c r="Z1903">
        <f>IF(A1903&lt;Y1903,"Yes","No")</f>
        <v/>
      </c>
    </row>
    <row r="1904">
      <c r="A1904" t="n">
        <v>2018</v>
      </c>
      <c r="B1904" t="inlineStr">
        <is>
          <t>Q3</t>
        </is>
      </c>
      <c r="C1904" t="inlineStr">
        <is>
          <t>Australia</t>
        </is>
      </c>
      <c r="D1904" t="inlineStr">
        <is>
          <t>Model 3</t>
        </is>
      </c>
      <c r="E1904" t="n">
        <v>1190</v>
      </c>
      <c r="F1904" t="n">
        <v>84975.71000000001</v>
      </c>
      <c r="G1904" t="n">
        <v>30</v>
      </c>
      <c r="H1904" t="inlineStr">
        <is>
          <t>Long Range</t>
        </is>
      </c>
      <c r="I1904" t="inlineStr">
        <is>
          <t>RWD</t>
        </is>
      </c>
      <c r="J1904" t="inlineStr">
        <is>
          <t>Red</t>
        </is>
      </c>
      <c r="K1904" t="n">
        <v>380</v>
      </c>
      <c r="L1904" t="n">
        <v>51</v>
      </c>
      <c r="M1904" t="n">
        <v>13.03</v>
      </c>
      <c r="N1904" t="n">
        <v>1831.77</v>
      </c>
      <c r="O1904" t="n">
        <v>4.42</v>
      </c>
      <c r="P1904" t="n">
        <v>5</v>
      </c>
      <c r="Q1904" t="n">
        <v>1</v>
      </c>
      <c r="R1904" t="n">
        <v>2021.1</v>
      </c>
      <c r="S1904" t="b">
        <v>0</v>
      </c>
      <c r="T1904" t="n">
        <v>3675435</v>
      </c>
      <c r="U1904" t="n">
        <v>4</v>
      </c>
      <c r="V1904" t="n">
        <v>0.0206</v>
      </c>
      <c r="W1904" t="n">
        <v>1.91</v>
      </c>
      <c r="X1904" t="n">
        <v>79.09</v>
      </c>
      <c r="Y1904">
        <f>VLOOKUP(D1904,$AB$2:$AC$7,2,FALSE)</f>
        <v/>
      </c>
      <c r="Z1904">
        <f>IF(A1904&lt;Y1904,"Yes","No")</f>
        <v/>
      </c>
    </row>
    <row r="1905">
      <c r="A1905" t="n">
        <v>2018</v>
      </c>
      <c r="B1905" t="inlineStr">
        <is>
          <t>Q1</t>
        </is>
      </c>
      <c r="C1905" t="inlineStr">
        <is>
          <t>Australia</t>
        </is>
      </c>
      <c r="D1905" t="inlineStr">
        <is>
          <t>Model X</t>
        </is>
      </c>
      <c r="E1905" t="n">
        <v>1854</v>
      </c>
      <c r="F1905" t="n">
        <v>107229.97</v>
      </c>
      <c r="G1905" t="n">
        <v>57</v>
      </c>
      <c r="H1905" t="inlineStr">
        <is>
          <t>Long Range</t>
        </is>
      </c>
      <c r="I1905" t="inlineStr">
        <is>
          <t>AWD</t>
        </is>
      </c>
      <c r="J1905" t="inlineStr">
        <is>
          <t>Red</t>
        </is>
      </c>
      <c r="K1905" t="n">
        <v>514</v>
      </c>
      <c r="L1905" t="n">
        <v>43</v>
      </c>
      <c r="M1905" t="n">
        <v>22.31</v>
      </c>
      <c r="N1905" t="n">
        <v>4166.85</v>
      </c>
      <c r="O1905" t="n">
        <v>3.75</v>
      </c>
      <c r="P1905" t="n">
        <v>4</v>
      </c>
      <c r="Q1905" t="n">
        <v>3</v>
      </c>
      <c r="R1905" t="n">
        <v>2024.2</v>
      </c>
      <c r="S1905" t="b">
        <v>0</v>
      </c>
      <c r="T1905" t="n">
        <v>1349339</v>
      </c>
      <c r="U1905" t="n">
        <v>11</v>
      </c>
      <c r="V1905" t="n">
        <v>0.0282</v>
      </c>
      <c r="W1905" t="n">
        <v>2.37</v>
      </c>
      <c r="X1905" t="n">
        <v>84.09</v>
      </c>
      <c r="Y1905">
        <f>VLOOKUP(D1905,$AB$2:$AC$7,2,FALSE)</f>
        <v/>
      </c>
      <c r="Z1905">
        <f>IF(A1905&lt;Y1905,"Yes","No")</f>
        <v/>
      </c>
    </row>
    <row r="1906">
      <c r="A1906" t="n">
        <v>2018</v>
      </c>
      <c r="B1906" t="inlineStr">
        <is>
          <t>Q1</t>
        </is>
      </c>
      <c r="C1906" t="inlineStr">
        <is>
          <t>Asia</t>
        </is>
      </c>
      <c r="D1906" t="inlineStr">
        <is>
          <t>Model S</t>
        </is>
      </c>
      <c r="E1906" t="n">
        <v>3973</v>
      </c>
      <c r="F1906" t="n">
        <v>44482.02</v>
      </c>
      <c r="G1906" t="n">
        <v>53</v>
      </c>
      <c r="H1906" t="inlineStr">
        <is>
          <t>Standard</t>
        </is>
      </c>
      <c r="I1906" t="inlineStr">
        <is>
          <t>RWD</t>
        </is>
      </c>
      <c r="J1906" t="inlineStr">
        <is>
          <t>Blue</t>
        </is>
      </c>
      <c r="K1906" t="n">
        <v>412</v>
      </c>
      <c r="L1906" t="n">
        <v>55</v>
      </c>
      <c r="M1906" t="n">
        <v>20.25</v>
      </c>
      <c r="N1906" t="n">
        <v>3736.64</v>
      </c>
      <c r="O1906" t="n">
        <v>4.77</v>
      </c>
      <c r="P1906" t="n">
        <v>8</v>
      </c>
      <c r="Q1906" t="n">
        <v>0</v>
      </c>
      <c r="R1906" t="n">
        <v>2022.1</v>
      </c>
      <c r="S1906" t="b">
        <v>1</v>
      </c>
      <c r="T1906" t="n">
        <v>2358164</v>
      </c>
      <c r="U1906" t="n">
        <v>3</v>
      </c>
      <c r="V1906" t="n">
        <v>0.0208</v>
      </c>
      <c r="W1906" t="n">
        <v>1.81</v>
      </c>
      <c r="X1906" t="n">
        <v>77.22</v>
      </c>
      <c r="Y1906">
        <f>VLOOKUP(D1906,$AB$2:$AC$7,2,FALSE)</f>
        <v/>
      </c>
      <c r="Z1906">
        <f>IF(A1906&lt;Y1906,"Yes","No")</f>
        <v/>
      </c>
    </row>
    <row r="1907">
      <c r="A1907" t="n">
        <v>2022</v>
      </c>
      <c r="B1907" t="inlineStr">
        <is>
          <t>Q4</t>
        </is>
      </c>
      <c r="C1907" t="inlineStr">
        <is>
          <t>Australia</t>
        </is>
      </c>
      <c r="D1907" t="inlineStr">
        <is>
          <t>Cybertruck</t>
        </is>
      </c>
      <c r="E1907" t="n">
        <v>3578</v>
      </c>
      <c r="F1907" t="n">
        <v>92352.31</v>
      </c>
      <c r="G1907" t="n">
        <v>6</v>
      </c>
      <c r="H1907" t="inlineStr">
        <is>
          <t>Performance</t>
        </is>
      </c>
      <c r="I1907" t="inlineStr">
        <is>
          <t>RWD</t>
        </is>
      </c>
      <c r="J1907" t="inlineStr">
        <is>
          <t>Blue</t>
        </is>
      </c>
      <c r="K1907" t="n">
        <v>576</v>
      </c>
      <c r="L1907" t="n">
        <v>32</v>
      </c>
      <c r="M1907" t="n">
        <v>19.81</v>
      </c>
      <c r="N1907" t="n">
        <v>6239.52</v>
      </c>
      <c r="O1907" t="n">
        <v>4.51</v>
      </c>
      <c r="P1907" t="n">
        <v>8</v>
      </c>
      <c r="Q1907" t="n">
        <v>2</v>
      </c>
      <c r="R1907" t="n">
        <v>2024.7</v>
      </c>
      <c r="S1907" t="b">
        <v>1</v>
      </c>
      <c r="T1907" t="n">
        <v>1347547</v>
      </c>
      <c r="U1907" t="n">
        <v>4</v>
      </c>
      <c r="V1907" t="n">
        <v>0.0645</v>
      </c>
      <c r="W1907" t="n">
        <v>2.36</v>
      </c>
      <c r="X1907" t="n">
        <v>66.56999999999999</v>
      </c>
      <c r="Y1907">
        <f>VLOOKUP(D1907,$AB$2:$AC$7,2,FALSE)</f>
        <v/>
      </c>
      <c r="Z1907">
        <f>IF(A1907&lt;Y1907,"Yes","No")</f>
        <v/>
      </c>
    </row>
    <row r="1908">
      <c r="A1908" t="n">
        <v>2020</v>
      </c>
      <c r="B1908" t="inlineStr">
        <is>
          <t>Q4</t>
        </is>
      </c>
      <c r="C1908" t="inlineStr">
        <is>
          <t>South America</t>
        </is>
      </c>
      <c r="D1908" t="inlineStr">
        <is>
          <t>Cybertruck</t>
        </is>
      </c>
      <c r="E1908" t="n">
        <v>2597</v>
      </c>
      <c r="F1908" t="n">
        <v>95532.72</v>
      </c>
      <c r="G1908" t="n">
        <v>28</v>
      </c>
      <c r="H1908" t="inlineStr">
        <is>
          <t>Performance</t>
        </is>
      </c>
      <c r="I1908" t="inlineStr">
        <is>
          <t>AWD</t>
        </is>
      </c>
      <c r="J1908" t="inlineStr">
        <is>
          <t>White</t>
        </is>
      </c>
      <c r="K1908" t="n">
        <v>460</v>
      </c>
      <c r="L1908" t="n">
        <v>59</v>
      </c>
      <c r="M1908" t="n">
        <v>17.18</v>
      </c>
      <c r="N1908" t="n">
        <v>3393.07</v>
      </c>
      <c r="O1908" t="n">
        <v>4.3</v>
      </c>
      <c r="P1908" t="n">
        <v>8</v>
      </c>
      <c r="Q1908" t="n">
        <v>3</v>
      </c>
      <c r="R1908" t="n">
        <v>2021.8</v>
      </c>
      <c r="S1908" t="b">
        <v>0</v>
      </c>
      <c r="T1908" t="n">
        <v>4312938</v>
      </c>
      <c r="U1908" t="n">
        <v>4</v>
      </c>
      <c r="V1908" t="n">
        <v>0.0945</v>
      </c>
      <c r="W1908" t="n">
        <v>0.97</v>
      </c>
      <c r="X1908" t="n">
        <v>86.18000000000001</v>
      </c>
      <c r="Y1908">
        <f>VLOOKUP(D1908,$AB$2:$AC$7,2,FALSE)</f>
        <v/>
      </c>
      <c r="Z1908">
        <f>IF(A1908&lt;Y1908,"Yes","No")</f>
        <v/>
      </c>
    </row>
    <row r="1909">
      <c r="A1909" t="n">
        <v>2012</v>
      </c>
      <c r="B1909" t="inlineStr">
        <is>
          <t>Q4</t>
        </is>
      </c>
      <c r="C1909" t="inlineStr">
        <is>
          <t>North America</t>
        </is>
      </c>
      <c r="D1909" t="inlineStr">
        <is>
          <t>Model X</t>
        </is>
      </c>
      <c r="E1909" t="n">
        <v>2158</v>
      </c>
      <c r="F1909" t="n">
        <v>76490.78999999999</v>
      </c>
      <c r="G1909" t="n">
        <v>21</v>
      </c>
      <c r="H1909" t="inlineStr">
        <is>
          <t>Performance</t>
        </is>
      </c>
      <c r="I1909" t="inlineStr">
        <is>
          <t>RWD</t>
        </is>
      </c>
      <c r="J1909" t="inlineStr">
        <is>
          <t>Red</t>
        </is>
      </c>
      <c r="K1909" t="n">
        <v>409</v>
      </c>
      <c r="L1909" t="n">
        <v>81</v>
      </c>
      <c r="M1909" t="n">
        <v>24.93</v>
      </c>
      <c r="N1909" t="n">
        <v>4756.34</v>
      </c>
      <c r="O1909" t="n">
        <v>4.7</v>
      </c>
      <c r="P1909" t="n">
        <v>5</v>
      </c>
      <c r="Q1909" t="n">
        <v>3</v>
      </c>
      <c r="R1909" t="n">
        <v>2023.3</v>
      </c>
      <c r="S1909" t="b">
        <v>1</v>
      </c>
      <c r="T1909" t="n">
        <v>650597</v>
      </c>
      <c r="U1909" t="n">
        <v>7</v>
      </c>
      <c r="V1909" t="n">
        <v>0.0444</v>
      </c>
      <c r="W1909" t="n">
        <v>2.03</v>
      </c>
      <c r="X1909" t="n">
        <v>75.66</v>
      </c>
      <c r="Y1909">
        <f>VLOOKUP(D1909,$AB$2:$AC$7,2,FALSE)</f>
        <v/>
      </c>
      <c r="Z1909">
        <f>IF(A1909&lt;Y1909,"Yes","No")</f>
        <v/>
      </c>
    </row>
    <row r="1910">
      <c r="A1910" t="n">
        <v>2013</v>
      </c>
      <c r="B1910" t="inlineStr">
        <is>
          <t>Q3</t>
        </is>
      </c>
      <c r="C1910" t="inlineStr">
        <is>
          <t>North America</t>
        </is>
      </c>
      <c r="D1910" t="inlineStr">
        <is>
          <t>Cybertruck</t>
        </is>
      </c>
      <c r="E1910" t="n">
        <v>1355</v>
      </c>
      <c r="F1910" t="n">
        <v>112034.99</v>
      </c>
      <c r="G1910" t="n">
        <v>11</v>
      </c>
      <c r="H1910" t="inlineStr">
        <is>
          <t>Long Range</t>
        </is>
      </c>
      <c r="I1910" t="inlineStr">
        <is>
          <t>RWD</t>
        </is>
      </c>
      <c r="J1910" t="inlineStr">
        <is>
          <t>White</t>
        </is>
      </c>
      <c r="K1910" t="n">
        <v>661</v>
      </c>
      <c r="L1910" t="n">
        <v>71</v>
      </c>
      <c r="M1910" t="n">
        <v>22.96</v>
      </c>
      <c r="N1910" t="n">
        <v>2834.16</v>
      </c>
      <c r="O1910" t="n">
        <v>4.72</v>
      </c>
      <c r="P1910" t="n">
        <v>5</v>
      </c>
      <c r="Q1910" t="n">
        <v>3</v>
      </c>
      <c r="R1910" t="n">
        <v>2020.7</v>
      </c>
      <c r="S1910" t="b">
        <v>0</v>
      </c>
      <c r="T1910" t="n">
        <v>569230</v>
      </c>
      <c r="U1910" t="n">
        <v>11</v>
      </c>
      <c r="V1910" t="n">
        <v>0.0351</v>
      </c>
      <c r="W1910" t="n">
        <v>1.78</v>
      </c>
      <c r="X1910" t="n">
        <v>79.92</v>
      </c>
      <c r="Y1910">
        <f>VLOOKUP(D1910,$AB$2:$AC$7,2,FALSE)</f>
        <v/>
      </c>
      <c r="Z1910">
        <f>IF(A1910&lt;Y1910,"Yes","No")</f>
        <v/>
      </c>
    </row>
    <row r="1911">
      <c r="A1911" t="n">
        <v>2024</v>
      </c>
      <c r="B1911" t="inlineStr">
        <is>
          <t>Q2</t>
        </is>
      </c>
      <c r="C1911" t="inlineStr">
        <is>
          <t>North America</t>
        </is>
      </c>
      <c r="D1911" t="inlineStr">
        <is>
          <t>Model X</t>
        </is>
      </c>
      <c r="E1911" t="n">
        <v>4719</v>
      </c>
      <c r="F1911" t="n">
        <v>69706.62</v>
      </c>
      <c r="G1911" t="n">
        <v>15</v>
      </c>
      <c r="H1911" t="inlineStr">
        <is>
          <t>Long Range</t>
        </is>
      </c>
      <c r="I1911" t="inlineStr">
        <is>
          <t>AWD</t>
        </is>
      </c>
      <c r="J1911" t="inlineStr">
        <is>
          <t>Black</t>
        </is>
      </c>
      <c r="K1911" t="n">
        <v>410</v>
      </c>
      <c r="L1911" t="n">
        <v>86</v>
      </c>
      <c r="M1911" t="n">
        <v>20.84</v>
      </c>
      <c r="N1911" t="n">
        <v>8128.51</v>
      </c>
      <c r="O1911" t="n">
        <v>4.05</v>
      </c>
      <c r="P1911" t="n">
        <v>4</v>
      </c>
      <c r="Q1911" t="n">
        <v>1</v>
      </c>
      <c r="R1911" t="n">
        <v>2023.1</v>
      </c>
      <c r="S1911" t="b">
        <v>1</v>
      </c>
      <c r="T1911" t="n">
        <v>320899</v>
      </c>
      <c r="U1911" t="n">
        <v>6</v>
      </c>
      <c r="V1911" t="n">
        <v>0.0912</v>
      </c>
      <c r="W1911" t="n">
        <v>1.69</v>
      </c>
      <c r="X1911" t="n">
        <v>69.12</v>
      </c>
      <c r="Y1911">
        <f>VLOOKUP(D1911,$AB$2:$AC$7,2,FALSE)</f>
        <v/>
      </c>
      <c r="Z1911">
        <f>IF(A1911&lt;Y1911,"Yes","No")</f>
        <v/>
      </c>
    </row>
    <row r="1912">
      <c r="A1912" t="n">
        <v>2023</v>
      </c>
      <c r="B1912" t="inlineStr">
        <is>
          <t>Q3</t>
        </is>
      </c>
      <c r="C1912" t="inlineStr">
        <is>
          <t>Asia</t>
        </is>
      </c>
      <c r="D1912" t="inlineStr">
        <is>
          <t>Cybertruck</t>
        </is>
      </c>
      <c r="E1912" t="n">
        <v>2194</v>
      </c>
      <c r="F1912" t="n">
        <v>40098.57</v>
      </c>
      <c r="G1912" t="n">
        <v>22</v>
      </c>
      <c r="H1912" t="inlineStr">
        <is>
          <t>Performance</t>
        </is>
      </c>
      <c r="I1912" t="inlineStr">
        <is>
          <t>AWD</t>
        </is>
      </c>
      <c r="J1912" t="inlineStr">
        <is>
          <t>White</t>
        </is>
      </c>
      <c r="K1912" t="n">
        <v>400</v>
      </c>
      <c r="L1912" t="n">
        <v>68</v>
      </c>
      <c r="M1912" t="n">
        <v>22.13</v>
      </c>
      <c r="N1912" t="n">
        <v>3801.01</v>
      </c>
      <c r="O1912" t="n">
        <v>4.86</v>
      </c>
      <c r="P1912" t="n">
        <v>8</v>
      </c>
      <c r="Q1912" t="n">
        <v>0</v>
      </c>
      <c r="R1912" t="n">
        <v>2020.1</v>
      </c>
      <c r="S1912" t="b">
        <v>1</v>
      </c>
      <c r="T1912" t="n">
        <v>3740781</v>
      </c>
      <c r="U1912" t="n">
        <v>10</v>
      </c>
      <c r="V1912" t="n">
        <v>0.06370000000000001</v>
      </c>
      <c r="W1912" t="n">
        <v>0.54</v>
      </c>
      <c r="X1912" t="n">
        <v>75.02</v>
      </c>
      <c r="Y1912">
        <f>VLOOKUP(D1912,$AB$2:$AC$7,2,FALSE)</f>
        <v/>
      </c>
      <c r="Z1912">
        <f>IF(A1912&lt;Y1912,"Yes","No")</f>
        <v/>
      </c>
    </row>
    <row r="1913">
      <c r="A1913" t="n">
        <v>2018</v>
      </c>
      <c r="B1913" t="inlineStr">
        <is>
          <t>Q1</t>
        </is>
      </c>
      <c r="C1913" t="inlineStr">
        <is>
          <t>Australia</t>
        </is>
      </c>
      <c r="D1913" t="inlineStr">
        <is>
          <t>Cybertruck</t>
        </is>
      </c>
      <c r="E1913" t="n">
        <v>644</v>
      </c>
      <c r="F1913" t="n">
        <v>110865.82</v>
      </c>
      <c r="G1913" t="n">
        <v>53</v>
      </c>
      <c r="H1913" t="inlineStr">
        <is>
          <t>Long Range</t>
        </is>
      </c>
      <c r="I1913" t="inlineStr">
        <is>
          <t>RWD</t>
        </is>
      </c>
      <c r="J1913" t="inlineStr">
        <is>
          <t>Red</t>
        </is>
      </c>
      <c r="K1913" t="n">
        <v>569</v>
      </c>
      <c r="L1913" t="n">
        <v>87</v>
      </c>
      <c r="M1913" t="n">
        <v>20.66</v>
      </c>
      <c r="N1913" t="n">
        <v>1443.96</v>
      </c>
      <c r="O1913" t="n">
        <v>4.08</v>
      </c>
      <c r="P1913" t="n">
        <v>4</v>
      </c>
      <c r="Q1913" t="n">
        <v>3</v>
      </c>
      <c r="R1913" t="n">
        <v>2023.11</v>
      </c>
      <c r="S1913" t="b">
        <v>1</v>
      </c>
      <c r="T1913" t="n">
        <v>2434600</v>
      </c>
      <c r="U1913" t="n">
        <v>4</v>
      </c>
      <c r="V1913" t="n">
        <v>0.0973</v>
      </c>
      <c r="W1913" t="n">
        <v>1.32</v>
      </c>
      <c r="X1913" t="n">
        <v>85.95999999999999</v>
      </c>
      <c r="Y1913">
        <f>VLOOKUP(D1913,$AB$2:$AC$7,2,FALSE)</f>
        <v/>
      </c>
      <c r="Z1913">
        <f>IF(A1913&lt;Y1913,"Yes","No")</f>
        <v/>
      </c>
    </row>
    <row r="1914">
      <c r="A1914" t="n">
        <v>2012</v>
      </c>
      <c r="B1914" t="inlineStr">
        <is>
          <t>Q1</t>
        </is>
      </c>
      <c r="C1914" t="inlineStr">
        <is>
          <t>Asia</t>
        </is>
      </c>
      <c r="D1914" t="inlineStr">
        <is>
          <t>Semi</t>
        </is>
      </c>
      <c r="E1914" t="n">
        <v>4300</v>
      </c>
      <c r="F1914" t="n">
        <v>98243.17</v>
      </c>
      <c r="G1914" t="n">
        <v>22</v>
      </c>
      <c r="H1914" t="inlineStr">
        <is>
          <t>Performance</t>
        </is>
      </c>
      <c r="I1914" t="inlineStr">
        <is>
          <t>AWD</t>
        </is>
      </c>
      <c r="J1914" t="inlineStr">
        <is>
          <t>White</t>
        </is>
      </c>
      <c r="K1914" t="n">
        <v>697</v>
      </c>
      <c r="L1914" t="n">
        <v>30</v>
      </c>
      <c r="M1914" t="n">
        <v>16.06</v>
      </c>
      <c r="N1914" t="n">
        <v>7718.79</v>
      </c>
      <c r="O1914" t="n">
        <v>4.23</v>
      </c>
      <c r="P1914" t="n">
        <v>6</v>
      </c>
      <c r="Q1914" t="n">
        <v>3</v>
      </c>
      <c r="R1914" t="n">
        <v>2021.5</v>
      </c>
      <c r="S1914" t="b">
        <v>1</v>
      </c>
      <c r="T1914" t="n">
        <v>380865</v>
      </c>
      <c r="U1914" t="n">
        <v>5</v>
      </c>
      <c r="V1914" t="n">
        <v>0.0153</v>
      </c>
      <c r="W1914" t="n">
        <v>0.67</v>
      </c>
      <c r="X1914" t="n">
        <v>61.94</v>
      </c>
      <c r="Y1914">
        <f>VLOOKUP(D1914,$AB$2:$AC$7,2,FALSE)</f>
        <v/>
      </c>
      <c r="Z1914">
        <f>IF(A1914&lt;Y1914,"Yes","No")</f>
        <v/>
      </c>
    </row>
    <row r="1915">
      <c r="A1915" t="n">
        <v>2024</v>
      </c>
      <c r="B1915" t="inlineStr">
        <is>
          <t>Q4</t>
        </is>
      </c>
      <c r="C1915" t="inlineStr">
        <is>
          <t>North America</t>
        </is>
      </c>
      <c r="D1915" t="inlineStr">
        <is>
          <t>Model Y</t>
        </is>
      </c>
      <c r="E1915" t="n">
        <v>2897</v>
      </c>
      <c r="F1915" t="n">
        <v>85105.69</v>
      </c>
      <c r="G1915" t="n">
        <v>38</v>
      </c>
      <c r="H1915" t="inlineStr">
        <is>
          <t>Long Range</t>
        </is>
      </c>
      <c r="I1915" t="inlineStr">
        <is>
          <t>AWD</t>
        </is>
      </c>
      <c r="J1915" t="inlineStr">
        <is>
          <t>Black</t>
        </is>
      </c>
      <c r="K1915" t="n">
        <v>508</v>
      </c>
      <c r="L1915" t="n">
        <v>69</v>
      </c>
      <c r="M1915" t="n">
        <v>16.64</v>
      </c>
      <c r="N1915" t="n">
        <v>6836.36</v>
      </c>
      <c r="O1915" t="n">
        <v>4.13</v>
      </c>
      <c r="P1915" t="n">
        <v>4</v>
      </c>
      <c r="Q1915" t="n">
        <v>2</v>
      </c>
      <c r="R1915" t="n">
        <v>2024.6</v>
      </c>
      <c r="S1915" t="b">
        <v>1</v>
      </c>
      <c r="T1915" t="n">
        <v>1619593</v>
      </c>
      <c r="U1915" t="n">
        <v>7</v>
      </c>
      <c r="V1915" t="n">
        <v>0.0168</v>
      </c>
      <c r="W1915" t="n">
        <v>1.65</v>
      </c>
      <c r="X1915" t="n">
        <v>62.48</v>
      </c>
      <c r="Y1915">
        <f>VLOOKUP(D1915,$AB$2:$AC$7,2,FALSE)</f>
        <v/>
      </c>
      <c r="Z1915">
        <f>IF(A1915&lt;Y1915,"Yes","No")</f>
        <v/>
      </c>
    </row>
    <row r="1916">
      <c r="A1916" t="n">
        <v>2014</v>
      </c>
      <c r="B1916" t="inlineStr">
        <is>
          <t>Q4</t>
        </is>
      </c>
      <c r="C1916" t="inlineStr">
        <is>
          <t>Europe</t>
        </is>
      </c>
      <c r="D1916" t="inlineStr">
        <is>
          <t>Model 3</t>
        </is>
      </c>
      <c r="E1916" t="n">
        <v>2199</v>
      </c>
      <c r="F1916" t="n">
        <v>114242.49</v>
      </c>
      <c r="G1916" t="n">
        <v>53</v>
      </c>
      <c r="H1916" t="inlineStr">
        <is>
          <t>Standard</t>
        </is>
      </c>
      <c r="I1916" t="inlineStr">
        <is>
          <t>AWD</t>
        </is>
      </c>
      <c r="J1916" t="inlineStr">
        <is>
          <t>Blue</t>
        </is>
      </c>
      <c r="K1916" t="n">
        <v>598</v>
      </c>
      <c r="L1916" t="n">
        <v>74</v>
      </c>
      <c r="M1916" t="n">
        <v>22.12</v>
      </c>
      <c r="N1916" t="n">
        <v>1340.8</v>
      </c>
      <c r="O1916" t="n">
        <v>3.99</v>
      </c>
      <c r="P1916" t="n">
        <v>6</v>
      </c>
      <c r="Q1916" t="n">
        <v>1</v>
      </c>
      <c r="R1916" t="n">
        <v>2023.9</v>
      </c>
      <c r="S1916" t="b">
        <v>1</v>
      </c>
      <c r="T1916" t="n">
        <v>2069545</v>
      </c>
      <c r="U1916" t="n">
        <v>11</v>
      </c>
      <c r="V1916" t="n">
        <v>0.0693</v>
      </c>
      <c r="W1916" t="n">
        <v>1.22</v>
      </c>
      <c r="X1916" t="n">
        <v>71.12</v>
      </c>
      <c r="Y1916">
        <f>VLOOKUP(D1916,$AB$2:$AC$7,2,FALSE)</f>
        <v/>
      </c>
      <c r="Z1916">
        <f>IF(A1916&lt;Y1916,"Yes","No")</f>
        <v/>
      </c>
    </row>
    <row r="1917">
      <c r="A1917" t="n">
        <v>2015</v>
      </c>
      <c r="B1917" t="inlineStr">
        <is>
          <t>Q3</t>
        </is>
      </c>
      <c r="C1917" t="inlineStr">
        <is>
          <t>Asia</t>
        </is>
      </c>
      <c r="D1917" t="inlineStr">
        <is>
          <t>Cybertruck</t>
        </is>
      </c>
      <c r="E1917" t="n">
        <v>1539</v>
      </c>
      <c r="F1917" t="n">
        <v>42769.28</v>
      </c>
      <c r="G1917" t="n">
        <v>33</v>
      </c>
      <c r="H1917" t="inlineStr">
        <is>
          <t>Performance</t>
        </is>
      </c>
      <c r="I1917" t="inlineStr">
        <is>
          <t>AWD</t>
        </is>
      </c>
      <c r="J1917" t="inlineStr">
        <is>
          <t>Red</t>
        </is>
      </c>
      <c r="K1917" t="n">
        <v>411</v>
      </c>
      <c r="L1917" t="n">
        <v>50</v>
      </c>
      <c r="M1917" t="n">
        <v>20.78</v>
      </c>
      <c r="N1917" t="n">
        <v>1812.55</v>
      </c>
      <c r="O1917" t="n">
        <v>4.11</v>
      </c>
      <c r="P1917" t="n">
        <v>6</v>
      </c>
      <c r="Q1917" t="n">
        <v>0</v>
      </c>
      <c r="R1917" t="n">
        <v>2022.2</v>
      </c>
      <c r="S1917" t="b">
        <v>1</v>
      </c>
      <c r="T1917" t="n">
        <v>4677383</v>
      </c>
      <c r="U1917" t="n">
        <v>7</v>
      </c>
      <c r="V1917" t="n">
        <v>0.0984</v>
      </c>
      <c r="W1917" t="n">
        <v>2.11</v>
      </c>
      <c r="X1917" t="n">
        <v>67.45</v>
      </c>
      <c r="Y1917">
        <f>VLOOKUP(D1917,$AB$2:$AC$7,2,FALSE)</f>
        <v/>
      </c>
      <c r="Z1917">
        <f>IF(A1917&lt;Y1917,"Yes","No")</f>
        <v/>
      </c>
    </row>
    <row r="1918">
      <c r="A1918" t="n">
        <v>2015</v>
      </c>
      <c r="B1918" t="inlineStr">
        <is>
          <t>Q4</t>
        </is>
      </c>
      <c r="C1918" t="inlineStr">
        <is>
          <t>Asia</t>
        </is>
      </c>
      <c r="D1918" t="inlineStr">
        <is>
          <t>Model S</t>
        </is>
      </c>
      <c r="E1918" t="n">
        <v>4180</v>
      </c>
      <c r="F1918" t="n">
        <v>99438.02</v>
      </c>
      <c r="G1918" t="n">
        <v>39</v>
      </c>
      <c r="H1918" t="inlineStr">
        <is>
          <t>Long Range</t>
        </is>
      </c>
      <c r="I1918" t="inlineStr">
        <is>
          <t>AWD</t>
        </is>
      </c>
      <c r="J1918" t="inlineStr">
        <is>
          <t>Red</t>
        </is>
      </c>
      <c r="K1918" t="n">
        <v>586</v>
      </c>
      <c r="L1918" t="n">
        <v>50</v>
      </c>
      <c r="M1918" t="n">
        <v>23.77</v>
      </c>
      <c r="N1918" t="n">
        <v>8910.18</v>
      </c>
      <c r="O1918" t="n">
        <v>3.72</v>
      </c>
      <c r="P1918" t="n">
        <v>5</v>
      </c>
      <c r="Q1918" t="n">
        <v>1</v>
      </c>
      <c r="R1918" t="n">
        <v>2022.4</v>
      </c>
      <c r="S1918" t="b">
        <v>0</v>
      </c>
      <c r="T1918" t="n">
        <v>1314210</v>
      </c>
      <c r="U1918" t="n">
        <v>3</v>
      </c>
      <c r="V1918" t="n">
        <v>0.0765</v>
      </c>
      <c r="W1918" t="n">
        <v>1.64</v>
      </c>
      <c r="X1918" t="n">
        <v>83.93000000000001</v>
      </c>
      <c r="Y1918">
        <f>VLOOKUP(D1918,$AB$2:$AC$7,2,FALSE)</f>
        <v/>
      </c>
      <c r="Z1918">
        <f>IF(A1918&lt;Y1918,"Yes","No")</f>
        <v/>
      </c>
    </row>
    <row r="1919">
      <c r="A1919" t="n">
        <v>2019</v>
      </c>
      <c r="B1919" t="inlineStr">
        <is>
          <t>Q4</t>
        </is>
      </c>
      <c r="C1919" t="inlineStr">
        <is>
          <t>Asia</t>
        </is>
      </c>
      <c r="D1919" t="inlineStr">
        <is>
          <t>Model Y</t>
        </is>
      </c>
      <c r="E1919" t="n">
        <v>1408</v>
      </c>
      <c r="F1919" t="n">
        <v>81895.17</v>
      </c>
      <c r="G1919" t="n">
        <v>31</v>
      </c>
      <c r="H1919" t="inlineStr">
        <is>
          <t>Standard</t>
        </is>
      </c>
      <c r="I1919" t="inlineStr">
        <is>
          <t>AWD</t>
        </is>
      </c>
      <c r="J1919" t="inlineStr">
        <is>
          <t>White</t>
        </is>
      </c>
      <c r="K1919" t="n">
        <v>359</v>
      </c>
      <c r="L1919" t="n">
        <v>30</v>
      </c>
      <c r="M1919" t="n">
        <v>18.04</v>
      </c>
      <c r="N1919" t="n">
        <v>1433.42</v>
      </c>
      <c r="O1919" t="n">
        <v>4.54</v>
      </c>
      <c r="P1919" t="n">
        <v>6</v>
      </c>
      <c r="Q1919" t="n">
        <v>0</v>
      </c>
      <c r="R1919" t="n">
        <v>2022.9</v>
      </c>
      <c r="S1919" t="b">
        <v>1</v>
      </c>
      <c r="T1919" t="n">
        <v>2554556</v>
      </c>
      <c r="U1919" t="n">
        <v>2</v>
      </c>
      <c r="V1919" t="n">
        <v>0.0528</v>
      </c>
      <c r="W1919" t="n">
        <v>1.86</v>
      </c>
      <c r="X1919" t="n">
        <v>64.78</v>
      </c>
      <c r="Y1919">
        <f>VLOOKUP(D1919,$AB$2:$AC$7,2,FALSE)</f>
        <v/>
      </c>
      <c r="Z1919">
        <f>IF(A1919&lt;Y1919,"Yes","No")</f>
        <v/>
      </c>
    </row>
    <row r="1920">
      <c r="A1920" t="n">
        <v>2018</v>
      </c>
      <c r="B1920" t="inlineStr">
        <is>
          <t>Q2</t>
        </is>
      </c>
      <c r="C1920" t="inlineStr">
        <is>
          <t>Asia</t>
        </is>
      </c>
      <c r="D1920" t="inlineStr">
        <is>
          <t>Semi</t>
        </is>
      </c>
      <c r="E1920" t="n">
        <v>2895</v>
      </c>
      <c r="F1920" t="n">
        <v>79333.22</v>
      </c>
      <c r="G1920" t="n">
        <v>47</v>
      </c>
      <c r="H1920" t="inlineStr">
        <is>
          <t>Standard</t>
        </is>
      </c>
      <c r="I1920" t="inlineStr">
        <is>
          <t>AWD</t>
        </is>
      </c>
      <c r="J1920" t="inlineStr">
        <is>
          <t>Green</t>
        </is>
      </c>
      <c r="K1920" t="n">
        <v>581</v>
      </c>
      <c r="L1920" t="n">
        <v>31</v>
      </c>
      <c r="M1920" t="n">
        <v>22.19</v>
      </c>
      <c r="N1920" t="n">
        <v>6523.3</v>
      </c>
      <c r="O1920" t="n">
        <v>3.74</v>
      </c>
      <c r="P1920" t="n">
        <v>6</v>
      </c>
      <c r="Q1920" t="n">
        <v>3</v>
      </c>
      <c r="R1920" t="n">
        <v>2021.7</v>
      </c>
      <c r="S1920" t="b">
        <v>1</v>
      </c>
      <c r="T1920" t="n">
        <v>4492078</v>
      </c>
      <c r="U1920" t="n">
        <v>2</v>
      </c>
      <c r="V1920" t="n">
        <v>0.043</v>
      </c>
      <c r="W1920" t="n">
        <v>1.58</v>
      </c>
      <c r="X1920" t="n">
        <v>84.79000000000001</v>
      </c>
      <c r="Y1920">
        <f>VLOOKUP(D1920,$AB$2:$AC$7,2,FALSE)</f>
        <v/>
      </c>
      <c r="Z1920">
        <f>IF(A1920&lt;Y1920,"Yes","No")</f>
        <v/>
      </c>
    </row>
    <row r="1921">
      <c r="A1921" t="n">
        <v>2014</v>
      </c>
      <c r="B1921" t="inlineStr">
        <is>
          <t>Q4</t>
        </is>
      </c>
      <c r="C1921" t="inlineStr">
        <is>
          <t>Europe</t>
        </is>
      </c>
      <c r="D1921" t="inlineStr">
        <is>
          <t>Model 3</t>
        </is>
      </c>
      <c r="E1921" t="n">
        <v>727</v>
      </c>
      <c r="F1921" t="n">
        <v>117616.59</v>
      </c>
      <c r="G1921" t="n">
        <v>29</v>
      </c>
      <c r="H1921" t="inlineStr">
        <is>
          <t>Long Range</t>
        </is>
      </c>
      <c r="I1921" t="inlineStr">
        <is>
          <t>AWD</t>
        </is>
      </c>
      <c r="J1921" t="inlineStr">
        <is>
          <t>Red</t>
        </is>
      </c>
      <c r="K1921" t="n">
        <v>393</v>
      </c>
      <c r="L1921" t="n">
        <v>53</v>
      </c>
      <c r="M1921" t="n">
        <v>15.38</v>
      </c>
      <c r="N1921" t="n">
        <v>560.78</v>
      </c>
      <c r="O1921" t="n">
        <v>4.91</v>
      </c>
      <c r="P1921" t="n">
        <v>4</v>
      </c>
      <c r="Q1921" t="n">
        <v>1</v>
      </c>
      <c r="R1921" t="n">
        <v>2022.2</v>
      </c>
      <c r="S1921" t="b">
        <v>0</v>
      </c>
      <c r="T1921" t="n">
        <v>3823101</v>
      </c>
      <c r="U1921" t="n">
        <v>9</v>
      </c>
      <c r="V1921" t="n">
        <v>0.09320000000000001</v>
      </c>
      <c r="W1921" t="n">
        <v>2.01</v>
      </c>
      <c r="X1921" t="n">
        <v>85.54000000000001</v>
      </c>
      <c r="Y1921">
        <f>VLOOKUP(D1921,$AB$2:$AC$7,2,FALSE)</f>
        <v/>
      </c>
      <c r="Z1921">
        <f>IF(A1921&lt;Y1921,"Yes","No")</f>
        <v/>
      </c>
    </row>
    <row r="1922">
      <c r="A1922" t="n">
        <v>2020</v>
      </c>
      <c r="B1922" t="inlineStr">
        <is>
          <t>Q4</t>
        </is>
      </c>
      <c r="C1922" t="inlineStr">
        <is>
          <t>Europe</t>
        </is>
      </c>
      <c r="D1922" t="inlineStr">
        <is>
          <t>Semi</t>
        </is>
      </c>
      <c r="E1922" t="n">
        <v>4044</v>
      </c>
      <c r="F1922" t="n">
        <v>42628.72</v>
      </c>
      <c r="G1922" t="n">
        <v>28</v>
      </c>
      <c r="H1922" t="inlineStr">
        <is>
          <t>Performance</t>
        </is>
      </c>
      <c r="I1922" t="inlineStr">
        <is>
          <t>RWD</t>
        </is>
      </c>
      <c r="J1922" t="inlineStr">
        <is>
          <t>Red</t>
        </is>
      </c>
      <c r="K1922" t="n">
        <v>618</v>
      </c>
      <c r="L1922" t="n">
        <v>31</v>
      </c>
      <c r="M1922" t="n">
        <v>23.34</v>
      </c>
      <c r="N1922" t="n">
        <v>7605.1</v>
      </c>
      <c r="O1922" t="n">
        <v>4.77</v>
      </c>
      <c r="P1922" t="n">
        <v>5</v>
      </c>
      <c r="Q1922" t="n">
        <v>1</v>
      </c>
      <c r="R1922" t="n">
        <v>2024.1</v>
      </c>
      <c r="S1922" t="b">
        <v>1</v>
      </c>
      <c r="T1922" t="n">
        <v>1575023</v>
      </c>
      <c r="U1922" t="n">
        <v>4</v>
      </c>
      <c r="V1922" t="n">
        <v>0.0689</v>
      </c>
      <c r="W1922" t="n">
        <v>2.05</v>
      </c>
      <c r="X1922" t="n">
        <v>89.53</v>
      </c>
      <c r="Y1922">
        <f>VLOOKUP(D1922,$AB$2:$AC$7,2,FALSE)</f>
        <v/>
      </c>
      <c r="Z1922">
        <f>IF(A1922&lt;Y1922,"Yes","No")</f>
        <v/>
      </c>
    </row>
    <row r="1923">
      <c r="A1923" t="n">
        <v>2021</v>
      </c>
      <c r="B1923" t="inlineStr">
        <is>
          <t>Q4</t>
        </is>
      </c>
      <c r="C1923" t="inlineStr">
        <is>
          <t>Asia</t>
        </is>
      </c>
      <c r="D1923" t="inlineStr">
        <is>
          <t>Model Y</t>
        </is>
      </c>
      <c r="E1923" t="n">
        <v>3029</v>
      </c>
      <c r="F1923" t="n">
        <v>106828.21</v>
      </c>
      <c r="G1923" t="n">
        <v>48</v>
      </c>
      <c r="H1923" t="inlineStr">
        <is>
          <t>Performance</t>
        </is>
      </c>
      <c r="I1923" t="inlineStr">
        <is>
          <t>RWD</t>
        </is>
      </c>
      <c r="J1923" t="inlineStr">
        <is>
          <t>Blue</t>
        </is>
      </c>
      <c r="K1923" t="n">
        <v>488</v>
      </c>
      <c r="L1923" t="n">
        <v>81</v>
      </c>
      <c r="M1923" t="n">
        <v>16.46</v>
      </c>
      <c r="N1923" t="n">
        <v>2203.73</v>
      </c>
      <c r="O1923" t="n">
        <v>4.44</v>
      </c>
      <c r="P1923" t="n">
        <v>8</v>
      </c>
      <c r="Q1923" t="n">
        <v>1</v>
      </c>
      <c r="R1923" t="n">
        <v>2021.3</v>
      </c>
      <c r="S1923" t="b">
        <v>1</v>
      </c>
      <c r="T1923" t="n">
        <v>4643708</v>
      </c>
      <c r="U1923" t="n">
        <v>12</v>
      </c>
      <c r="V1923" t="n">
        <v>0.0285</v>
      </c>
      <c r="W1923" t="n">
        <v>1.06</v>
      </c>
      <c r="X1923" t="n">
        <v>72.23999999999999</v>
      </c>
      <c r="Y1923">
        <f>VLOOKUP(D1923,$AB$2:$AC$7,2,FALSE)</f>
        <v/>
      </c>
      <c r="Z1923">
        <f>IF(A1923&lt;Y1923,"Yes","No")</f>
        <v/>
      </c>
    </row>
    <row r="1924">
      <c r="A1924" t="n">
        <v>2016</v>
      </c>
      <c r="B1924" t="inlineStr">
        <is>
          <t>Q3</t>
        </is>
      </c>
      <c r="C1924" t="inlineStr">
        <is>
          <t>Europe</t>
        </is>
      </c>
      <c r="D1924" t="inlineStr">
        <is>
          <t>Cybertruck</t>
        </is>
      </c>
      <c r="E1924" t="n">
        <v>4684</v>
      </c>
      <c r="F1924" t="n">
        <v>93413.55</v>
      </c>
      <c r="G1924" t="n">
        <v>24</v>
      </c>
      <c r="H1924" t="inlineStr">
        <is>
          <t>Standard</t>
        </is>
      </c>
      <c r="I1924" t="inlineStr">
        <is>
          <t>AWD</t>
        </is>
      </c>
      <c r="J1924" t="inlineStr">
        <is>
          <t>Silver</t>
        </is>
      </c>
      <c r="K1924" t="n">
        <v>379</v>
      </c>
      <c r="L1924" t="n">
        <v>58</v>
      </c>
      <c r="M1924" t="n">
        <v>13.9</v>
      </c>
      <c r="N1924" t="n">
        <v>8691.41</v>
      </c>
      <c r="O1924" t="n">
        <v>4.91</v>
      </c>
      <c r="P1924" t="n">
        <v>4</v>
      </c>
      <c r="Q1924" t="n">
        <v>3</v>
      </c>
      <c r="R1924" t="n">
        <v>2024.1</v>
      </c>
      <c r="S1924" t="b">
        <v>1</v>
      </c>
      <c r="T1924" t="n">
        <v>2306146</v>
      </c>
      <c r="U1924" t="n">
        <v>7</v>
      </c>
      <c r="V1924" t="n">
        <v>0.0167</v>
      </c>
      <c r="W1924" t="n">
        <v>2.4</v>
      </c>
      <c r="X1924" t="n">
        <v>79.73999999999999</v>
      </c>
      <c r="Y1924">
        <f>VLOOKUP(D1924,$AB$2:$AC$7,2,FALSE)</f>
        <v/>
      </c>
      <c r="Z1924">
        <f>IF(A1924&lt;Y1924,"Yes","No")</f>
        <v/>
      </c>
    </row>
    <row r="1925">
      <c r="A1925" t="n">
        <v>2020</v>
      </c>
      <c r="B1925" t="inlineStr">
        <is>
          <t>Q2</t>
        </is>
      </c>
      <c r="C1925" t="inlineStr">
        <is>
          <t>South America</t>
        </is>
      </c>
      <c r="D1925" t="inlineStr">
        <is>
          <t>Semi</t>
        </is>
      </c>
      <c r="E1925" t="n">
        <v>1294</v>
      </c>
      <c r="F1925" t="n">
        <v>87389.99000000001</v>
      </c>
      <c r="G1925" t="n">
        <v>4</v>
      </c>
      <c r="H1925" t="inlineStr">
        <is>
          <t>Long Range</t>
        </is>
      </c>
      <c r="I1925" t="inlineStr">
        <is>
          <t>AWD</t>
        </is>
      </c>
      <c r="J1925" t="inlineStr">
        <is>
          <t>Silver</t>
        </is>
      </c>
      <c r="K1925" t="n">
        <v>614</v>
      </c>
      <c r="L1925" t="n">
        <v>76</v>
      </c>
      <c r="M1925" t="n">
        <v>17.53</v>
      </c>
      <c r="N1925" t="n">
        <v>1439.26</v>
      </c>
      <c r="O1925" t="n">
        <v>3.78</v>
      </c>
      <c r="P1925" t="n">
        <v>6</v>
      </c>
      <c r="Q1925" t="n">
        <v>3</v>
      </c>
      <c r="R1925" t="n">
        <v>2020.1</v>
      </c>
      <c r="S1925" t="b">
        <v>1</v>
      </c>
      <c r="T1925" t="n">
        <v>3635875</v>
      </c>
      <c r="U1925" t="n">
        <v>12</v>
      </c>
      <c r="V1925" t="n">
        <v>0.0272</v>
      </c>
      <c r="W1925" t="n">
        <v>0.52</v>
      </c>
      <c r="X1925" t="n">
        <v>71.3</v>
      </c>
      <c r="Y1925">
        <f>VLOOKUP(D1925,$AB$2:$AC$7,2,FALSE)</f>
        <v/>
      </c>
      <c r="Z1925">
        <f>IF(A1925&lt;Y1925,"Yes","No")</f>
        <v/>
      </c>
    </row>
    <row r="1926">
      <c r="A1926" t="n">
        <v>2017</v>
      </c>
      <c r="B1926" t="inlineStr">
        <is>
          <t>Q4</t>
        </is>
      </c>
      <c r="C1926" t="inlineStr">
        <is>
          <t>Europe</t>
        </is>
      </c>
      <c r="D1926" t="inlineStr">
        <is>
          <t>Model X</t>
        </is>
      </c>
      <c r="E1926" t="n">
        <v>333</v>
      </c>
      <c r="F1926" t="n">
        <v>93359.35000000001</v>
      </c>
      <c r="G1926" t="n">
        <v>24</v>
      </c>
      <c r="H1926" t="inlineStr">
        <is>
          <t>Performance</t>
        </is>
      </c>
      <c r="I1926" t="inlineStr">
        <is>
          <t>RWD</t>
        </is>
      </c>
      <c r="J1926" t="inlineStr">
        <is>
          <t>Red</t>
        </is>
      </c>
      <c r="K1926" t="n">
        <v>421</v>
      </c>
      <c r="L1926" t="n">
        <v>43</v>
      </c>
      <c r="M1926" t="n">
        <v>16.83</v>
      </c>
      <c r="N1926" t="n">
        <v>530.88</v>
      </c>
      <c r="O1926" t="n">
        <v>4.32</v>
      </c>
      <c r="P1926" t="n">
        <v>4</v>
      </c>
      <c r="Q1926" t="n">
        <v>3</v>
      </c>
      <c r="R1926" t="n">
        <v>2020.9</v>
      </c>
      <c r="S1926" t="b">
        <v>1</v>
      </c>
      <c r="T1926" t="n">
        <v>869756</v>
      </c>
      <c r="U1926" t="n">
        <v>2</v>
      </c>
      <c r="V1926" t="n">
        <v>0.0514</v>
      </c>
      <c r="W1926" t="n">
        <v>1.06</v>
      </c>
      <c r="X1926" t="n">
        <v>82.34</v>
      </c>
      <c r="Y1926">
        <f>VLOOKUP(D1926,$AB$2:$AC$7,2,FALSE)</f>
        <v/>
      </c>
      <c r="Z1926">
        <f>IF(A1926&lt;Y1926,"Yes","No")</f>
        <v/>
      </c>
    </row>
    <row r="1927">
      <c r="A1927" t="n">
        <v>2015</v>
      </c>
      <c r="B1927" t="inlineStr">
        <is>
          <t>Q4</t>
        </is>
      </c>
      <c r="C1927" t="inlineStr">
        <is>
          <t>North America</t>
        </is>
      </c>
      <c r="D1927" t="inlineStr">
        <is>
          <t>Model 3</t>
        </is>
      </c>
      <c r="E1927" t="n">
        <v>3441</v>
      </c>
      <c r="F1927" t="n">
        <v>78463.78999999999</v>
      </c>
      <c r="G1927" t="n">
        <v>32</v>
      </c>
      <c r="H1927" t="inlineStr">
        <is>
          <t>Performance</t>
        </is>
      </c>
      <c r="I1927" t="inlineStr">
        <is>
          <t>RWD</t>
        </is>
      </c>
      <c r="J1927" t="inlineStr">
        <is>
          <t>Silver</t>
        </is>
      </c>
      <c r="K1927" t="n">
        <v>689</v>
      </c>
      <c r="L1927" t="n">
        <v>62</v>
      </c>
      <c r="M1927" t="n">
        <v>16.43</v>
      </c>
      <c r="N1927" t="n">
        <v>7102.59</v>
      </c>
      <c r="O1927" t="n">
        <v>3.91</v>
      </c>
      <c r="P1927" t="n">
        <v>8</v>
      </c>
      <c r="Q1927" t="n">
        <v>1</v>
      </c>
      <c r="R1927" t="n">
        <v>2020.4</v>
      </c>
      <c r="S1927" t="b">
        <v>1</v>
      </c>
      <c r="T1927" t="n">
        <v>3719966</v>
      </c>
      <c r="U1927" t="n">
        <v>9</v>
      </c>
      <c r="V1927" t="n">
        <v>0.0994</v>
      </c>
      <c r="W1927" t="n">
        <v>2.21</v>
      </c>
      <c r="X1927" t="n">
        <v>66.37</v>
      </c>
      <c r="Y1927">
        <f>VLOOKUP(D1927,$AB$2:$AC$7,2,FALSE)</f>
        <v/>
      </c>
      <c r="Z1927">
        <f>IF(A1927&lt;Y1927,"Yes","No")</f>
        <v/>
      </c>
    </row>
    <row r="1928">
      <c r="A1928" t="n">
        <v>2020</v>
      </c>
      <c r="B1928" t="inlineStr">
        <is>
          <t>Q2</t>
        </is>
      </c>
      <c r="C1928" t="inlineStr">
        <is>
          <t>North America</t>
        </is>
      </c>
      <c r="D1928" t="inlineStr">
        <is>
          <t>Semi</t>
        </is>
      </c>
      <c r="E1928" t="n">
        <v>4861</v>
      </c>
      <c r="F1928" t="n">
        <v>41453.46</v>
      </c>
      <c r="G1928" t="n">
        <v>59</v>
      </c>
      <c r="H1928" t="inlineStr">
        <is>
          <t>Performance</t>
        </is>
      </c>
      <c r="I1928" t="inlineStr">
        <is>
          <t>AWD</t>
        </is>
      </c>
      <c r="J1928" t="inlineStr">
        <is>
          <t>White</t>
        </is>
      </c>
      <c r="K1928" t="n">
        <v>469</v>
      </c>
      <c r="L1928" t="n">
        <v>62</v>
      </c>
      <c r="M1928" t="n">
        <v>23.7</v>
      </c>
      <c r="N1928" t="n">
        <v>9220.620000000001</v>
      </c>
      <c r="O1928" t="n">
        <v>3.57</v>
      </c>
      <c r="P1928" t="n">
        <v>8</v>
      </c>
      <c r="Q1928" t="n">
        <v>3</v>
      </c>
      <c r="R1928" t="n">
        <v>2022.7</v>
      </c>
      <c r="S1928" t="b">
        <v>0</v>
      </c>
      <c r="T1928" t="n">
        <v>1581231</v>
      </c>
      <c r="U1928" t="n">
        <v>3</v>
      </c>
      <c r="V1928" t="n">
        <v>0.06</v>
      </c>
      <c r="W1928" t="n">
        <v>1.61</v>
      </c>
      <c r="X1928" t="n">
        <v>88.81999999999999</v>
      </c>
      <c r="Y1928">
        <f>VLOOKUP(D1928,$AB$2:$AC$7,2,FALSE)</f>
        <v/>
      </c>
      <c r="Z1928">
        <f>IF(A1928&lt;Y1928,"Yes","No")</f>
        <v/>
      </c>
    </row>
    <row r="1929">
      <c r="A1929" t="n">
        <v>2013</v>
      </c>
      <c r="B1929" t="inlineStr">
        <is>
          <t>Q4</t>
        </is>
      </c>
      <c r="C1929" t="inlineStr">
        <is>
          <t>Asia</t>
        </is>
      </c>
      <c r="D1929" t="inlineStr">
        <is>
          <t>Model Y</t>
        </is>
      </c>
      <c r="E1929" t="n">
        <v>1410</v>
      </c>
      <c r="F1929" t="n">
        <v>85862.85000000001</v>
      </c>
      <c r="G1929" t="n">
        <v>45</v>
      </c>
      <c r="H1929" t="inlineStr">
        <is>
          <t>Performance</t>
        </is>
      </c>
      <c r="I1929" t="inlineStr">
        <is>
          <t>AWD</t>
        </is>
      </c>
      <c r="J1929" t="inlineStr">
        <is>
          <t>Red</t>
        </is>
      </c>
      <c r="K1929" t="n">
        <v>412</v>
      </c>
      <c r="L1929" t="n">
        <v>40</v>
      </c>
      <c r="M1929" t="n">
        <v>24.57</v>
      </c>
      <c r="N1929" t="n">
        <v>1711.19</v>
      </c>
      <c r="O1929" t="n">
        <v>4.54</v>
      </c>
      <c r="P1929" t="n">
        <v>6</v>
      </c>
      <c r="Q1929" t="n">
        <v>3</v>
      </c>
      <c r="R1929" t="n">
        <v>2020.4</v>
      </c>
      <c r="S1929" t="b">
        <v>1</v>
      </c>
      <c r="T1929" t="n">
        <v>1200126</v>
      </c>
      <c r="U1929" t="n">
        <v>12</v>
      </c>
      <c r="V1929" t="n">
        <v>0.0291</v>
      </c>
      <c r="W1929" t="n">
        <v>0.77</v>
      </c>
      <c r="X1929" t="n">
        <v>74.68000000000001</v>
      </c>
      <c r="Y1929">
        <f>VLOOKUP(D1929,$AB$2:$AC$7,2,FALSE)</f>
        <v/>
      </c>
      <c r="Z1929">
        <f>IF(A1929&lt;Y1929,"Yes","No")</f>
        <v/>
      </c>
    </row>
    <row r="1930">
      <c r="A1930" t="n">
        <v>2013</v>
      </c>
      <c r="B1930" t="inlineStr">
        <is>
          <t>Q4</t>
        </is>
      </c>
      <c r="C1930" t="inlineStr">
        <is>
          <t>North America</t>
        </is>
      </c>
      <c r="D1930" t="inlineStr">
        <is>
          <t>Model X</t>
        </is>
      </c>
      <c r="E1930" t="n">
        <v>1505</v>
      </c>
      <c r="F1930" t="n">
        <v>94776.31</v>
      </c>
      <c r="G1930" t="n">
        <v>55</v>
      </c>
      <c r="H1930" t="inlineStr">
        <is>
          <t>Standard</t>
        </is>
      </c>
      <c r="I1930" t="inlineStr">
        <is>
          <t>RWD</t>
        </is>
      </c>
      <c r="J1930" t="inlineStr">
        <is>
          <t>White</t>
        </is>
      </c>
      <c r="K1930" t="n">
        <v>619</v>
      </c>
      <c r="L1930" t="n">
        <v>64</v>
      </c>
      <c r="M1930" t="n">
        <v>19.62</v>
      </c>
      <c r="N1930" t="n">
        <v>3379.89</v>
      </c>
      <c r="O1930" t="n">
        <v>4.3</v>
      </c>
      <c r="P1930" t="n">
        <v>5</v>
      </c>
      <c r="Q1930" t="n">
        <v>0</v>
      </c>
      <c r="R1930" t="n">
        <v>2023.4</v>
      </c>
      <c r="S1930" t="b">
        <v>1</v>
      </c>
      <c r="T1930" t="n">
        <v>2295403</v>
      </c>
      <c r="U1930" t="n">
        <v>3</v>
      </c>
      <c r="V1930" t="n">
        <v>0.0443</v>
      </c>
      <c r="W1930" t="n">
        <v>0.76</v>
      </c>
      <c r="X1930" t="n">
        <v>73.61</v>
      </c>
      <c r="Y1930">
        <f>VLOOKUP(D1930,$AB$2:$AC$7,2,FALSE)</f>
        <v/>
      </c>
      <c r="Z1930">
        <f>IF(A1930&lt;Y1930,"Yes","No")</f>
        <v/>
      </c>
    </row>
    <row r="1931">
      <c r="A1931" t="n">
        <v>2018</v>
      </c>
      <c r="B1931" t="inlineStr">
        <is>
          <t>Q1</t>
        </is>
      </c>
      <c r="C1931" t="inlineStr">
        <is>
          <t>South America</t>
        </is>
      </c>
      <c r="D1931" t="inlineStr">
        <is>
          <t>Cybertruck</t>
        </is>
      </c>
      <c r="E1931" t="n">
        <v>893</v>
      </c>
      <c r="F1931" t="n">
        <v>35823.14</v>
      </c>
      <c r="G1931" t="n">
        <v>22</v>
      </c>
      <c r="H1931" t="inlineStr">
        <is>
          <t>Standard</t>
        </is>
      </c>
      <c r="I1931" t="inlineStr">
        <is>
          <t>AWD</t>
        </is>
      </c>
      <c r="J1931" t="inlineStr">
        <is>
          <t>Red</t>
        </is>
      </c>
      <c r="K1931" t="n">
        <v>359</v>
      </c>
      <c r="L1931" t="n">
        <v>87</v>
      </c>
      <c r="M1931" t="n">
        <v>22.91</v>
      </c>
      <c r="N1931" t="n">
        <v>1267.5</v>
      </c>
      <c r="O1931" t="n">
        <v>4.49</v>
      </c>
      <c r="P1931" t="n">
        <v>5</v>
      </c>
      <c r="Q1931" t="n">
        <v>2</v>
      </c>
      <c r="R1931" t="n">
        <v>2020.4</v>
      </c>
      <c r="S1931" t="b">
        <v>0</v>
      </c>
      <c r="T1931" t="n">
        <v>1525200</v>
      </c>
      <c r="U1931" t="n">
        <v>4</v>
      </c>
      <c r="V1931" t="n">
        <v>0.0275</v>
      </c>
      <c r="W1931" t="n">
        <v>1.8</v>
      </c>
      <c r="X1931" t="n">
        <v>62.25</v>
      </c>
      <c r="Y1931">
        <f>VLOOKUP(D1931,$AB$2:$AC$7,2,FALSE)</f>
        <v/>
      </c>
      <c r="Z1931">
        <f>IF(A1931&lt;Y1931,"Yes","No")</f>
        <v/>
      </c>
    </row>
    <row r="1932">
      <c r="A1932" t="n">
        <v>2022</v>
      </c>
      <c r="B1932" t="inlineStr">
        <is>
          <t>Q4</t>
        </is>
      </c>
      <c r="C1932" t="inlineStr">
        <is>
          <t>North America</t>
        </is>
      </c>
      <c r="D1932" t="inlineStr">
        <is>
          <t>Model 3</t>
        </is>
      </c>
      <c r="E1932" t="n">
        <v>294</v>
      </c>
      <c r="F1932" t="n">
        <v>107298.59</v>
      </c>
      <c r="G1932" t="n">
        <v>41</v>
      </c>
      <c r="H1932" t="inlineStr">
        <is>
          <t>Performance</t>
        </is>
      </c>
      <c r="I1932" t="inlineStr">
        <is>
          <t>AWD</t>
        </is>
      </c>
      <c r="J1932" t="inlineStr">
        <is>
          <t>Silver</t>
        </is>
      </c>
      <c r="K1932" t="n">
        <v>509</v>
      </c>
      <c r="L1932" t="n">
        <v>30</v>
      </c>
      <c r="M1932" t="n">
        <v>13.9</v>
      </c>
      <c r="N1932" t="n">
        <v>685.54</v>
      </c>
      <c r="O1932" t="n">
        <v>3.92</v>
      </c>
      <c r="P1932" t="n">
        <v>8</v>
      </c>
      <c r="Q1932" t="n">
        <v>0</v>
      </c>
      <c r="R1932" t="n">
        <v>2021.7</v>
      </c>
      <c r="S1932" t="b">
        <v>1</v>
      </c>
      <c r="T1932" t="n">
        <v>4004262</v>
      </c>
      <c r="U1932" t="n">
        <v>9</v>
      </c>
      <c r="V1932" t="n">
        <v>0.0229</v>
      </c>
      <c r="W1932" t="n">
        <v>1.48</v>
      </c>
      <c r="X1932" t="n">
        <v>61.09</v>
      </c>
      <c r="Y1932">
        <f>VLOOKUP(D1932,$AB$2:$AC$7,2,FALSE)</f>
        <v/>
      </c>
      <c r="Z1932">
        <f>IF(A1932&lt;Y1932,"Yes","No")</f>
        <v/>
      </c>
    </row>
    <row r="1933">
      <c r="A1933" t="n">
        <v>2023</v>
      </c>
      <c r="B1933" t="inlineStr">
        <is>
          <t>Q3</t>
        </is>
      </c>
      <c r="C1933" t="inlineStr">
        <is>
          <t>Asia</t>
        </is>
      </c>
      <c r="D1933" t="inlineStr">
        <is>
          <t>Model S</t>
        </is>
      </c>
      <c r="E1933" t="n">
        <v>4730</v>
      </c>
      <c r="F1933" t="n">
        <v>116253.57</v>
      </c>
      <c r="G1933" t="n">
        <v>0</v>
      </c>
      <c r="H1933" t="inlineStr">
        <is>
          <t>Long Range</t>
        </is>
      </c>
      <c r="I1933" t="inlineStr">
        <is>
          <t>AWD</t>
        </is>
      </c>
      <c r="J1933" t="inlineStr">
        <is>
          <t>Green</t>
        </is>
      </c>
      <c r="K1933" t="n">
        <v>700</v>
      </c>
      <c r="L1933" t="n">
        <v>86</v>
      </c>
      <c r="M1933" t="n">
        <v>23.62</v>
      </c>
      <c r="N1933" t="n">
        <v>4528.41</v>
      </c>
      <c r="O1933" t="n">
        <v>4.94</v>
      </c>
      <c r="P1933" t="n">
        <v>6</v>
      </c>
      <c r="Q1933" t="n">
        <v>0</v>
      </c>
      <c r="R1933" t="n">
        <v>2020.7</v>
      </c>
      <c r="S1933" t="b">
        <v>1</v>
      </c>
      <c r="T1933" t="n">
        <v>3633390</v>
      </c>
      <c r="U1933" t="n">
        <v>4</v>
      </c>
      <c r="V1933" t="n">
        <v>0.0393</v>
      </c>
      <c r="W1933" t="n">
        <v>0.64</v>
      </c>
      <c r="X1933" t="n">
        <v>69.37</v>
      </c>
      <c r="Y1933">
        <f>VLOOKUP(D1933,$AB$2:$AC$7,2,FALSE)</f>
        <v/>
      </c>
      <c r="Z1933">
        <f>IF(A1933&lt;Y1933,"Yes","No")</f>
        <v/>
      </c>
    </row>
    <row r="1934">
      <c r="A1934" t="n">
        <v>2021</v>
      </c>
      <c r="B1934" t="inlineStr">
        <is>
          <t>Q3</t>
        </is>
      </c>
      <c r="C1934" t="inlineStr">
        <is>
          <t>Australia</t>
        </is>
      </c>
      <c r="D1934" t="inlineStr">
        <is>
          <t>Model S</t>
        </is>
      </c>
      <c r="E1934" t="n">
        <v>4025</v>
      </c>
      <c r="F1934" t="n">
        <v>55761.55</v>
      </c>
      <c r="G1934" t="n">
        <v>56</v>
      </c>
      <c r="H1934" t="inlineStr">
        <is>
          <t>Long Range</t>
        </is>
      </c>
      <c r="I1934" t="inlineStr">
        <is>
          <t>AWD</t>
        </is>
      </c>
      <c r="J1934" t="inlineStr">
        <is>
          <t>Green</t>
        </is>
      </c>
      <c r="K1934" t="n">
        <v>523</v>
      </c>
      <c r="L1934" t="n">
        <v>36</v>
      </c>
      <c r="M1934" t="n">
        <v>15.48</v>
      </c>
      <c r="N1934" t="n">
        <v>7305.59</v>
      </c>
      <c r="O1934" t="n">
        <v>3.54</v>
      </c>
      <c r="P1934" t="n">
        <v>8</v>
      </c>
      <c r="Q1934" t="n">
        <v>3</v>
      </c>
      <c r="R1934" t="n">
        <v>2021.1</v>
      </c>
      <c r="S1934" t="b">
        <v>1</v>
      </c>
      <c r="T1934" t="n">
        <v>2561355</v>
      </c>
      <c r="U1934" t="n">
        <v>2</v>
      </c>
      <c r="V1934" t="n">
        <v>0.053</v>
      </c>
      <c r="W1934" t="n">
        <v>0.6899999999999999</v>
      </c>
      <c r="X1934" t="n">
        <v>85.27</v>
      </c>
      <c r="Y1934">
        <f>VLOOKUP(D1934,$AB$2:$AC$7,2,FALSE)</f>
        <v/>
      </c>
      <c r="Z1934">
        <f>IF(A1934&lt;Y1934,"Yes","No")</f>
        <v/>
      </c>
    </row>
    <row r="1935">
      <c r="A1935" t="n">
        <v>2017</v>
      </c>
      <c r="B1935" t="inlineStr">
        <is>
          <t>Q4</t>
        </is>
      </c>
      <c r="C1935" t="inlineStr">
        <is>
          <t>Australia</t>
        </is>
      </c>
      <c r="D1935" t="inlineStr">
        <is>
          <t>Model X</t>
        </is>
      </c>
      <c r="E1935" t="n">
        <v>2006</v>
      </c>
      <c r="F1935" t="n">
        <v>55102.61</v>
      </c>
      <c r="G1935" t="n">
        <v>3</v>
      </c>
      <c r="H1935" t="inlineStr">
        <is>
          <t>Standard</t>
        </is>
      </c>
      <c r="I1935" t="inlineStr">
        <is>
          <t>RWD</t>
        </is>
      </c>
      <c r="J1935" t="inlineStr">
        <is>
          <t>Black</t>
        </is>
      </c>
      <c r="K1935" t="n">
        <v>688</v>
      </c>
      <c r="L1935" t="n">
        <v>63</v>
      </c>
      <c r="M1935" t="n">
        <v>24.47</v>
      </c>
      <c r="N1935" t="n">
        <v>2454.96</v>
      </c>
      <c r="O1935" t="n">
        <v>3.92</v>
      </c>
      <c r="P1935" t="n">
        <v>5</v>
      </c>
      <c r="Q1935" t="n">
        <v>0</v>
      </c>
      <c r="R1935" t="n">
        <v>2024.6</v>
      </c>
      <c r="S1935" t="b">
        <v>1</v>
      </c>
      <c r="T1935" t="n">
        <v>197844</v>
      </c>
      <c r="U1935" t="n">
        <v>2</v>
      </c>
      <c r="V1935" t="n">
        <v>0.08160000000000001</v>
      </c>
      <c r="W1935" t="n">
        <v>1.1</v>
      </c>
      <c r="X1935" t="n">
        <v>71.76000000000001</v>
      </c>
      <c r="Y1935">
        <f>VLOOKUP(D1935,$AB$2:$AC$7,2,FALSE)</f>
        <v/>
      </c>
      <c r="Z1935">
        <f>IF(A1935&lt;Y1935,"Yes","No")</f>
        <v/>
      </c>
    </row>
    <row r="1936">
      <c r="A1936" t="n">
        <v>2022</v>
      </c>
      <c r="B1936" t="inlineStr">
        <is>
          <t>Q4</t>
        </is>
      </c>
      <c r="C1936" t="inlineStr">
        <is>
          <t>Australia</t>
        </is>
      </c>
      <c r="D1936" t="inlineStr">
        <is>
          <t>Model X</t>
        </is>
      </c>
      <c r="E1936" t="n">
        <v>408</v>
      </c>
      <c r="F1936" t="n">
        <v>42864.44</v>
      </c>
      <c r="G1936" t="n">
        <v>19</v>
      </c>
      <c r="H1936" t="inlineStr">
        <is>
          <t>Long Range</t>
        </is>
      </c>
      <c r="I1936" t="inlineStr">
        <is>
          <t>AWD</t>
        </is>
      </c>
      <c r="J1936" t="inlineStr">
        <is>
          <t>Green</t>
        </is>
      </c>
      <c r="K1936" t="n">
        <v>412</v>
      </c>
      <c r="L1936" t="n">
        <v>47</v>
      </c>
      <c r="M1936" t="n">
        <v>17.7</v>
      </c>
      <c r="N1936" t="n">
        <v>208.44</v>
      </c>
      <c r="O1936" t="n">
        <v>4.75</v>
      </c>
      <c r="P1936" t="n">
        <v>4</v>
      </c>
      <c r="Q1936" t="n">
        <v>1</v>
      </c>
      <c r="R1936" t="n">
        <v>2024.5</v>
      </c>
      <c r="S1936" t="b">
        <v>0</v>
      </c>
      <c r="T1936" t="n">
        <v>3126226</v>
      </c>
      <c r="U1936" t="n">
        <v>10</v>
      </c>
      <c r="V1936" t="n">
        <v>0.0745</v>
      </c>
      <c r="W1936" t="n">
        <v>1.95</v>
      </c>
      <c r="X1936" t="n">
        <v>88.52</v>
      </c>
      <c r="Y1936">
        <f>VLOOKUP(D1936,$AB$2:$AC$7,2,FALSE)</f>
        <v/>
      </c>
      <c r="Z1936">
        <f>IF(A1936&lt;Y1936,"Yes","No")</f>
        <v/>
      </c>
    </row>
    <row r="1937">
      <c r="A1937" t="n">
        <v>2018</v>
      </c>
      <c r="B1937" t="inlineStr">
        <is>
          <t>Q3</t>
        </is>
      </c>
      <c r="C1937" t="inlineStr">
        <is>
          <t>Europe</t>
        </is>
      </c>
      <c r="D1937" t="inlineStr">
        <is>
          <t>Model S</t>
        </is>
      </c>
      <c r="E1937" t="n">
        <v>850</v>
      </c>
      <c r="F1937" t="n">
        <v>77670.38</v>
      </c>
      <c r="G1937" t="n">
        <v>48</v>
      </c>
      <c r="H1937" t="inlineStr">
        <is>
          <t>Performance</t>
        </is>
      </c>
      <c r="I1937" t="inlineStr">
        <is>
          <t>AWD</t>
        </is>
      </c>
      <c r="J1937" t="inlineStr">
        <is>
          <t>Black</t>
        </is>
      </c>
      <c r="K1937" t="n">
        <v>459</v>
      </c>
      <c r="L1937" t="n">
        <v>40</v>
      </c>
      <c r="M1937" t="n">
        <v>13.03</v>
      </c>
      <c r="N1937" t="n">
        <v>1063.01</v>
      </c>
      <c r="O1937" t="n">
        <v>4.02</v>
      </c>
      <c r="P1937" t="n">
        <v>4</v>
      </c>
      <c r="Q1937" t="n">
        <v>3</v>
      </c>
      <c r="R1937" t="n">
        <v>2020.1</v>
      </c>
      <c r="S1937" t="b">
        <v>1</v>
      </c>
      <c r="T1937" t="n">
        <v>4181929</v>
      </c>
      <c r="U1937" t="n">
        <v>7</v>
      </c>
      <c r="V1937" t="n">
        <v>0.0129</v>
      </c>
      <c r="W1937" t="n">
        <v>2.44</v>
      </c>
      <c r="X1937" t="n">
        <v>63.6</v>
      </c>
      <c r="Y1937">
        <f>VLOOKUP(D1937,$AB$2:$AC$7,2,FALSE)</f>
        <v/>
      </c>
      <c r="Z1937">
        <f>IF(A1937&lt;Y1937,"Yes","No")</f>
        <v/>
      </c>
    </row>
    <row r="1938">
      <c r="A1938" t="n">
        <v>2023</v>
      </c>
      <c r="B1938" t="inlineStr">
        <is>
          <t>Q2</t>
        </is>
      </c>
      <c r="C1938" t="inlineStr">
        <is>
          <t>Australia</t>
        </is>
      </c>
      <c r="D1938" t="inlineStr">
        <is>
          <t>Model Y</t>
        </is>
      </c>
      <c r="E1938" t="n">
        <v>3926</v>
      </c>
      <c r="F1938" t="n">
        <v>88889.8</v>
      </c>
      <c r="G1938" t="n">
        <v>51</v>
      </c>
      <c r="H1938" t="inlineStr">
        <is>
          <t>Standard</t>
        </is>
      </c>
      <c r="I1938" t="inlineStr">
        <is>
          <t>RWD</t>
        </is>
      </c>
      <c r="J1938" t="inlineStr">
        <is>
          <t>Blue</t>
        </is>
      </c>
      <c r="K1938" t="n">
        <v>398</v>
      </c>
      <c r="L1938" t="n">
        <v>86</v>
      </c>
      <c r="M1938" t="n">
        <v>17.7</v>
      </c>
      <c r="N1938" t="n">
        <v>3215.31</v>
      </c>
      <c r="O1938" t="n">
        <v>3.72</v>
      </c>
      <c r="P1938" t="n">
        <v>6</v>
      </c>
      <c r="Q1938" t="n">
        <v>1</v>
      </c>
      <c r="R1938" t="n">
        <v>2024.11</v>
      </c>
      <c r="S1938" t="b">
        <v>0</v>
      </c>
      <c r="T1938" t="n">
        <v>3000584</v>
      </c>
      <c r="U1938" t="n">
        <v>8</v>
      </c>
      <c r="V1938" t="n">
        <v>0.0584</v>
      </c>
      <c r="W1938" t="n">
        <v>1.99</v>
      </c>
      <c r="X1938" t="n">
        <v>79.09</v>
      </c>
      <c r="Y1938">
        <f>VLOOKUP(D1938,$AB$2:$AC$7,2,FALSE)</f>
        <v/>
      </c>
      <c r="Z1938">
        <f>IF(A1938&lt;Y1938,"Yes","No")</f>
        <v/>
      </c>
    </row>
    <row r="1939">
      <c r="A1939" t="n">
        <v>2024</v>
      </c>
      <c r="B1939" t="inlineStr">
        <is>
          <t>Q4</t>
        </is>
      </c>
      <c r="C1939" t="inlineStr">
        <is>
          <t>Europe</t>
        </is>
      </c>
      <c r="D1939" t="inlineStr">
        <is>
          <t>Model S</t>
        </is>
      </c>
      <c r="E1939" t="n">
        <v>1214</v>
      </c>
      <c r="F1939" t="n">
        <v>110502.35</v>
      </c>
      <c r="G1939" t="n">
        <v>16</v>
      </c>
      <c r="H1939" t="inlineStr">
        <is>
          <t>Performance</t>
        </is>
      </c>
      <c r="I1939" t="inlineStr">
        <is>
          <t>RWD</t>
        </is>
      </c>
      <c r="J1939" t="inlineStr">
        <is>
          <t>Red</t>
        </is>
      </c>
      <c r="K1939" t="n">
        <v>365</v>
      </c>
      <c r="L1939" t="n">
        <v>83</v>
      </c>
      <c r="M1939" t="n">
        <v>15.73</v>
      </c>
      <c r="N1939" t="n">
        <v>2508.11</v>
      </c>
      <c r="O1939" t="n">
        <v>4.01</v>
      </c>
      <c r="P1939" t="n">
        <v>6</v>
      </c>
      <c r="Q1939" t="n">
        <v>3</v>
      </c>
      <c r="R1939" t="n">
        <v>2023.5</v>
      </c>
      <c r="S1939" t="b">
        <v>1</v>
      </c>
      <c r="T1939" t="n">
        <v>2218303</v>
      </c>
      <c r="U1939" t="n">
        <v>6</v>
      </c>
      <c r="V1939" t="n">
        <v>0.08069999999999999</v>
      </c>
      <c r="W1939" t="n">
        <v>1.95</v>
      </c>
      <c r="X1939" t="n">
        <v>81.31999999999999</v>
      </c>
      <c r="Y1939">
        <f>VLOOKUP(D1939,$AB$2:$AC$7,2,FALSE)</f>
        <v/>
      </c>
      <c r="Z1939">
        <f>IF(A1939&lt;Y1939,"Yes","No")</f>
        <v/>
      </c>
    </row>
    <row r="1940">
      <c r="A1940" t="n">
        <v>2023</v>
      </c>
      <c r="B1940" t="inlineStr">
        <is>
          <t>Q4</t>
        </is>
      </c>
      <c r="C1940" t="inlineStr">
        <is>
          <t>North America</t>
        </is>
      </c>
      <c r="D1940" t="inlineStr">
        <is>
          <t>Semi</t>
        </is>
      </c>
      <c r="E1940" t="n">
        <v>4818</v>
      </c>
      <c r="F1940" t="n">
        <v>114526.56</v>
      </c>
      <c r="G1940" t="n">
        <v>60</v>
      </c>
      <c r="H1940" t="inlineStr">
        <is>
          <t>Long Range</t>
        </is>
      </c>
      <c r="I1940" t="inlineStr">
        <is>
          <t>RWD</t>
        </is>
      </c>
      <c r="J1940" t="inlineStr">
        <is>
          <t>Black</t>
        </is>
      </c>
      <c r="K1940" t="n">
        <v>382</v>
      </c>
      <c r="L1940" t="n">
        <v>85</v>
      </c>
      <c r="M1940" t="n">
        <v>16.56</v>
      </c>
      <c r="N1940" t="n">
        <v>8002.39</v>
      </c>
      <c r="O1940" t="n">
        <v>4.03</v>
      </c>
      <c r="P1940" t="n">
        <v>4</v>
      </c>
      <c r="Q1940" t="n">
        <v>0</v>
      </c>
      <c r="R1940" t="n">
        <v>2021.11</v>
      </c>
      <c r="S1940" t="b">
        <v>1</v>
      </c>
      <c r="T1940" t="n">
        <v>3677985</v>
      </c>
      <c r="U1940" t="n">
        <v>11</v>
      </c>
      <c r="V1940" t="n">
        <v>0.0415</v>
      </c>
      <c r="W1940" t="n">
        <v>1.44</v>
      </c>
      <c r="X1940" t="n">
        <v>89.22</v>
      </c>
      <c r="Y1940">
        <f>VLOOKUP(D1940,$AB$2:$AC$7,2,FALSE)</f>
        <v/>
      </c>
      <c r="Z1940">
        <f>IF(A1940&lt;Y1940,"Yes","No")</f>
        <v/>
      </c>
    </row>
    <row r="1941">
      <c r="A1941" t="n">
        <v>2018</v>
      </c>
      <c r="B1941" t="inlineStr">
        <is>
          <t>Q3</t>
        </is>
      </c>
      <c r="C1941" t="inlineStr">
        <is>
          <t>Europe</t>
        </is>
      </c>
      <c r="D1941" t="inlineStr">
        <is>
          <t>Model Y</t>
        </is>
      </c>
      <c r="E1941" t="n">
        <v>1188</v>
      </c>
      <c r="F1941" t="n">
        <v>85447.75999999999</v>
      </c>
      <c r="G1941" t="n">
        <v>13</v>
      </c>
      <c r="H1941" t="inlineStr">
        <is>
          <t>Long Range</t>
        </is>
      </c>
      <c r="I1941" t="inlineStr">
        <is>
          <t>AWD</t>
        </is>
      </c>
      <c r="J1941" t="inlineStr">
        <is>
          <t>Red</t>
        </is>
      </c>
      <c r="K1941" t="n">
        <v>662</v>
      </c>
      <c r="L1941" t="n">
        <v>31</v>
      </c>
      <c r="M1941" t="n">
        <v>19.79</v>
      </c>
      <c r="N1941" t="n">
        <v>2828.42</v>
      </c>
      <c r="O1941" t="n">
        <v>3.89</v>
      </c>
      <c r="P1941" t="n">
        <v>4</v>
      </c>
      <c r="Q1941" t="n">
        <v>0</v>
      </c>
      <c r="R1941" t="n">
        <v>2022.12</v>
      </c>
      <c r="S1941" t="b">
        <v>0</v>
      </c>
      <c r="T1941" t="n">
        <v>2592486</v>
      </c>
      <c r="U1941" t="n">
        <v>9</v>
      </c>
      <c r="V1941" t="n">
        <v>0.0137</v>
      </c>
      <c r="W1941" t="n">
        <v>2.17</v>
      </c>
      <c r="X1941" t="n">
        <v>72.55</v>
      </c>
      <c r="Y1941">
        <f>VLOOKUP(D1941,$AB$2:$AC$7,2,FALSE)</f>
        <v/>
      </c>
      <c r="Z1941">
        <f>IF(A1941&lt;Y1941,"Yes","No")</f>
        <v/>
      </c>
    </row>
    <row r="1942">
      <c r="A1942" t="n">
        <v>2019</v>
      </c>
      <c r="B1942" t="inlineStr">
        <is>
          <t>Q3</t>
        </is>
      </c>
      <c r="C1942" t="inlineStr">
        <is>
          <t>North America</t>
        </is>
      </c>
      <c r="D1942" t="inlineStr">
        <is>
          <t>Model Y</t>
        </is>
      </c>
      <c r="E1942" t="n">
        <v>535</v>
      </c>
      <c r="F1942" t="n">
        <v>101669.94</v>
      </c>
      <c r="G1942" t="n">
        <v>0</v>
      </c>
      <c r="H1942" t="inlineStr">
        <is>
          <t>Standard</t>
        </is>
      </c>
      <c r="I1942" t="inlineStr">
        <is>
          <t>AWD</t>
        </is>
      </c>
      <c r="J1942" t="inlineStr">
        <is>
          <t>White</t>
        </is>
      </c>
      <c r="K1942" t="n">
        <v>436</v>
      </c>
      <c r="L1942" t="n">
        <v>51</v>
      </c>
      <c r="M1942" t="n">
        <v>16.88</v>
      </c>
      <c r="N1942" t="n">
        <v>1247.36</v>
      </c>
      <c r="O1942" t="n">
        <v>4.49</v>
      </c>
      <c r="P1942" t="n">
        <v>4</v>
      </c>
      <c r="Q1942" t="n">
        <v>1</v>
      </c>
      <c r="R1942" t="n">
        <v>2022.12</v>
      </c>
      <c r="S1942" t="b">
        <v>1</v>
      </c>
      <c r="T1942" t="n">
        <v>3875769</v>
      </c>
      <c r="U1942" t="n">
        <v>8</v>
      </c>
      <c r="V1942" t="n">
        <v>0.0268</v>
      </c>
      <c r="W1942" t="n">
        <v>0.87</v>
      </c>
      <c r="X1942" t="n">
        <v>60.84</v>
      </c>
      <c r="Y1942">
        <f>VLOOKUP(D1942,$AB$2:$AC$7,2,FALSE)</f>
        <v/>
      </c>
      <c r="Z1942">
        <f>IF(A1942&lt;Y1942,"Yes","No")</f>
        <v/>
      </c>
    </row>
    <row r="1943">
      <c r="A1943" t="n">
        <v>2021</v>
      </c>
      <c r="B1943" t="inlineStr">
        <is>
          <t>Q3</t>
        </is>
      </c>
      <c r="C1943" t="inlineStr">
        <is>
          <t>Asia</t>
        </is>
      </c>
      <c r="D1943" t="inlineStr">
        <is>
          <t>Model S</t>
        </is>
      </c>
      <c r="E1943" t="n">
        <v>4078</v>
      </c>
      <c r="F1943" t="n">
        <v>66447.98</v>
      </c>
      <c r="G1943" t="n">
        <v>43</v>
      </c>
      <c r="H1943" t="inlineStr">
        <is>
          <t>Standard</t>
        </is>
      </c>
      <c r="I1943" t="inlineStr">
        <is>
          <t>AWD</t>
        </is>
      </c>
      <c r="J1943" t="inlineStr">
        <is>
          <t>Blue</t>
        </is>
      </c>
      <c r="K1943" t="n">
        <v>476</v>
      </c>
      <c r="L1943" t="n">
        <v>58</v>
      </c>
      <c r="M1943" t="n">
        <v>20.37</v>
      </c>
      <c r="N1943" t="n">
        <v>4901.72</v>
      </c>
      <c r="O1943" t="n">
        <v>4.32</v>
      </c>
      <c r="P1943" t="n">
        <v>5</v>
      </c>
      <c r="Q1943" t="n">
        <v>0</v>
      </c>
      <c r="R1943" t="n">
        <v>2023.4</v>
      </c>
      <c r="S1943" t="b">
        <v>1</v>
      </c>
      <c r="T1943" t="n">
        <v>1872401</v>
      </c>
      <c r="U1943" t="n">
        <v>11</v>
      </c>
      <c r="V1943" t="n">
        <v>0.0769</v>
      </c>
      <c r="W1943" t="n">
        <v>1.74</v>
      </c>
      <c r="X1943" t="n">
        <v>87.11</v>
      </c>
      <c r="Y1943">
        <f>VLOOKUP(D1943,$AB$2:$AC$7,2,FALSE)</f>
        <v/>
      </c>
      <c r="Z1943">
        <f>IF(A1943&lt;Y1943,"Yes","No")</f>
        <v/>
      </c>
    </row>
    <row r="1944">
      <c r="A1944" t="n">
        <v>2012</v>
      </c>
      <c r="B1944" t="inlineStr">
        <is>
          <t>Q2</t>
        </is>
      </c>
      <c r="C1944" t="inlineStr">
        <is>
          <t>South America</t>
        </is>
      </c>
      <c r="D1944" t="inlineStr">
        <is>
          <t>Model Y</t>
        </is>
      </c>
      <c r="E1944" t="n">
        <v>2949</v>
      </c>
      <c r="F1944" t="n">
        <v>71895.69</v>
      </c>
      <c r="G1944" t="n">
        <v>6</v>
      </c>
      <c r="H1944" t="inlineStr">
        <is>
          <t>Standard</t>
        </is>
      </c>
      <c r="I1944" t="inlineStr">
        <is>
          <t>AWD</t>
        </is>
      </c>
      <c r="J1944" t="inlineStr">
        <is>
          <t>Blue</t>
        </is>
      </c>
      <c r="K1944" t="n">
        <v>495</v>
      </c>
      <c r="L1944" t="n">
        <v>54</v>
      </c>
      <c r="M1944" t="n">
        <v>16.33</v>
      </c>
      <c r="N1944" t="n">
        <v>3885.56</v>
      </c>
      <c r="O1944" t="n">
        <v>4.91</v>
      </c>
      <c r="P1944" t="n">
        <v>8</v>
      </c>
      <c r="Q1944" t="n">
        <v>3</v>
      </c>
      <c r="R1944" t="n">
        <v>2022.8</v>
      </c>
      <c r="S1944" t="b">
        <v>0</v>
      </c>
      <c r="T1944" t="n">
        <v>3307925</v>
      </c>
      <c r="U1944" t="n">
        <v>4</v>
      </c>
      <c r="V1944" t="n">
        <v>0.0398</v>
      </c>
      <c r="W1944" t="n">
        <v>0.6</v>
      </c>
      <c r="X1944" t="n">
        <v>67.84</v>
      </c>
      <c r="Y1944">
        <f>VLOOKUP(D1944,$AB$2:$AC$7,2,FALSE)</f>
        <v/>
      </c>
      <c r="Z1944">
        <f>IF(A1944&lt;Y1944,"Yes","No")</f>
        <v/>
      </c>
    </row>
    <row r="1945">
      <c r="A1945" t="n">
        <v>2017</v>
      </c>
      <c r="B1945" t="inlineStr">
        <is>
          <t>Q1</t>
        </is>
      </c>
      <c r="C1945" t="inlineStr">
        <is>
          <t>North America</t>
        </is>
      </c>
      <c r="D1945" t="inlineStr">
        <is>
          <t>Semi</t>
        </is>
      </c>
      <c r="E1945" t="n">
        <v>2554</v>
      </c>
      <c r="F1945" t="n">
        <v>56064.13</v>
      </c>
      <c r="G1945" t="n">
        <v>53</v>
      </c>
      <c r="H1945" t="inlineStr">
        <is>
          <t>Performance</t>
        </is>
      </c>
      <c r="I1945" t="inlineStr">
        <is>
          <t>AWD</t>
        </is>
      </c>
      <c r="J1945" t="inlineStr">
        <is>
          <t>White</t>
        </is>
      </c>
      <c r="K1945" t="n">
        <v>589</v>
      </c>
      <c r="L1945" t="n">
        <v>86</v>
      </c>
      <c r="M1945" t="n">
        <v>13.19</v>
      </c>
      <c r="N1945" t="n">
        <v>4240.27</v>
      </c>
      <c r="O1945" t="n">
        <v>4.83</v>
      </c>
      <c r="P1945" t="n">
        <v>8</v>
      </c>
      <c r="Q1945" t="n">
        <v>0</v>
      </c>
      <c r="R1945" t="n">
        <v>2020.3</v>
      </c>
      <c r="S1945" t="b">
        <v>0</v>
      </c>
      <c r="T1945" t="n">
        <v>2909737</v>
      </c>
      <c r="U1945" t="n">
        <v>3</v>
      </c>
      <c r="V1945" t="n">
        <v>0.0326</v>
      </c>
      <c r="W1945" t="n">
        <v>1.56</v>
      </c>
      <c r="X1945" t="n">
        <v>85.75</v>
      </c>
      <c r="Y1945">
        <f>VLOOKUP(D1945,$AB$2:$AC$7,2,FALSE)</f>
        <v/>
      </c>
      <c r="Z1945">
        <f>IF(A1945&lt;Y1945,"Yes","No")</f>
        <v/>
      </c>
    </row>
    <row r="1946">
      <c r="A1946" t="n">
        <v>2017</v>
      </c>
      <c r="B1946" t="inlineStr">
        <is>
          <t>Q3</t>
        </is>
      </c>
      <c r="C1946" t="inlineStr">
        <is>
          <t>Europe</t>
        </is>
      </c>
      <c r="D1946" t="inlineStr">
        <is>
          <t>Model S</t>
        </is>
      </c>
      <c r="E1946" t="n">
        <v>2066</v>
      </c>
      <c r="F1946" t="n">
        <v>50780.91</v>
      </c>
      <c r="G1946" t="n">
        <v>59</v>
      </c>
      <c r="H1946" t="inlineStr">
        <is>
          <t>Performance</t>
        </is>
      </c>
      <c r="I1946" t="inlineStr">
        <is>
          <t>RWD</t>
        </is>
      </c>
      <c r="J1946" t="inlineStr">
        <is>
          <t>White</t>
        </is>
      </c>
      <c r="K1946" t="n">
        <v>638</v>
      </c>
      <c r="L1946" t="n">
        <v>37</v>
      </c>
      <c r="M1946" t="n">
        <v>19.44</v>
      </c>
      <c r="N1946" t="n">
        <v>5018.41</v>
      </c>
      <c r="O1946" t="n">
        <v>4.79</v>
      </c>
      <c r="P1946" t="n">
        <v>4</v>
      </c>
      <c r="Q1946" t="n">
        <v>2</v>
      </c>
      <c r="R1946" t="n">
        <v>2021.9</v>
      </c>
      <c r="S1946" t="b">
        <v>1</v>
      </c>
      <c r="T1946" t="n">
        <v>458242</v>
      </c>
      <c r="U1946" t="n">
        <v>7</v>
      </c>
      <c r="V1946" t="n">
        <v>0.0275</v>
      </c>
      <c r="W1946" t="n">
        <v>2.44</v>
      </c>
      <c r="X1946" t="n">
        <v>74.67</v>
      </c>
      <c r="Y1946">
        <f>VLOOKUP(D1946,$AB$2:$AC$7,2,FALSE)</f>
        <v/>
      </c>
      <c r="Z1946">
        <f>IF(A1946&lt;Y1946,"Yes","No")</f>
        <v/>
      </c>
    </row>
    <row r="1947">
      <c r="A1947" t="n">
        <v>2012</v>
      </c>
      <c r="B1947" t="inlineStr">
        <is>
          <t>Q2</t>
        </is>
      </c>
      <c r="C1947" t="inlineStr">
        <is>
          <t>North America</t>
        </is>
      </c>
      <c r="D1947" t="inlineStr">
        <is>
          <t>Model 3</t>
        </is>
      </c>
      <c r="E1947" t="n">
        <v>4654</v>
      </c>
      <c r="F1947" t="n">
        <v>111606.86</v>
      </c>
      <c r="G1947" t="n">
        <v>18</v>
      </c>
      <c r="H1947" t="inlineStr">
        <is>
          <t>Standard</t>
        </is>
      </c>
      <c r="I1947" t="inlineStr">
        <is>
          <t>AWD</t>
        </is>
      </c>
      <c r="J1947" t="inlineStr">
        <is>
          <t>Green</t>
        </is>
      </c>
      <c r="K1947" t="n">
        <v>570</v>
      </c>
      <c r="L1947" t="n">
        <v>70</v>
      </c>
      <c r="M1947" t="n">
        <v>18.7</v>
      </c>
      <c r="N1947" t="n">
        <v>9696.59</v>
      </c>
      <c r="O1947" t="n">
        <v>4.39</v>
      </c>
      <c r="P1947" t="n">
        <v>4</v>
      </c>
      <c r="Q1947" t="n">
        <v>0</v>
      </c>
      <c r="R1947" t="n">
        <v>2020.6</v>
      </c>
      <c r="S1947" t="b">
        <v>1</v>
      </c>
      <c r="T1947" t="n">
        <v>4207122</v>
      </c>
      <c r="U1947" t="n">
        <v>3</v>
      </c>
      <c r="V1947" t="n">
        <v>0.0621</v>
      </c>
      <c r="W1947" t="n">
        <v>0.57</v>
      </c>
      <c r="X1947" t="n">
        <v>70.62</v>
      </c>
      <c r="Y1947">
        <f>VLOOKUP(D1947,$AB$2:$AC$7,2,FALSE)</f>
        <v/>
      </c>
      <c r="Z1947">
        <f>IF(A1947&lt;Y1947,"Yes","No")</f>
        <v/>
      </c>
    </row>
    <row r="1948">
      <c r="A1948" t="n">
        <v>2019</v>
      </c>
      <c r="B1948" t="inlineStr">
        <is>
          <t>Q3</t>
        </is>
      </c>
      <c r="C1948" t="inlineStr">
        <is>
          <t>Asia</t>
        </is>
      </c>
      <c r="D1948" t="inlineStr">
        <is>
          <t>Model X</t>
        </is>
      </c>
      <c r="E1948" t="n">
        <v>2322</v>
      </c>
      <c r="F1948" t="n">
        <v>37082.41</v>
      </c>
      <c r="G1948" t="n">
        <v>27</v>
      </c>
      <c r="H1948" t="inlineStr">
        <is>
          <t>Performance</t>
        </is>
      </c>
      <c r="I1948" t="inlineStr">
        <is>
          <t>AWD</t>
        </is>
      </c>
      <c r="J1948" t="inlineStr">
        <is>
          <t>White</t>
        </is>
      </c>
      <c r="K1948" t="n">
        <v>476</v>
      </c>
      <c r="L1948" t="n">
        <v>62</v>
      </c>
      <c r="M1948" t="n">
        <v>18.46</v>
      </c>
      <c r="N1948" t="n">
        <v>3176.44</v>
      </c>
      <c r="O1948" t="n">
        <v>3.81</v>
      </c>
      <c r="P1948" t="n">
        <v>6</v>
      </c>
      <c r="Q1948" t="n">
        <v>1</v>
      </c>
      <c r="R1948" t="n">
        <v>2020.12</v>
      </c>
      <c r="S1948" t="b">
        <v>0</v>
      </c>
      <c r="T1948" t="n">
        <v>3226085</v>
      </c>
      <c r="U1948" t="n">
        <v>8</v>
      </c>
      <c r="V1948" t="n">
        <v>0.0546</v>
      </c>
      <c r="W1948" t="n">
        <v>1.72</v>
      </c>
      <c r="X1948" t="n">
        <v>77.98</v>
      </c>
      <c r="Y1948">
        <f>VLOOKUP(D1948,$AB$2:$AC$7,2,FALSE)</f>
        <v/>
      </c>
      <c r="Z1948">
        <f>IF(A1948&lt;Y1948,"Yes","No")</f>
        <v/>
      </c>
    </row>
    <row r="1949">
      <c r="A1949" t="n">
        <v>2019</v>
      </c>
      <c r="B1949" t="inlineStr">
        <is>
          <t>Q2</t>
        </is>
      </c>
      <c r="C1949" t="inlineStr">
        <is>
          <t>South America</t>
        </is>
      </c>
      <c r="D1949" t="inlineStr">
        <is>
          <t>Model Y</t>
        </is>
      </c>
      <c r="E1949" t="n">
        <v>1525</v>
      </c>
      <c r="F1949" t="n">
        <v>97633.27</v>
      </c>
      <c r="G1949" t="n">
        <v>14</v>
      </c>
      <c r="H1949" t="inlineStr">
        <is>
          <t>Standard</t>
        </is>
      </c>
      <c r="I1949" t="inlineStr">
        <is>
          <t>RWD</t>
        </is>
      </c>
      <c r="J1949" t="inlineStr">
        <is>
          <t>Black</t>
        </is>
      </c>
      <c r="K1949" t="n">
        <v>435</v>
      </c>
      <c r="L1949" t="n">
        <v>46</v>
      </c>
      <c r="M1949" t="n">
        <v>24.37</v>
      </c>
      <c r="N1949" t="n">
        <v>2254.03</v>
      </c>
      <c r="O1949" t="n">
        <v>3.56</v>
      </c>
      <c r="P1949" t="n">
        <v>4</v>
      </c>
      <c r="Q1949" t="n">
        <v>0</v>
      </c>
      <c r="R1949" t="n">
        <v>2022.7</v>
      </c>
      <c r="S1949" t="b">
        <v>0</v>
      </c>
      <c r="T1949" t="n">
        <v>2793957</v>
      </c>
      <c r="U1949" t="n">
        <v>12</v>
      </c>
      <c r="V1949" t="n">
        <v>0.0825</v>
      </c>
      <c r="W1949" t="n">
        <v>0.72</v>
      </c>
      <c r="X1949" t="n">
        <v>88.09</v>
      </c>
      <c r="Y1949">
        <f>VLOOKUP(D1949,$AB$2:$AC$7,2,FALSE)</f>
        <v/>
      </c>
      <c r="Z1949">
        <f>IF(A1949&lt;Y1949,"Yes","No")</f>
        <v/>
      </c>
    </row>
    <row r="1950">
      <c r="A1950" t="n">
        <v>2013</v>
      </c>
      <c r="B1950" t="inlineStr">
        <is>
          <t>Q2</t>
        </is>
      </c>
      <c r="C1950" t="inlineStr">
        <is>
          <t>Asia</t>
        </is>
      </c>
      <c r="D1950" t="inlineStr">
        <is>
          <t>Model 3</t>
        </is>
      </c>
      <c r="E1950" t="n">
        <v>222</v>
      </c>
      <c r="F1950" t="n">
        <v>110886.56</v>
      </c>
      <c r="G1950" t="n">
        <v>25</v>
      </c>
      <c r="H1950" t="inlineStr">
        <is>
          <t>Performance</t>
        </is>
      </c>
      <c r="I1950" t="inlineStr">
        <is>
          <t>AWD</t>
        </is>
      </c>
      <c r="J1950" t="inlineStr">
        <is>
          <t>Black</t>
        </is>
      </c>
      <c r="K1950" t="n">
        <v>645</v>
      </c>
      <c r="L1950" t="n">
        <v>79</v>
      </c>
      <c r="M1950" t="n">
        <v>19.08</v>
      </c>
      <c r="N1950" t="n">
        <v>281.78</v>
      </c>
      <c r="O1950" t="n">
        <v>4.54</v>
      </c>
      <c r="P1950" t="n">
        <v>4</v>
      </c>
      <c r="Q1950" t="n">
        <v>3</v>
      </c>
      <c r="R1950" t="n">
        <v>2020.6</v>
      </c>
      <c r="S1950" t="b">
        <v>1</v>
      </c>
      <c r="T1950" t="n">
        <v>4990668</v>
      </c>
      <c r="U1950" t="n">
        <v>3</v>
      </c>
      <c r="V1950" t="n">
        <v>0.0524</v>
      </c>
      <c r="W1950" t="n">
        <v>0.51</v>
      </c>
      <c r="X1950" t="n">
        <v>80.42</v>
      </c>
      <c r="Y1950">
        <f>VLOOKUP(D1950,$AB$2:$AC$7,2,FALSE)</f>
        <v/>
      </c>
      <c r="Z1950">
        <f>IF(A1950&lt;Y1950,"Yes","No")</f>
        <v/>
      </c>
    </row>
    <row r="1951">
      <c r="A1951" t="n">
        <v>2014</v>
      </c>
      <c r="B1951" t="inlineStr">
        <is>
          <t>Q2</t>
        </is>
      </c>
      <c r="C1951" t="inlineStr">
        <is>
          <t>Australia</t>
        </is>
      </c>
      <c r="D1951" t="inlineStr">
        <is>
          <t>Semi</t>
        </is>
      </c>
      <c r="E1951" t="n">
        <v>2018</v>
      </c>
      <c r="F1951" t="n">
        <v>72522.11</v>
      </c>
      <c r="G1951" t="n">
        <v>46</v>
      </c>
      <c r="H1951" t="inlineStr">
        <is>
          <t>Performance</t>
        </is>
      </c>
      <c r="I1951" t="inlineStr">
        <is>
          <t>AWD</t>
        </is>
      </c>
      <c r="J1951" t="inlineStr">
        <is>
          <t>Blue</t>
        </is>
      </c>
      <c r="K1951" t="n">
        <v>477</v>
      </c>
      <c r="L1951" t="n">
        <v>64</v>
      </c>
      <c r="M1951" t="n">
        <v>13.54</v>
      </c>
      <c r="N1951" t="n">
        <v>1888.26</v>
      </c>
      <c r="O1951" t="n">
        <v>3.61</v>
      </c>
      <c r="P1951" t="n">
        <v>6</v>
      </c>
      <c r="Q1951" t="n">
        <v>1</v>
      </c>
      <c r="R1951" t="n">
        <v>2022.2</v>
      </c>
      <c r="S1951" t="b">
        <v>1</v>
      </c>
      <c r="T1951" t="n">
        <v>2989524</v>
      </c>
      <c r="U1951" t="n">
        <v>12</v>
      </c>
      <c r="V1951" t="n">
        <v>0.0533</v>
      </c>
      <c r="W1951" t="n">
        <v>0.74</v>
      </c>
      <c r="X1951" t="n">
        <v>73.12</v>
      </c>
      <c r="Y1951">
        <f>VLOOKUP(D1951,$AB$2:$AC$7,2,FALSE)</f>
        <v/>
      </c>
      <c r="Z1951">
        <f>IF(A1951&lt;Y1951,"Yes","No")</f>
        <v/>
      </c>
    </row>
    <row r="1952">
      <c r="A1952" t="n">
        <v>2020</v>
      </c>
      <c r="B1952" t="inlineStr">
        <is>
          <t>Q2</t>
        </is>
      </c>
      <c r="C1952" t="inlineStr">
        <is>
          <t>Australia</t>
        </is>
      </c>
      <c r="D1952" t="inlineStr">
        <is>
          <t>Model S</t>
        </is>
      </c>
      <c r="E1952" t="n">
        <v>585</v>
      </c>
      <c r="F1952" t="n">
        <v>44235.5</v>
      </c>
      <c r="G1952" t="n">
        <v>18</v>
      </c>
      <c r="H1952" t="inlineStr">
        <is>
          <t>Long Range</t>
        </is>
      </c>
      <c r="I1952" t="inlineStr">
        <is>
          <t>RWD</t>
        </is>
      </c>
      <c r="J1952" t="inlineStr">
        <is>
          <t>Black</t>
        </is>
      </c>
      <c r="K1952" t="n">
        <v>362</v>
      </c>
      <c r="L1952" t="n">
        <v>58</v>
      </c>
      <c r="M1952" t="n">
        <v>15.46</v>
      </c>
      <c r="N1952" t="n">
        <v>832.1799999999999</v>
      </c>
      <c r="O1952" t="n">
        <v>4.22</v>
      </c>
      <c r="P1952" t="n">
        <v>5</v>
      </c>
      <c r="Q1952" t="n">
        <v>2</v>
      </c>
      <c r="R1952" t="n">
        <v>2022.2</v>
      </c>
      <c r="S1952" t="b">
        <v>0</v>
      </c>
      <c r="T1952" t="n">
        <v>2814746</v>
      </c>
      <c r="U1952" t="n">
        <v>7</v>
      </c>
      <c r="V1952" t="n">
        <v>0.0814</v>
      </c>
      <c r="W1952" t="n">
        <v>1.34</v>
      </c>
      <c r="X1952" t="n">
        <v>69.16</v>
      </c>
      <c r="Y1952">
        <f>VLOOKUP(D1952,$AB$2:$AC$7,2,FALSE)</f>
        <v/>
      </c>
      <c r="Z1952">
        <f>IF(A1952&lt;Y1952,"Yes","No")</f>
        <v/>
      </c>
    </row>
    <row r="1953">
      <c r="A1953" t="n">
        <v>2015</v>
      </c>
      <c r="B1953" t="inlineStr">
        <is>
          <t>Q1</t>
        </is>
      </c>
      <c r="C1953" t="inlineStr">
        <is>
          <t>North America</t>
        </is>
      </c>
      <c r="D1953" t="inlineStr">
        <is>
          <t>Model Y</t>
        </is>
      </c>
      <c r="E1953" t="n">
        <v>4243</v>
      </c>
      <c r="F1953" t="n">
        <v>80372.32000000001</v>
      </c>
      <c r="G1953" t="n">
        <v>37</v>
      </c>
      <c r="H1953" t="inlineStr">
        <is>
          <t>Standard</t>
        </is>
      </c>
      <c r="I1953" t="inlineStr">
        <is>
          <t>RWD</t>
        </is>
      </c>
      <c r="J1953" t="inlineStr">
        <is>
          <t>Blue</t>
        </is>
      </c>
      <c r="K1953" t="n">
        <v>468</v>
      </c>
      <c r="L1953" t="n">
        <v>60</v>
      </c>
      <c r="M1953" t="n">
        <v>20.65</v>
      </c>
      <c r="N1953" t="n">
        <v>2281.32</v>
      </c>
      <c r="O1953" t="n">
        <v>4.32</v>
      </c>
      <c r="P1953" t="n">
        <v>6</v>
      </c>
      <c r="Q1953" t="n">
        <v>1</v>
      </c>
      <c r="R1953" t="n">
        <v>2024.4</v>
      </c>
      <c r="S1953" t="b">
        <v>1</v>
      </c>
      <c r="T1953" t="n">
        <v>1145014</v>
      </c>
      <c r="U1953" t="n">
        <v>6</v>
      </c>
      <c r="V1953" t="n">
        <v>0.0592</v>
      </c>
      <c r="W1953" t="n">
        <v>1.23</v>
      </c>
      <c r="X1953" t="n">
        <v>75.20999999999999</v>
      </c>
      <c r="Y1953">
        <f>VLOOKUP(D1953,$AB$2:$AC$7,2,FALSE)</f>
        <v/>
      </c>
      <c r="Z1953">
        <f>IF(A1953&lt;Y1953,"Yes","No")</f>
        <v/>
      </c>
    </row>
    <row r="1954">
      <c r="A1954" t="n">
        <v>2013</v>
      </c>
      <c r="B1954" t="inlineStr">
        <is>
          <t>Q4</t>
        </is>
      </c>
      <c r="C1954" t="inlineStr">
        <is>
          <t>Asia</t>
        </is>
      </c>
      <c r="D1954" t="inlineStr">
        <is>
          <t>Model Y</t>
        </is>
      </c>
      <c r="E1954" t="n">
        <v>130</v>
      </c>
      <c r="F1954" t="n">
        <v>79122</v>
      </c>
      <c r="G1954" t="n">
        <v>3</v>
      </c>
      <c r="H1954" t="inlineStr">
        <is>
          <t>Performance</t>
        </is>
      </c>
      <c r="I1954" t="inlineStr">
        <is>
          <t>RWD</t>
        </is>
      </c>
      <c r="J1954" t="inlineStr">
        <is>
          <t>Red</t>
        </is>
      </c>
      <c r="K1954" t="n">
        <v>610</v>
      </c>
      <c r="L1954" t="n">
        <v>73</v>
      </c>
      <c r="M1954" t="n">
        <v>20.45</v>
      </c>
      <c r="N1954" t="n">
        <v>260.27</v>
      </c>
      <c r="O1954" t="n">
        <v>4.51</v>
      </c>
      <c r="P1954" t="n">
        <v>6</v>
      </c>
      <c r="Q1954" t="n">
        <v>2</v>
      </c>
      <c r="R1954" t="n">
        <v>2023.12</v>
      </c>
      <c r="S1954" t="b">
        <v>1</v>
      </c>
      <c r="T1954" t="n">
        <v>4761940</v>
      </c>
      <c r="U1954" t="n">
        <v>10</v>
      </c>
      <c r="V1954" t="n">
        <v>0.0804</v>
      </c>
      <c r="W1954" t="n">
        <v>1.36</v>
      </c>
      <c r="X1954" t="n">
        <v>74.02</v>
      </c>
      <c r="Y1954">
        <f>VLOOKUP(D1954,$AB$2:$AC$7,2,FALSE)</f>
        <v/>
      </c>
      <c r="Z1954">
        <f>IF(A1954&lt;Y1954,"Yes","No")</f>
        <v/>
      </c>
    </row>
    <row r="1955">
      <c r="A1955" t="n">
        <v>2016</v>
      </c>
      <c r="B1955" t="inlineStr">
        <is>
          <t>Q4</t>
        </is>
      </c>
      <c r="C1955" t="inlineStr">
        <is>
          <t>North America</t>
        </is>
      </c>
      <c r="D1955" t="inlineStr">
        <is>
          <t>Cybertruck</t>
        </is>
      </c>
      <c r="E1955" t="n">
        <v>3797</v>
      </c>
      <c r="F1955" t="n">
        <v>53490.05</v>
      </c>
      <c r="G1955" t="n">
        <v>51</v>
      </c>
      <c r="H1955" t="inlineStr">
        <is>
          <t>Long Range</t>
        </is>
      </c>
      <c r="I1955" t="inlineStr">
        <is>
          <t>AWD</t>
        </is>
      </c>
      <c r="J1955" t="inlineStr">
        <is>
          <t>Red</t>
        </is>
      </c>
      <c r="K1955" t="n">
        <v>484</v>
      </c>
      <c r="L1955" t="n">
        <v>66</v>
      </c>
      <c r="M1955" t="n">
        <v>15.34</v>
      </c>
      <c r="N1955" t="n">
        <v>2609.97</v>
      </c>
      <c r="O1955" t="n">
        <v>3.63</v>
      </c>
      <c r="P1955" t="n">
        <v>8</v>
      </c>
      <c r="Q1955" t="n">
        <v>1</v>
      </c>
      <c r="R1955" t="n">
        <v>2021.1</v>
      </c>
      <c r="S1955" t="b">
        <v>1</v>
      </c>
      <c r="T1955" t="n">
        <v>4462898</v>
      </c>
      <c r="U1955" t="n">
        <v>2</v>
      </c>
      <c r="V1955" t="n">
        <v>0.0375</v>
      </c>
      <c r="W1955" t="n">
        <v>0.51</v>
      </c>
      <c r="X1955" t="n">
        <v>66.88</v>
      </c>
      <c r="Y1955">
        <f>VLOOKUP(D1955,$AB$2:$AC$7,2,FALSE)</f>
        <v/>
      </c>
      <c r="Z1955">
        <f>IF(A1955&lt;Y1955,"Yes","No")</f>
        <v/>
      </c>
    </row>
    <row r="1956">
      <c r="A1956" t="n">
        <v>2024</v>
      </c>
      <c r="B1956" t="inlineStr">
        <is>
          <t>Q2</t>
        </is>
      </c>
      <c r="C1956" t="inlineStr">
        <is>
          <t>Asia</t>
        </is>
      </c>
      <c r="D1956" t="inlineStr">
        <is>
          <t>Cybertruck</t>
        </is>
      </c>
      <c r="E1956" t="n">
        <v>967</v>
      </c>
      <c r="F1956" t="n">
        <v>90635.23</v>
      </c>
      <c r="G1956" t="n">
        <v>25</v>
      </c>
      <c r="H1956" t="inlineStr">
        <is>
          <t>Long Range</t>
        </is>
      </c>
      <c r="I1956" t="inlineStr">
        <is>
          <t>RWD</t>
        </is>
      </c>
      <c r="J1956" t="inlineStr">
        <is>
          <t>Blue</t>
        </is>
      </c>
      <c r="K1956" t="n">
        <v>480</v>
      </c>
      <c r="L1956" t="n">
        <v>67</v>
      </c>
      <c r="M1956" t="n">
        <v>15.22</v>
      </c>
      <c r="N1956" t="n">
        <v>1406.55</v>
      </c>
      <c r="O1956" t="n">
        <v>4.34</v>
      </c>
      <c r="P1956" t="n">
        <v>8</v>
      </c>
      <c r="Q1956" t="n">
        <v>0</v>
      </c>
      <c r="R1956" t="n">
        <v>2021.4</v>
      </c>
      <c r="S1956" t="b">
        <v>0</v>
      </c>
      <c r="T1956" t="n">
        <v>1203045</v>
      </c>
      <c r="U1956" t="n">
        <v>4</v>
      </c>
      <c r="V1956" t="n">
        <v>0.0672</v>
      </c>
      <c r="W1956" t="n">
        <v>2.12</v>
      </c>
      <c r="X1956" t="n">
        <v>83.43000000000001</v>
      </c>
      <c r="Y1956">
        <f>VLOOKUP(D1956,$AB$2:$AC$7,2,FALSE)</f>
        <v/>
      </c>
      <c r="Z1956">
        <f>IF(A1956&lt;Y1956,"Yes","No")</f>
        <v/>
      </c>
    </row>
    <row r="1957">
      <c r="A1957" t="n">
        <v>2013</v>
      </c>
      <c r="B1957" t="inlineStr">
        <is>
          <t>Q1</t>
        </is>
      </c>
      <c r="C1957" t="inlineStr">
        <is>
          <t>Asia</t>
        </is>
      </c>
      <c r="D1957" t="inlineStr">
        <is>
          <t>Model X</t>
        </is>
      </c>
      <c r="E1957" t="n">
        <v>1750</v>
      </c>
      <c r="F1957" t="n">
        <v>91028.78999999999</v>
      </c>
      <c r="G1957" t="n">
        <v>11</v>
      </c>
      <c r="H1957" t="inlineStr">
        <is>
          <t>Long Range</t>
        </is>
      </c>
      <c r="I1957" t="inlineStr">
        <is>
          <t>AWD</t>
        </is>
      </c>
      <c r="J1957" t="inlineStr">
        <is>
          <t>Red</t>
        </is>
      </c>
      <c r="K1957" t="n">
        <v>439</v>
      </c>
      <c r="L1957" t="n">
        <v>35</v>
      </c>
      <c r="M1957" t="n">
        <v>15.4</v>
      </c>
      <c r="N1957" t="n">
        <v>2578.39</v>
      </c>
      <c r="O1957" t="n">
        <v>4.11</v>
      </c>
      <c r="P1957" t="n">
        <v>5</v>
      </c>
      <c r="Q1957" t="n">
        <v>1</v>
      </c>
      <c r="R1957" t="n">
        <v>2024.5</v>
      </c>
      <c r="S1957" t="b">
        <v>1</v>
      </c>
      <c r="T1957" t="n">
        <v>4072516</v>
      </c>
      <c r="U1957" t="n">
        <v>10</v>
      </c>
      <c r="V1957" t="n">
        <v>0.051</v>
      </c>
      <c r="W1957" t="n">
        <v>0.53</v>
      </c>
      <c r="X1957" t="n">
        <v>75.33</v>
      </c>
      <c r="Y1957">
        <f>VLOOKUP(D1957,$AB$2:$AC$7,2,FALSE)</f>
        <v/>
      </c>
      <c r="Z1957">
        <f>IF(A1957&lt;Y1957,"Yes","No")</f>
        <v/>
      </c>
    </row>
    <row r="1958">
      <c r="A1958" t="n">
        <v>2016</v>
      </c>
      <c r="B1958" t="inlineStr">
        <is>
          <t>Q1</t>
        </is>
      </c>
      <c r="C1958" t="inlineStr">
        <is>
          <t>Australia</t>
        </is>
      </c>
      <c r="D1958" t="inlineStr">
        <is>
          <t>Model 3</t>
        </is>
      </c>
      <c r="E1958" t="n">
        <v>3438</v>
      </c>
      <c r="F1958" t="n">
        <v>112635.05</v>
      </c>
      <c r="G1958" t="n">
        <v>43</v>
      </c>
      <c r="H1958" t="inlineStr">
        <is>
          <t>Long Range</t>
        </is>
      </c>
      <c r="I1958" t="inlineStr">
        <is>
          <t>AWD</t>
        </is>
      </c>
      <c r="J1958" t="inlineStr">
        <is>
          <t>Red</t>
        </is>
      </c>
      <c r="K1958" t="n">
        <v>523</v>
      </c>
      <c r="L1958" t="n">
        <v>74</v>
      </c>
      <c r="M1958" t="n">
        <v>13.36</v>
      </c>
      <c r="N1958" t="n">
        <v>5759.75</v>
      </c>
      <c r="O1958" t="n">
        <v>4.13</v>
      </c>
      <c r="P1958" t="n">
        <v>4</v>
      </c>
      <c r="Q1958" t="n">
        <v>1</v>
      </c>
      <c r="R1958" t="n">
        <v>2024.9</v>
      </c>
      <c r="S1958" t="b">
        <v>1</v>
      </c>
      <c r="T1958" t="n">
        <v>3826467</v>
      </c>
      <c r="U1958" t="n">
        <v>11</v>
      </c>
      <c r="V1958" t="n">
        <v>0.067</v>
      </c>
      <c r="W1958" t="n">
        <v>1.7</v>
      </c>
      <c r="X1958" t="n">
        <v>76.2</v>
      </c>
      <c r="Y1958">
        <f>VLOOKUP(D1958,$AB$2:$AC$7,2,FALSE)</f>
        <v/>
      </c>
      <c r="Z1958">
        <f>IF(A1958&lt;Y1958,"Yes","No")</f>
        <v/>
      </c>
    </row>
    <row r="1959">
      <c r="A1959" t="n">
        <v>2022</v>
      </c>
      <c r="B1959" t="inlineStr">
        <is>
          <t>Q2</t>
        </is>
      </c>
      <c r="C1959" t="inlineStr">
        <is>
          <t>North America</t>
        </is>
      </c>
      <c r="D1959" t="inlineStr">
        <is>
          <t>Cybertruck</t>
        </is>
      </c>
      <c r="E1959" t="n">
        <v>1321</v>
      </c>
      <c r="F1959" t="n">
        <v>117071.06</v>
      </c>
      <c r="G1959" t="n">
        <v>50</v>
      </c>
      <c r="H1959" t="inlineStr">
        <is>
          <t>Standard</t>
        </is>
      </c>
      <c r="I1959" t="inlineStr">
        <is>
          <t>RWD</t>
        </is>
      </c>
      <c r="J1959" t="inlineStr">
        <is>
          <t>Green</t>
        </is>
      </c>
      <c r="K1959" t="n">
        <v>614</v>
      </c>
      <c r="L1959" t="n">
        <v>36</v>
      </c>
      <c r="M1959" t="n">
        <v>16.29</v>
      </c>
      <c r="N1959" t="n">
        <v>2172.18</v>
      </c>
      <c r="O1959" t="n">
        <v>3.87</v>
      </c>
      <c r="P1959" t="n">
        <v>6</v>
      </c>
      <c r="Q1959" t="n">
        <v>1</v>
      </c>
      <c r="R1959" t="n">
        <v>2023.1</v>
      </c>
      <c r="S1959" t="b">
        <v>1</v>
      </c>
      <c r="T1959" t="n">
        <v>2138196</v>
      </c>
      <c r="U1959" t="n">
        <v>4</v>
      </c>
      <c r="V1959" t="n">
        <v>0.0138</v>
      </c>
      <c r="W1959" t="n">
        <v>0.83</v>
      </c>
      <c r="X1959" t="n">
        <v>69.02</v>
      </c>
      <c r="Y1959">
        <f>VLOOKUP(D1959,$AB$2:$AC$7,2,FALSE)</f>
        <v/>
      </c>
      <c r="Z1959">
        <f>IF(A1959&lt;Y1959,"Yes","No")</f>
        <v/>
      </c>
    </row>
    <row r="1960">
      <c r="A1960" t="n">
        <v>2020</v>
      </c>
      <c r="B1960" t="inlineStr">
        <is>
          <t>Q4</t>
        </is>
      </c>
      <c r="C1960" t="inlineStr">
        <is>
          <t>North America</t>
        </is>
      </c>
      <c r="D1960" t="inlineStr">
        <is>
          <t>Semi</t>
        </is>
      </c>
      <c r="E1960" t="n">
        <v>750</v>
      </c>
      <c r="F1960" t="n">
        <v>63956.14</v>
      </c>
      <c r="G1960" t="n">
        <v>51</v>
      </c>
      <c r="H1960" t="inlineStr">
        <is>
          <t>Performance</t>
        </is>
      </c>
      <c r="I1960" t="inlineStr">
        <is>
          <t>AWD</t>
        </is>
      </c>
      <c r="J1960" t="inlineStr">
        <is>
          <t>Black</t>
        </is>
      </c>
      <c r="K1960" t="n">
        <v>376</v>
      </c>
      <c r="L1960" t="n">
        <v>82</v>
      </c>
      <c r="M1960" t="n">
        <v>21.34</v>
      </c>
      <c r="N1960" t="n">
        <v>1122.45</v>
      </c>
      <c r="O1960" t="n">
        <v>3.54</v>
      </c>
      <c r="P1960" t="n">
        <v>6</v>
      </c>
      <c r="Q1960" t="n">
        <v>3</v>
      </c>
      <c r="R1960" t="n">
        <v>2023.1</v>
      </c>
      <c r="S1960" t="b">
        <v>1</v>
      </c>
      <c r="T1960" t="n">
        <v>2423229</v>
      </c>
      <c r="U1960" t="n">
        <v>3</v>
      </c>
      <c r="V1960" t="n">
        <v>0.0864</v>
      </c>
      <c r="W1960" t="n">
        <v>1.62</v>
      </c>
      <c r="X1960" t="n">
        <v>89.86</v>
      </c>
      <c r="Y1960">
        <f>VLOOKUP(D1960,$AB$2:$AC$7,2,FALSE)</f>
        <v/>
      </c>
      <c r="Z1960">
        <f>IF(A1960&lt;Y1960,"Yes","No")</f>
        <v/>
      </c>
    </row>
    <row r="1961">
      <c r="A1961" t="n">
        <v>2016</v>
      </c>
      <c r="B1961" t="inlineStr">
        <is>
          <t>Q3</t>
        </is>
      </c>
      <c r="C1961" t="inlineStr">
        <is>
          <t>Australia</t>
        </is>
      </c>
      <c r="D1961" t="inlineStr">
        <is>
          <t>Model S</t>
        </is>
      </c>
      <c r="E1961" t="n">
        <v>1348</v>
      </c>
      <c r="F1961" t="n">
        <v>38157.61</v>
      </c>
      <c r="G1961" t="n">
        <v>35</v>
      </c>
      <c r="H1961" t="inlineStr">
        <is>
          <t>Standard</t>
        </is>
      </c>
      <c r="I1961" t="inlineStr">
        <is>
          <t>RWD</t>
        </is>
      </c>
      <c r="J1961" t="inlineStr">
        <is>
          <t>Black</t>
        </is>
      </c>
      <c r="K1961" t="n">
        <v>495</v>
      </c>
      <c r="L1961" t="n">
        <v>65</v>
      </c>
      <c r="M1961" t="n">
        <v>18.36</v>
      </c>
      <c r="N1961" t="n">
        <v>2032.22</v>
      </c>
      <c r="O1961" t="n">
        <v>4.1</v>
      </c>
      <c r="P1961" t="n">
        <v>5</v>
      </c>
      <c r="Q1961" t="n">
        <v>3</v>
      </c>
      <c r="R1961" t="n">
        <v>2024.11</v>
      </c>
      <c r="S1961" t="b">
        <v>0</v>
      </c>
      <c r="T1961" t="n">
        <v>689082</v>
      </c>
      <c r="U1961" t="n">
        <v>9</v>
      </c>
      <c r="V1961" t="n">
        <v>0.0934</v>
      </c>
      <c r="W1961" t="n">
        <v>2.11</v>
      </c>
      <c r="X1961" t="n">
        <v>63.9</v>
      </c>
      <c r="Y1961">
        <f>VLOOKUP(D1961,$AB$2:$AC$7,2,FALSE)</f>
        <v/>
      </c>
      <c r="Z1961">
        <f>IF(A1961&lt;Y1961,"Yes","No")</f>
        <v/>
      </c>
    </row>
    <row r="1962">
      <c r="A1962" t="n">
        <v>2019</v>
      </c>
      <c r="B1962" t="inlineStr">
        <is>
          <t>Q4</t>
        </is>
      </c>
      <c r="C1962" t="inlineStr">
        <is>
          <t>Australia</t>
        </is>
      </c>
      <c r="D1962" t="inlineStr">
        <is>
          <t>Model S</t>
        </is>
      </c>
      <c r="E1962" t="n">
        <v>3457</v>
      </c>
      <c r="F1962" t="n">
        <v>117809.39</v>
      </c>
      <c r="G1962" t="n">
        <v>12</v>
      </c>
      <c r="H1962" t="inlineStr">
        <is>
          <t>Performance</t>
        </is>
      </c>
      <c r="I1962" t="inlineStr">
        <is>
          <t>RWD</t>
        </is>
      </c>
      <c r="J1962" t="inlineStr">
        <is>
          <t>Green</t>
        </is>
      </c>
      <c r="K1962" t="n">
        <v>383</v>
      </c>
      <c r="L1962" t="n">
        <v>75</v>
      </c>
      <c r="M1962" t="n">
        <v>15.88</v>
      </c>
      <c r="N1962" t="n">
        <v>5581.89</v>
      </c>
      <c r="O1962" t="n">
        <v>4.79</v>
      </c>
      <c r="P1962" t="n">
        <v>4</v>
      </c>
      <c r="Q1962" t="n">
        <v>3</v>
      </c>
      <c r="R1962" t="n">
        <v>2022.8</v>
      </c>
      <c r="S1962" t="b">
        <v>0</v>
      </c>
      <c r="T1962" t="n">
        <v>724557</v>
      </c>
      <c r="U1962" t="n">
        <v>8</v>
      </c>
      <c r="V1962" t="n">
        <v>0.0634</v>
      </c>
      <c r="W1962" t="n">
        <v>1</v>
      </c>
      <c r="X1962" t="n">
        <v>66.58</v>
      </c>
      <c r="Y1962">
        <f>VLOOKUP(D1962,$AB$2:$AC$7,2,FALSE)</f>
        <v/>
      </c>
      <c r="Z1962">
        <f>IF(A1962&lt;Y1962,"Yes","No")</f>
        <v/>
      </c>
    </row>
    <row r="1963">
      <c r="A1963" t="n">
        <v>2018</v>
      </c>
      <c r="B1963" t="inlineStr">
        <is>
          <t>Q4</t>
        </is>
      </c>
      <c r="C1963" t="inlineStr">
        <is>
          <t>Europe</t>
        </is>
      </c>
      <c r="D1963" t="inlineStr">
        <is>
          <t>Semi</t>
        </is>
      </c>
      <c r="E1963" t="n">
        <v>2070</v>
      </c>
      <c r="F1963" t="n">
        <v>75428.32000000001</v>
      </c>
      <c r="G1963" t="n">
        <v>53</v>
      </c>
      <c r="H1963" t="inlineStr">
        <is>
          <t>Long Range</t>
        </is>
      </c>
      <c r="I1963" t="inlineStr">
        <is>
          <t>RWD</t>
        </is>
      </c>
      <c r="J1963" t="inlineStr">
        <is>
          <t>Red</t>
        </is>
      </c>
      <c r="K1963" t="n">
        <v>609</v>
      </c>
      <c r="L1963" t="n">
        <v>47</v>
      </c>
      <c r="M1963" t="n">
        <v>17.24</v>
      </c>
      <c r="N1963" t="n">
        <v>2453.59</v>
      </c>
      <c r="O1963" t="n">
        <v>4.18</v>
      </c>
      <c r="P1963" t="n">
        <v>8</v>
      </c>
      <c r="Q1963" t="n">
        <v>2</v>
      </c>
      <c r="R1963" t="n">
        <v>2024.3</v>
      </c>
      <c r="S1963" t="b">
        <v>0</v>
      </c>
      <c r="T1963" t="n">
        <v>2945406</v>
      </c>
      <c r="U1963" t="n">
        <v>10</v>
      </c>
      <c r="V1963" t="n">
        <v>0.031</v>
      </c>
      <c r="W1963" t="n">
        <v>0.65</v>
      </c>
      <c r="X1963" t="n">
        <v>89.19</v>
      </c>
      <c r="Y1963">
        <f>VLOOKUP(D1963,$AB$2:$AC$7,2,FALSE)</f>
        <v/>
      </c>
      <c r="Z1963">
        <f>IF(A1963&lt;Y1963,"Yes","No")</f>
        <v/>
      </c>
    </row>
    <row r="1964">
      <c r="A1964" t="n">
        <v>2024</v>
      </c>
      <c r="B1964" t="inlineStr">
        <is>
          <t>Q2</t>
        </is>
      </c>
      <c r="C1964" t="inlineStr">
        <is>
          <t>Australia</t>
        </is>
      </c>
      <c r="D1964" t="inlineStr">
        <is>
          <t>Model X</t>
        </is>
      </c>
      <c r="E1964" t="n">
        <v>2606</v>
      </c>
      <c r="F1964" t="n">
        <v>81012.77</v>
      </c>
      <c r="G1964" t="n">
        <v>36</v>
      </c>
      <c r="H1964" t="inlineStr">
        <is>
          <t>Standard</t>
        </is>
      </c>
      <c r="I1964" t="inlineStr">
        <is>
          <t>AWD</t>
        </is>
      </c>
      <c r="J1964" t="inlineStr">
        <is>
          <t>Silver</t>
        </is>
      </c>
      <c r="K1964" t="n">
        <v>543</v>
      </c>
      <c r="L1964" t="n">
        <v>32</v>
      </c>
      <c r="M1964" t="n">
        <v>16.38</v>
      </c>
      <c r="N1964" t="n">
        <v>2703.32</v>
      </c>
      <c r="O1964" t="n">
        <v>3.99</v>
      </c>
      <c r="P1964" t="n">
        <v>5</v>
      </c>
      <c r="Q1964" t="n">
        <v>2</v>
      </c>
      <c r="R1964" t="n">
        <v>2023.8</v>
      </c>
      <c r="S1964" t="b">
        <v>1</v>
      </c>
      <c r="T1964" t="n">
        <v>1403637</v>
      </c>
      <c r="U1964" t="n">
        <v>3</v>
      </c>
      <c r="V1964" t="n">
        <v>0.0987</v>
      </c>
      <c r="W1964" t="n">
        <v>2.12</v>
      </c>
      <c r="X1964" t="n">
        <v>65.19</v>
      </c>
      <c r="Y1964">
        <f>VLOOKUP(D1964,$AB$2:$AC$7,2,FALSE)</f>
        <v/>
      </c>
      <c r="Z1964">
        <f>IF(A1964&lt;Y1964,"Yes","No")</f>
        <v/>
      </c>
    </row>
    <row r="1965">
      <c r="A1965" t="n">
        <v>2017</v>
      </c>
      <c r="B1965" t="inlineStr">
        <is>
          <t>Q1</t>
        </is>
      </c>
      <c r="C1965" t="inlineStr">
        <is>
          <t>Australia</t>
        </is>
      </c>
      <c r="D1965" t="inlineStr">
        <is>
          <t>Model S</t>
        </is>
      </c>
      <c r="E1965" t="n">
        <v>77</v>
      </c>
      <c r="F1965" t="n">
        <v>116815.41</v>
      </c>
      <c r="G1965" t="n">
        <v>28</v>
      </c>
      <c r="H1965" t="inlineStr">
        <is>
          <t>Performance</t>
        </is>
      </c>
      <c r="I1965" t="inlineStr">
        <is>
          <t>RWD</t>
        </is>
      </c>
      <c r="J1965" t="inlineStr">
        <is>
          <t>Black</t>
        </is>
      </c>
      <c r="K1965" t="n">
        <v>432</v>
      </c>
      <c r="L1965" t="n">
        <v>67</v>
      </c>
      <c r="M1965" t="n">
        <v>16.5</v>
      </c>
      <c r="N1965" t="n">
        <v>72.81</v>
      </c>
      <c r="O1965" t="n">
        <v>4.69</v>
      </c>
      <c r="P1965" t="n">
        <v>4</v>
      </c>
      <c r="Q1965" t="n">
        <v>2</v>
      </c>
      <c r="R1965" t="n">
        <v>2021.8</v>
      </c>
      <c r="S1965" t="b">
        <v>0</v>
      </c>
      <c r="T1965" t="n">
        <v>855201</v>
      </c>
      <c r="U1965" t="n">
        <v>12</v>
      </c>
      <c r="V1965" t="n">
        <v>0.0241</v>
      </c>
      <c r="W1965" t="n">
        <v>1.72</v>
      </c>
      <c r="X1965" t="n">
        <v>84.66</v>
      </c>
      <c r="Y1965">
        <f>VLOOKUP(D1965,$AB$2:$AC$7,2,FALSE)</f>
        <v/>
      </c>
      <c r="Z1965">
        <f>IF(A1965&lt;Y1965,"Yes","No")</f>
        <v/>
      </c>
    </row>
    <row r="1966">
      <c r="A1966" t="n">
        <v>2012</v>
      </c>
      <c r="B1966" t="inlineStr">
        <is>
          <t>Q4</t>
        </is>
      </c>
      <c r="C1966" t="inlineStr">
        <is>
          <t>Asia</t>
        </is>
      </c>
      <c r="D1966" t="inlineStr">
        <is>
          <t>Model X</t>
        </is>
      </c>
      <c r="E1966" t="n">
        <v>1034</v>
      </c>
      <c r="F1966" t="n">
        <v>36290.27</v>
      </c>
      <c r="G1966" t="n">
        <v>26</v>
      </c>
      <c r="H1966" t="inlineStr">
        <is>
          <t>Standard</t>
        </is>
      </c>
      <c r="I1966" t="inlineStr">
        <is>
          <t>RWD</t>
        </is>
      </c>
      <c r="J1966" t="inlineStr">
        <is>
          <t>Red</t>
        </is>
      </c>
      <c r="K1966" t="n">
        <v>603</v>
      </c>
      <c r="L1966" t="n">
        <v>84</v>
      </c>
      <c r="M1966" t="n">
        <v>21.7</v>
      </c>
      <c r="N1966" t="n">
        <v>1556.04</v>
      </c>
      <c r="O1966" t="n">
        <v>4.44</v>
      </c>
      <c r="P1966" t="n">
        <v>5</v>
      </c>
      <c r="Q1966" t="n">
        <v>0</v>
      </c>
      <c r="R1966" t="n">
        <v>2021.3</v>
      </c>
      <c r="S1966" t="b">
        <v>0</v>
      </c>
      <c r="T1966" t="n">
        <v>370772</v>
      </c>
      <c r="U1966" t="n">
        <v>4</v>
      </c>
      <c r="V1966" t="n">
        <v>0.0709</v>
      </c>
      <c r="W1966" t="n">
        <v>2.09</v>
      </c>
      <c r="X1966" t="n">
        <v>77.64</v>
      </c>
      <c r="Y1966">
        <f>VLOOKUP(D1966,$AB$2:$AC$7,2,FALSE)</f>
        <v/>
      </c>
      <c r="Z1966">
        <f>IF(A1966&lt;Y1966,"Yes","No")</f>
        <v/>
      </c>
    </row>
    <row r="1967">
      <c r="A1967" t="n">
        <v>2014</v>
      </c>
      <c r="B1967" t="inlineStr">
        <is>
          <t>Q3</t>
        </is>
      </c>
      <c r="C1967" t="inlineStr">
        <is>
          <t>North America</t>
        </is>
      </c>
      <c r="D1967" t="inlineStr">
        <is>
          <t>Model S</t>
        </is>
      </c>
      <c r="E1967" t="n">
        <v>3355</v>
      </c>
      <c r="F1967" t="n">
        <v>66745.82000000001</v>
      </c>
      <c r="G1967" t="n">
        <v>23</v>
      </c>
      <c r="H1967" t="inlineStr">
        <is>
          <t>Long Range</t>
        </is>
      </c>
      <c r="I1967" t="inlineStr">
        <is>
          <t>RWD</t>
        </is>
      </c>
      <c r="J1967" t="inlineStr">
        <is>
          <t>Blue</t>
        </is>
      </c>
      <c r="K1967" t="n">
        <v>504</v>
      </c>
      <c r="L1967" t="n">
        <v>63</v>
      </c>
      <c r="M1967" t="n">
        <v>17.54</v>
      </c>
      <c r="N1967" t="n">
        <v>5935.68</v>
      </c>
      <c r="O1967" t="n">
        <v>4.33</v>
      </c>
      <c r="P1967" t="n">
        <v>4</v>
      </c>
      <c r="Q1967" t="n">
        <v>3</v>
      </c>
      <c r="R1967" t="n">
        <v>2020.6</v>
      </c>
      <c r="S1967" t="b">
        <v>0</v>
      </c>
      <c r="T1967" t="n">
        <v>597601</v>
      </c>
      <c r="U1967" t="n">
        <v>7</v>
      </c>
      <c r="V1967" t="n">
        <v>0.0992</v>
      </c>
      <c r="W1967" t="n">
        <v>1.46</v>
      </c>
      <c r="X1967" t="n">
        <v>75.7</v>
      </c>
      <c r="Y1967">
        <f>VLOOKUP(D1967,$AB$2:$AC$7,2,FALSE)</f>
        <v/>
      </c>
      <c r="Z1967">
        <f>IF(A1967&lt;Y1967,"Yes","No")</f>
        <v/>
      </c>
    </row>
    <row r="1968">
      <c r="A1968" t="n">
        <v>2022</v>
      </c>
      <c r="B1968" t="inlineStr">
        <is>
          <t>Q3</t>
        </is>
      </c>
      <c r="C1968" t="inlineStr">
        <is>
          <t>North America</t>
        </is>
      </c>
      <c r="D1968" t="inlineStr">
        <is>
          <t>Model S</t>
        </is>
      </c>
      <c r="E1968" t="n">
        <v>4737</v>
      </c>
      <c r="F1968" t="n">
        <v>69401.75999999999</v>
      </c>
      <c r="G1968" t="n">
        <v>49</v>
      </c>
      <c r="H1968" t="inlineStr">
        <is>
          <t>Standard</t>
        </is>
      </c>
      <c r="I1968" t="inlineStr">
        <is>
          <t>RWD</t>
        </is>
      </c>
      <c r="J1968" t="inlineStr">
        <is>
          <t>Blue</t>
        </is>
      </c>
      <c r="K1968" t="n">
        <v>409</v>
      </c>
      <c r="L1968" t="n">
        <v>56</v>
      </c>
      <c r="M1968" t="n">
        <v>23.54</v>
      </c>
      <c r="N1968" t="n">
        <v>9986.389999999999</v>
      </c>
      <c r="O1968" t="n">
        <v>4.79</v>
      </c>
      <c r="P1968" t="n">
        <v>6</v>
      </c>
      <c r="Q1968" t="n">
        <v>1</v>
      </c>
      <c r="R1968" t="n">
        <v>2020.8</v>
      </c>
      <c r="S1968" t="b">
        <v>0</v>
      </c>
      <c r="T1968" t="n">
        <v>3504726</v>
      </c>
      <c r="U1968" t="n">
        <v>2</v>
      </c>
      <c r="V1968" t="n">
        <v>0.0824</v>
      </c>
      <c r="W1968" t="n">
        <v>0.83</v>
      </c>
      <c r="X1968" t="n">
        <v>68.76000000000001</v>
      </c>
      <c r="Y1968">
        <f>VLOOKUP(D1968,$AB$2:$AC$7,2,FALSE)</f>
        <v/>
      </c>
      <c r="Z1968">
        <f>IF(A1968&lt;Y1968,"Yes","No")</f>
        <v/>
      </c>
    </row>
    <row r="1969">
      <c r="A1969" t="n">
        <v>2017</v>
      </c>
      <c r="B1969" t="inlineStr">
        <is>
          <t>Q4</t>
        </is>
      </c>
      <c r="C1969" t="inlineStr">
        <is>
          <t>South America</t>
        </is>
      </c>
      <c r="D1969" t="inlineStr">
        <is>
          <t>Model Y</t>
        </is>
      </c>
      <c r="E1969" t="n">
        <v>4882</v>
      </c>
      <c r="F1969" t="n">
        <v>42769.25</v>
      </c>
      <c r="G1969" t="n">
        <v>5</v>
      </c>
      <c r="H1969" t="inlineStr">
        <is>
          <t>Long Range</t>
        </is>
      </c>
      <c r="I1969" t="inlineStr">
        <is>
          <t>AWD</t>
        </is>
      </c>
      <c r="J1969" t="inlineStr">
        <is>
          <t>Black</t>
        </is>
      </c>
      <c r="K1969" t="n">
        <v>548</v>
      </c>
      <c r="L1969" t="n">
        <v>85</v>
      </c>
      <c r="M1969" t="n">
        <v>20.44</v>
      </c>
      <c r="N1969" t="n">
        <v>6849.93</v>
      </c>
      <c r="O1969" t="n">
        <v>4.19</v>
      </c>
      <c r="P1969" t="n">
        <v>6</v>
      </c>
      <c r="Q1969" t="n">
        <v>2</v>
      </c>
      <c r="R1969" t="n">
        <v>2023.1</v>
      </c>
      <c r="S1969" t="b">
        <v>0</v>
      </c>
      <c r="T1969" t="n">
        <v>4769052</v>
      </c>
      <c r="U1969" t="n">
        <v>5</v>
      </c>
      <c r="V1969" t="n">
        <v>0.0341</v>
      </c>
      <c r="W1969" t="n">
        <v>2.5</v>
      </c>
      <c r="X1969" t="n">
        <v>72.54000000000001</v>
      </c>
      <c r="Y1969">
        <f>VLOOKUP(D1969,$AB$2:$AC$7,2,FALSE)</f>
        <v/>
      </c>
      <c r="Z1969">
        <f>IF(A1969&lt;Y1969,"Yes","No")</f>
        <v/>
      </c>
    </row>
    <row r="1970">
      <c r="A1970" t="n">
        <v>2017</v>
      </c>
      <c r="B1970" t="inlineStr">
        <is>
          <t>Q2</t>
        </is>
      </c>
      <c r="C1970" t="inlineStr">
        <is>
          <t>Europe</t>
        </is>
      </c>
      <c r="D1970" t="inlineStr">
        <is>
          <t>Cybertruck</t>
        </is>
      </c>
      <c r="E1970" t="n">
        <v>4527</v>
      </c>
      <c r="F1970" t="n">
        <v>48379.11</v>
      </c>
      <c r="G1970" t="n">
        <v>40</v>
      </c>
      <c r="H1970" t="inlineStr">
        <is>
          <t>Long Range</t>
        </is>
      </c>
      <c r="I1970" t="inlineStr">
        <is>
          <t>RWD</t>
        </is>
      </c>
      <c r="J1970" t="inlineStr">
        <is>
          <t>Silver</t>
        </is>
      </c>
      <c r="K1970" t="n">
        <v>554</v>
      </c>
      <c r="L1970" t="n">
        <v>54</v>
      </c>
      <c r="M1970" t="n">
        <v>21.71</v>
      </c>
      <c r="N1970" t="n">
        <v>7213.64</v>
      </c>
      <c r="O1970" t="n">
        <v>4.67</v>
      </c>
      <c r="P1970" t="n">
        <v>4</v>
      </c>
      <c r="Q1970" t="n">
        <v>3</v>
      </c>
      <c r="R1970" t="n">
        <v>2022.9</v>
      </c>
      <c r="S1970" t="b">
        <v>1</v>
      </c>
      <c r="T1970" t="n">
        <v>2519674</v>
      </c>
      <c r="U1970" t="n">
        <v>3</v>
      </c>
      <c r="V1970" t="n">
        <v>0.036</v>
      </c>
      <c r="W1970" t="n">
        <v>0.54</v>
      </c>
      <c r="X1970" t="n">
        <v>72.56999999999999</v>
      </c>
      <c r="Y1970">
        <f>VLOOKUP(D1970,$AB$2:$AC$7,2,FALSE)</f>
        <v/>
      </c>
      <c r="Z1970">
        <f>IF(A1970&lt;Y1970,"Yes","No")</f>
        <v/>
      </c>
    </row>
    <row r="1971">
      <c r="A1971" t="n">
        <v>2015</v>
      </c>
      <c r="B1971" t="inlineStr">
        <is>
          <t>Q3</t>
        </is>
      </c>
      <c r="C1971" t="inlineStr">
        <is>
          <t>South America</t>
        </is>
      </c>
      <c r="D1971" t="inlineStr">
        <is>
          <t>Model Y</t>
        </is>
      </c>
      <c r="E1971" t="n">
        <v>2180</v>
      </c>
      <c r="F1971" t="n">
        <v>63359.77</v>
      </c>
      <c r="G1971" t="n">
        <v>8</v>
      </c>
      <c r="H1971" t="inlineStr">
        <is>
          <t>Performance</t>
        </is>
      </c>
      <c r="I1971" t="inlineStr">
        <is>
          <t>RWD</t>
        </is>
      </c>
      <c r="J1971" t="inlineStr">
        <is>
          <t>Red</t>
        </is>
      </c>
      <c r="K1971" t="n">
        <v>638</v>
      </c>
      <c r="L1971" t="n">
        <v>86</v>
      </c>
      <c r="M1971" t="n">
        <v>15.89</v>
      </c>
      <c r="N1971" t="n">
        <v>3052.81</v>
      </c>
      <c r="O1971" t="n">
        <v>3.58</v>
      </c>
      <c r="P1971" t="n">
        <v>5</v>
      </c>
      <c r="Q1971" t="n">
        <v>1</v>
      </c>
      <c r="R1971" t="n">
        <v>2024.4</v>
      </c>
      <c r="S1971" t="b">
        <v>1</v>
      </c>
      <c r="T1971" t="n">
        <v>2542928</v>
      </c>
      <c r="U1971" t="n">
        <v>6</v>
      </c>
      <c r="V1971" t="n">
        <v>0.0294</v>
      </c>
      <c r="W1971" t="n">
        <v>2.38</v>
      </c>
      <c r="X1971" t="n">
        <v>80.59999999999999</v>
      </c>
      <c r="Y1971">
        <f>VLOOKUP(D1971,$AB$2:$AC$7,2,FALSE)</f>
        <v/>
      </c>
      <c r="Z1971">
        <f>IF(A1971&lt;Y1971,"Yes","No")</f>
        <v/>
      </c>
    </row>
    <row r="1972">
      <c r="A1972" t="n">
        <v>2013</v>
      </c>
      <c r="B1972" t="inlineStr">
        <is>
          <t>Q2</t>
        </is>
      </c>
      <c r="C1972" t="inlineStr">
        <is>
          <t>Asia</t>
        </is>
      </c>
      <c r="D1972" t="inlineStr">
        <is>
          <t>Semi</t>
        </is>
      </c>
      <c r="E1972" t="n">
        <v>2700</v>
      </c>
      <c r="F1972" t="n">
        <v>63080.51</v>
      </c>
      <c r="G1972" t="n">
        <v>28</v>
      </c>
      <c r="H1972" t="inlineStr">
        <is>
          <t>Performance</t>
        </is>
      </c>
      <c r="I1972" t="inlineStr">
        <is>
          <t>AWD</t>
        </is>
      </c>
      <c r="J1972" t="inlineStr">
        <is>
          <t>Red</t>
        </is>
      </c>
      <c r="K1972" t="n">
        <v>593</v>
      </c>
      <c r="L1972" t="n">
        <v>41</v>
      </c>
      <c r="M1972" t="n">
        <v>17.11</v>
      </c>
      <c r="N1972" t="n">
        <v>3441.75</v>
      </c>
      <c r="O1972" t="n">
        <v>4.78</v>
      </c>
      <c r="P1972" t="n">
        <v>8</v>
      </c>
      <c r="Q1972" t="n">
        <v>1</v>
      </c>
      <c r="R1972" t="n">
        <v>2021.1</v>
      </c>
      <c r="S1972" t="b">
        <v>0</v>
      </c>
      <c r="T1972" t="n">
        <v>1859429</v>
      </c>
      <c r="U1972" t="n">
        <v>8</v>
      </c>
      <c r="V1972" t="n">
        <v>0.0414</v>
      </c>
      <c r="W1972" t="n">
        <v>2.23</v>
      </c>
      <c r="X1972" t="n">
        <v>89.26000000000001</v>
      </c>
      <c r="Y1972">
        <f>VLOOKUP(D1972,$AB$2:$AC$7,2,FALSE)</f>
        <v/>
      </c>
      <c r="Z1972">
        <f>IF(A1972&lt;Y1972,"Yes","No")</f>
        <v/>
      </c>
    </row>
    <row r="1973">
      <c r="A1973" t="n">
        <v>2019</v>
      </c>
      <c r="B1973" t="inlineStr">
        <is>
          <t>Q1</t>
        </is>
      </c>
      <c r="C1973" t="inlineStr">
        <is>
          <t>Asia</t>
        </is>
      </c>
      <c r="D1973" t="inlineStr">
        <is>
          <t>Model S</t>
        </is>
      </c>
      <c r="E1973" t="n">
        <v>480</v>
      </c>
      <c r="F1973" t="n">
        <v>59209.55</v>
      </c>
      <c r="G1973" t="n">
        <v>15</v>
      </c>
      <c r="H1973" t="inlineStr">
        <is>
          <t>Long Range</t>
        </is>
      </c>
      <c r="I1973" t="inlineStr">
        <is>
          <t>RWD</t>
        </is>
      </c>
      <c r="J1973" t="inlineStr">
        <is>
          <t>Blue</t>
        </is>
      </c>
      <c r="K1973" t="n">
        <v>597</v>
      </c>
      <c r="L1973" t="n">
        <v>54</v>
      </c>
      <c r="M1973" t="n">
        <v>24.96</v>
      </c>
      <c r="N1973" t="n">
        <v>821.96</v>
      </c>
      <c r="O1973" t="n">
        <v>4.71</v>
      </c>
      <c r="P1973" t="n">
        <v>5</v>
      </c>
      <c r="Q1973" t="n">
        <v>1</v>
      </c>
      <c r="R1973" t="n">
        <v>2021.5</v>
      </c>
      <c r="S1973" t="b">
        <v>0</v>
      </c>
      <c r="T1973" t="n">
        <v>4121834</v>
      </c>
      <c r="U1973" t="n">
        <v>5</v>
      </c>
      <c r="V1973" t="n">
        <v>0.0521</v>
      </c>
      <c r="W1973" t="n">
        <v>1.68</v>
      </c>
      <c r="X1973" t="n">
        <v>74.15000000000001</v>
      </c>
      <c r="Y1973">
        <f>VLOOKUP(D1973,$AB$2:$AC$7,2,FALSE)</f>
        <v/>
      </c>
      <c r="Z1973">
        <f>IF(A1973&lt;Y1973,"Yes","No")</f>
        <v/>
      </c>
    </row>
    <row r="1974">
      <c r="A1974" t="n">
        <v>2017</v>
      </c>
      <c r="B1974" t="inlineStr">
        <is>
          <t>Q4</t>
        </is>
      </c>
      <c r="C1974" t="inlineStr">
        <is>
          <t>South America</t>
        </is>
      </c>
      <c r="D1974" t="inlineStr">
        <is>
          <t>Model S</t>
        </is>
      </c>
      <c r="E1974" t="n">
        <v>1132</v>
      </c>
      <c r="F1974" t="n">
        <v>37559.17</v>
      </c>
      <c r="G1974" t="n">
        <v>38</v>
      </c>
      <c r="H1974" t="inlineStr">
        <is>
          <t>Long Range</t>
        </is>
      </c>
      <c r="I1974" t="inlineStr">
        <is>
          <t>RWD</t>
        </is>
      </c>
      <c r="J1974" t="inlineStr">
        <is>
          <t>White</t>
        </is>
      </c>
      <c r="K1974" t="n">
        <v>693</v>
      </c>
      <c r="L1974" t="n">
        <v>31</v>
      </c>
      <c r="M1974" t="n">
        <v>24.07</v>
      </c>
      <c r="N1974" t="n">
        <v>1784.24</v>
      </c>
      <c r="O1974" t="n">
        <v>4.44</v>
      </c>
      <c r="P1974" t="n">
        <v>6</v>
      </c>
      <c r="Q1974" t="n">
        <v>2</v>
      </c>
      <c r="R1974" t="n">
        <v>2021.9</v>
      </c>
      <c r="S1974" t="b">
        <v>1</v>
      </c>
      <c r="T1974" t="n">
        <v>3263073</v>
      </c>
      <c r="U1974" t="n">
        <v>11</v>
      </c>
      <c r="V1974" t="n">
        <v>0.0502</v>
      </c>
      <c r="W1974" t="n">
        <v>1.64</v>
      </c>
      <c r="X1974" t="n">
        <v>88.68000000000001</v>
      </c>
      <c r="Y1974">
        <f>VLOOKUP(D1974,$AB$2:$AC$7,2,FALSE)</f>
        <v/>
      </c>
      <c r="Z1974">
        <f>IF(A1974&lt;Y1974,"Yes","No")</f>
        <v/>
      </c>
    </row>
    <row r="1975">
      <c r="A1975" t="n">
        <v>2015</v>
      </c>
      <c r="B1975" t="inlineStr">
        <is>
          <t>Q4</t>
        </is>
      </c>
      <c r="C1975" t="inlineStr">
        <is>
          <t>Australia</t>
        </is>
      </c>
      <c r="D1975" t="inlineStr">
        <is>
          <t>Model Y</t>
        </is>
      </c>
      <c r="E1975" t="n">
        <v>2258</v>
      </c>
      <c r="F1975" t="n">
        <v>100155.25</v>
      </c>
      <c r="G1975" t="n">
        <v>33</v>
      </c>
      <c r="H1975" t="inlineStr">
        <is>
          <t>Long Range</t>
        </is>
      </c>
      <c r="I1975" t="inlineStr">
        <is>
          <t>RWD</t>
        </is>
      </c>
      <c r="J1975" t="inlineStr">
        <is>
          <t>Silver</t>
        </is>
      </c>
      <c r="K1975" t="n">
        <v>354</v>
      </c>
      <c r="L1975" t="n">
        <v>63</v>
      </c>
      <c r="M1975" t="n">
        <v>22.19</v>
      </c>
      <c r="N1975" t="n">
        <v>3469.27</v>
      </c>
      <c r="O1975" t="n">
        <v>3.85</v>
      </c>
      <c r="P1975" t="n">
        <v>4</v>
      </c>
      <c r="Q1975" t="n">
        <v>2</v>
      </c>
      <c r="R1975" t="n">
        <v>2020.9</v>
      </c>
      <c r="S1975" t="b">
        <v>1</v>
      </c>
      <c r="T1975" t="n">
        <v>2814151</v>
      </c>
      <c r="U1975" t="n">
        <v>11</v>
      </c>
      <c r="V1975" t="n">
        <v>0.0134</v>
      </c>
      <c r="W1975" t="n">
        <v>1.95</v>
      </c>
      <c r="X1975" t="n">
        <v>78.7</v>
      </c>
      <c r="Y1975">
        <f>VLOOKUP(D1975,$AB$2:$AC$7,2,FALSE)</f>
        <v/>
      </c>
      <c r="Z1975">
        <f>IF(A1975&lt;Y1975,"Yes","No")</f>
        <v/>
      </c>
    </row>
    <row r="1976">
      <c r="A1976" t="n">
        <v>2021</v>
      </c>
      <c r="B1976" t="inlineStr">
        <is>
          <t>Q1</t>
        </is>
      </c>
      <c r="C1976" t="inlineStr">
        <is>
          <t>Asia</t>
        </is>
      </c>
      <c r="D1976" t="inlineStr">
        <is>
          <t>Model X</t>
        </is>
      </c>
      <c r="E1976" t="n">
        <v>2183</v>
      </c>
      <c r="F1976" t="n">
        <v>74649.50999999999</v>
      </c>
      <c r="G1976" t="n">
        <v>11</v>
      </c>
      <c r="H1976" t="inlineStr">
        <is>
          <t>Long Range</t>
        </is>
      </c>
      <c r="I1976" t="inlineStr">
        <is>
          <t>AWD</t>
        </is>
      </c>
      <c r="J1976" t="inlineStr">
        <is>
          <t>Blue</t>
        </is>
      </c>
      <c r="K1976" t="n">
        <v>420</v>
      </c>
      <c r="L1976" t="n">
        <v>53</v>
      </c>
      <c r="M1976" t="n">
        <v>16.6</v>
      </c>
      <c r="N1976" t="n">
        <v>2591.61</v>
      </c>
      <c r="O1976" t="n">
        <v>3.73</v>
      </c>
      <c r="P1976" t="n">
        <v>8</v>
      </c>
      <c r="Q1976" t="n">
        <v>0</v>
      </c>
      <c r="R1976" t="n">
        <v>2020.1</v>
      </c>
      <c r="S1976" t="b">
        <v>0</v>
      </c>
      <c r="T1976" t="n">
        <v>2218500</v>
      </c>
      <c r="U1976" t="n">
        <v>9</v>
      </c>
      <c r="V1976" t="n">
        <v>0.0844</v>
      </c>
      <c r="W1976" t="n">
        <v>0.83</v>
      </c>
      <c r="X1976" t="n">
        <v>74.26000000000001</v>
      </c>
      <c r="Y1976">
        <f>VLOOKUP(D1976,$AB$2:$AC$7,2,FALSE)</f>
        <v/>
      </c>
      <c r="Z1976">
        <f>IF(A1976&lt;Y1976,"Yes","No")</f>
        <v/>
      </c>
    </row>
    <row r="1977">
      <c r="A1977" t="n">
        <v>2012</v>
      </c>
      <c r="B1977" t="inlineStr">
        <is>
          <t>Q4</t>
        </is>
      </c>
      <c r="C1977" t="inlineStr">
        <is>
          <t>Asia</t>
        </is>
      </c>
      <c r="D1977" t="inlineStr">
        <is>
          <t>Model S</t>
        </is>
      </c>
      <c r="E1977" t="n">
        <v>2062</v>
      </c>
      <c r="F1977" t="n">
        <v>86930.84</v>
      </c>
      <c r="G1977" t="n">
        <v>59</v>
      </c>
      <c r="H1977" t="inlineStr">
        <is>
          <t>Long Range</t>
        </is>
      </c>
      <c r="I1977" t="inlineStr">
        <is>
          <t>RWD</t>
        </is>
      </c>
      <c r="J1977" t="inlineStr">
        <is>
          <t>Red</t>
        </is>
      </c>
      <c r="K1977" t="n">
        <v>472</v>
      </c>
      <c r="L1977" t="n">
        <v>58</v>
      </c>
      <c r="M1977" t="n">
        <v>19.55</v>
      </c>
      <c r="N1977" t="n">
        <v>5079.04</v>
      </c>
      <c r="O1977" t="n">
        <v>4.91</v>
      </c>
      <c r="P1977" t="n">
        <v>4</v>
      </c>
      <c r="Q1977" t="n">
        <v>1</v>
      </c>
      <c r="R1977" t="n">
        <v>2022.7</v>
      </c>
      <c r="S1977" t="b">
        <v>1</v>
      </c>
      <c r="T1977" t="n">
        <v>256054</v>
      </c>
      <c r="U1977" t="n">
        <v>10</v>
      </c>
      <c r="V1977" t="n">
        <v>0.0687</v>
      </c>
      <c r="W1977" t="n">
        <v>1.24</v>
      </c>
      <c r="X1977" t="n">
        <v>74.84</v>
      </c>
      <c r="Y1977">
        <f>VLOOKUP(D1977,$AB$2:$AC$7,2,FALSE)</f>
        <v/>
      </c>
      <c r="Z1977">
        <f>IF(A1977&lt;Y1977,"Yes","No")</f>
        <v/>
      </c>
    </row>
    <row r="1978">
      <c r="A1978" t="n">
        <v>2019</v>
      </c>
      <c r="B1978" t="inlineStr">
        <is>
          <t>Q1</t>
        </is>
      </c>
      <c r="C1978" t="inlineStr">
        <is>
          <t>Australia</t>
        </is>
      </c>
      <c r="D1978" t="inlineStr">
        <is>
          <t>Model X</t>
        </is>
      </c>
      <c r="E1978" t="n">
        <v>290</v>
      </c>
      <c r="F1978" t="n">
        <v>44036.52</v>
      </c>
      <c r="G1978" t="n">
        <v>36</v>
      </c>
      <c r="H1978" t="inlineStr">
        <is>
          <t>Performance</t>
        </is>
      </c>
      <c r="I1978" t="inlineStr">
        <is>
          <t>AWD</t>
        </is>
      </c>
      <c r="J1978" t="inlineStr">
        <is>
          <t>Silver</t>
        </is>
      </c>
      <c r="K1978" t="n">
        <v>671</v>
      </c>
      <c r="L1978" t="n">
        <v>41</v>
      </c>
      <c r="M1978" t="n">
        <v>24.82</v>
      </c>
      <c r="N1978" t="n">
        <v>373.34</v>
      </c>
      <c r="O1978" t="n">
        <v>4.92</v>
      </c>
      <c r="P1978" t="n">
        <v>8</v>
      </c>
      <c r="Q1978" t="n">
        <v>2</v>
      </c>
      <c r="R1978" t="n">
        <v>2023.4</v>
      </c>
      <c r="S1978" t="b">
        <v>1</v>
      </c>
      <c r="T1978" t="n">
        <v>4119837</v>
      </c>
      <c r="U1978" t="n">
        <v>9</v>
      </c>
      <c r="V1978" t="n">
        <v>0.016</v>
      </c>
      <c r="W1978" t="n">
        <v>1.31</v>
      </c>
      <c r="X1978" t="n">
        <v>72.19</v>
      </c>
      <c r="Y1978">
        <f>VLOOKUP(D1978,$AB$2:$AC$7,2,FALSE)</f>
        <v/>
      </c>
      <c r="Z1978">
        <f>IF(A1978&lt;Y1978,"Yes","No")</f>
        <v/>
      </c>
    </row>
    <row r="1979">
      <c r="A1979" t="n">
        <v>2023</v>
      </c>
      <c r="B1979" t="inlineStr">
        <is>
          <t>Q4</t>
        </is>
      </c>
      <c r="C1979" t="inlineStr">
        <is>
          <t>South America</t>
        </is>
      </c>
      <c r="D1979" t="inlineStr">
        <is>
          <t>Model Y</t>
        </is>
      </c>
      <c r="E1979" t="n">
        <v>623</v>
      </c>
      <c r="F1979" t="n">
        <v>69319.12</v>
      </c>
      <c r="G1979" t="n">
        <v>14</v>
      </c>
      <c r="H1979" t="inlineStr">
        <is>
          <t>Standard</t>
        </is>
      </c>
      <c r="I1979" t="inlineStr">
        <is>
          <t>RWD</t>
        </is>
      </c>
      <c r="J1979" t="inlineStr">
        <is>
          <t>Black</t>
        </is>
      </c>
      <c r="K1979" t="n">
        <v>623</v>
      </c>
      <c r="L1979" t="n">
        <v>37</v>
      </c>
      <c r="M1979" t="n">
        <v>15.9</v>
      </c>
      <c r="N1979" t="n">
        <v>1480.81</v>
      </c>
      <c r="O1979" t="n">
        <v>3.71</v>
      </c>
      <c r="P1979" t="n">
        <v>8</v>
      </c>
      <c r="Q1979" t="n">
        <v>1</v>
      </c>
      <c r="R1979" t="n">
        <v>2022.11</v>
      </c>
      <c r="S1979" t="b">
        <v>0</v>
      </c>
      <c r="T1979" t="n">
        <v>2643082</v>
      </c>
      <c r="U1979" t="n">
        <v>2</v>
      </c>
      <c r="V1979" t="n">
        <v>0.0649</v>
      </c>
      <c r="W1979" t="n">
        <v>1.3</v>
      </c>
      <c r="X1979" t="n">
        <v>70.98999999999999</v>
      </c>
      <c r="Y1979">
        <f>VLOOKUP(D1979,$AB$2:$AC$7,2,FALSE)</f>
        <v/>
      </c>
      <c r="Z1979">
        <f>IF(A1979&lt;Y1979,"Yes","No")</f>
        <v/>
      </c>
    </row>
    <row r="1980">
      <c r="A1980" t="n">
        <v>2016</v>
      </c>
      <c r="B1980" t="inlineStr">
        <is>
          <t>Q4</t>
        </is>
      </c>
      <c r="C1980" t="inlineStr">
        <is>
          <t>Australia</t>
        </is>
      </c>
      <c r="D1980" t="inlineStr">
        <is>
          <t>Model S</t>
        </is>
      </c>
      <c r="E1980" t="n">
        <v>2612</v>
      </c>
      <c r="F1980" t="n">
        <v>54124.82</v>
      </c>
      <c r="G1980" t="n">
        <v>19</v>
      </c>
      <c r="H1980" t="inlineStr">
        <is>
          <t>Long Range</t>
        </is>
      </c>
      <c r="I1980" t="inlineStr">
        <is>
          <t>AWD</t>
        </is>
      </c>
      <c r="J1980" t="inlineStr">
        <is>
          <t>White</t>
        </is>
      </c>
      <c r="K1980" t="n">
        <v>638</v>
      </c>
      <c r="L1980" t="n">
        <v>71</v>
      </c>
      <c r="M1980" t="n">
        <v>17.04</v>
      </c>
      <c r="N1980" t="n">
        <v>1845.04</v>
      </c>
      <c r="O1980" t="n">
        <v>3.66</v>
      </c>
      <c r="P1980" t="n">
        <v>8</v>
      </c>
      <c r="Q1980" t="n">
        <v>3</v>
      </c>
      <c r="R1980" t="n">
        <v>2021.1</v>
      </c>
      <c r="S1980" t="b">
        <v>1</v>
      </c>
      <c r="T1980" t="n">
        <v>739688</v>
      </c>
      <c r="U1980" t="n">
        <v>4</v>
      </c>
      <c r="V1980" t="n">
        <v>0.0878</v>
      </c>
      <c r="W1980" t="n">
        <v>1.73</v>
      </c>
      <c r="X1980" t="n">
        <v>86.90000000000001</v>
      </c>
      <c r="Y1980">
        <f>VLOOKUP(D1980,$AB$2:$AC$7,2,FALSE)</f>
        <v/>
      </c>
      <c r="Z1980">
        <f>IF(A1980&lt;Y1980,"Yes","No")</f>
        <v/>
      </c>
    </row>
    <row r="1981">
      <c r="A1981" t="n">
        <v>2020</v>
      </c>
      <c r="B1981" t="inlineStr">
        <is>
          <t>Q2</t>
        </is>
      </c>
      <c r="C1981" t="inlineStr">
        <is>
          <t>South America</t>
        </is>
      </c>
      <c r="D1981" t="inlineStr">
        <is>
          <t>Model S</t>
        </is>
      </c>
      <c r="E1981" t="n">
        <v>243</v>
      </c>
      <c r="F1981" t="n">
        <v>102137.81</v>
      </c>
      <c r="G1981" t="n">
        <v>37</v>
      </c>
      <c r="H1981" t="inlineStr">
        <is>
          <t>Standard</t>
        </is>
      </c>
      <c r="I1981" t="inlineStr">
        <is>
          <t>AWD</t>
        </is>
      </c>
      <c r="J1981" t="inlineStr">
        <is>
          <t>White</t>
        </is>
      </c>
      <c r="K1981" t="n">
        <v>476</v>
      </c>
      <c r="L1981" t="n">
        <v>84</v>
      </c>
      <c r="M1981" t="n">
        <v>17.62</v>
      </c>
      <c r="N1981" t="n">
        <v>134.08</v>
      </c>
      <c r="O1981" t="n">
        <v>4.45</v>
      </c>
      <c r="P1981" t="n">
        <v>8</v>
      </c>
      <c r="Q1981" t="n">
        <v>3</v>
      </c>
      <c r="R1981" t="n">
        <v>2024.7</v>
      </c>
      <c r="S1981" t="b">
        <v>1</v>
      </c>
      <c r="T1981" t="n">
        <v>421684</v>
      </c>
      <c r="U1981" t="n">
        <v>3</v>
      </c>
      <c r="V1981" t="n">
        <v>0.0641</v>
      </c>
      <c r="W1981" t="n">
        <v>2.25</v>
      </c>
      <c r="X1981" t="n">
        <v>65.64</v>
      </c>
      <c r="Y1981">
        <f>VLOOKUP(D1981,$AB$2:$AC$7,2,FALSE)</f>
        <v/>
      </c>
      <c r="Z1981">
        <f>IF(A1981&lt;Y1981,"Yes","No")</f>
        <v/>
      </c>
    </row>
    <row r="1982">
      <c r="A1982" t="n">
        <v>2024</v>
      </c>
      <c r="B1982" t="inlineStr">
        <is>
          <t>Q3</t>
        </is>
      </c>
      <c r="C1982" t="inlineStr">
        <is>
          <t>Europe</t>
        </is>
      </c>
      <c r="D1982" t="inlineStr">
        <is>
          <t>Model X</t>
        </is>
      </c>
      <c r="E1982" t="n">
        <v>169</v>
      </c>
      <c r="F1982" t="n">
        <v>115715.58</v>
      </c>
      <c r="G1982" t="n">
        <v>57</v>
      </c>
      <c r="H1982" t="inlineStr">
        <is>
          <t>Standard</t>
        </is>
      </c>
      <c r="I1982" t="inlineStr">
        <is>
          <t>RWD</t>
        </is>
      </c>
      <c r="J1982" t="inlineStr">
        <is>
          <t>Green</t>
        </is>
      </c>
      <c r="K1982" t="n">
        <v>583</v>
      </c>
      <c r="L1982" t="n">
        <v>50</v>
      </c>
      <c r="M1982" t="n">
        <v>19.17</v>
      </c>
      <c r="N1982" t="n">
        <v>174.71</v>
      </c>
      <c r="O1982" t="n">
        <v>4.7</v>
      </c>
      <c r="P1982" t="n">
        <v>8</v>
      </c>
      <c r="Q1982" t="n">
        <v>3</v>
      </c>
      <c r="R1982" t="n">
        <v>2024.7</v>
      </c>
      <c r="S1982" t="b">
        <v>1</v>
      </c>
      <c r="T1982" t="n">
        <v>1564266</v>
      </c>
      <c r="U1982" t="n">
        <v>9</v>
      </c>
      <c r="V1982" t="n">
        <v>0.0504</v>
      </c>
      <c r="W1982" t="n">
        <v>2.33</v>
      </c>
      <c r="X1982" t="n">
        <v>88.65000000000001</v>
      </c>
      <c r="Y1982">
        <f>VLOOKUP(D1982,$AB$2:$AC$7,2,FALSE)</f>
        <v/>
      </c>
      <c r="Z1982">
        <f>IF(A1982&lt;Y1982,"Yes","No")</f>
        <v/>
      </c>
    </row>
    <row r="1983">
      <c r="A1983" t="n">
        <v>2021</v>
      </c>
      <c r="B1983" t="inlineStr">
        <is>
          <t>Q2</t>
        </is>
      </c>
      <c r="C1983" t="inlineStr">
        <is>
          <t>Europe</t>
        </is>
      </c>
      <c r="D1983" t="inlineStr">
        <is>
          <t>Model 3</t>
        </is>
      </c>
      <c r="E1983" t="n">
        <v>2008</v>
      </c>
      <c r="F1983" t="n">
        <v>105462.02</v>
      </c>
      <c r="G1983" t="n">
        <v>27</v>
      </c>
      <c r="H1983" t="inlineStr">
        <is>
          <t>Performance</t>
        </is>
      </c>
      <c r="I1983" t="inlineStr">
        <is>
          <t>RWD</t>
        </is>
      </c>
      <c r="J1983" t="inlineStr">
        <is>
          <t>Black</t>
        </is>
      </c>
      <c r="K1983" t="n">
        <v>360</v>
      </c>
      <c r="L1983" t="n">
        <v>35</v>
      </c>
      <c r="M1983" t="n">
        <v>19.62</v>
      </c>
      <c r="N1983" t="n">
        <v>2034.09</v>
      </c>
      <c r="O1983" t="n">
        <v>3.98</v>
      </c>
      <c r="P1983" t="n">
        <v>8</v>
      </c>
      <c r="Q1983" t="n">
        <v>3</v>
      </c>
      <c r="R1983" t="n">
        <v>2020.7</v>
      </c>
      <c r="S1983" t="b">
        <v>1</v>
      </c>
      <c r="T1983" t="n">
        <v>4925815</v>
      </c>
      <c r="U1983" t="n">
        <v>7</v>
      </c>
      <c r="V1983" t="n">
        <v>0.0148</v>
      </c>
      <c r="W1983" t="n">
        <v>1.33</v>
      </c>
      <c r="X1983" t="n">
        <v>61.96</v>
      </c>
      <c r="Y1983">
        <f>VLOOKUP(D1983,$AB$2:$AC$7,2,FALSE)</f>
        <v/>
      </c>
      <c r="Z1983">
        <f>IF(A1983&lt;Y1983,"Yes","No")</f>
        <v/>
      </c>
    </row>
    <row r="1984">
      <c r="A1984" t="n">
        <v>2015</v>
      </c>
      <c r="B1984" t="inlineStr">
        <is>
          <t>Q1</t>
        </is>
      </c>
      <c r="C1984" t="inlineStr">
        <is>
          <t>South America</t>
        </is>
      </c>
      <c r="D1984" t="inlineStr">
        <is>
          <t>Model X</t>
        </is>
      </c>
      <c r="E1984" t="n">
        <v>566</v>
      </c>
      <c r="F1984" t="n">
        <v>89086.83</v>
      </c>
      <c r="G1984" t="n">
        <v>60</v>
      </c>
      <c r="H1984" t="inlineStr">
        <is>
          <t>Long Range</t>
        </is>
      </c>
      <c r="I1984" t="inlineStr">
        <is>
          <t>AWD</t>
        </is>
      </c>
      <c r="J1984" t="inlineStr">
        <is>
          <t>Green</t>
        </is>
      </c>
      <c r="K1984" t="n">
        <v>442</v>
      </c>
      <c r="L1984" t="n">
        <v>70</v>
      </c>
      <c r="M1984" t="n">
        <v>17.9</v>
      </c>
      <c r="N1984" t="n">
        <v>1218.47</v>
      </c>
      <c r="O1984" t="n">
        <v>3.82</v>
      </c>
      <c r="P1984" t="n">
        <v>8</v>
      </c>
      <c r="Q1984" t="n">
        <v>2</v>
      </c>
      <c r="R1984" t="n">
        <v>2022.5</v>
      </c>
      <c r="S1984" t="b">
        <v>0</v>
      </c>
      <c r="T1984" t="n">
        <v>633076</v>
      </c>
      <c r="U1984" t="n">
        <v>4</v>
      </c>
      <c r="V1984" t="n">
        <v>0.08359999999999999</v>
      </c>
      <c r="W1984" t="n">
        <v>2.1</v>
      </c>
      <c r="X1984" t="n">
        <v>66.61</v>
      </c>
      <c r="Y1984">
        <f>VLOOKUP(D1984,$AB$2:$AC$7,2,FALSE)</f>
        <v/>
      </c>
      <c r="Z1984">
        <f>IF(A1984&lt;Y1984,"Yes","No")</f>
        <v/>
      </c>
    </row>
    <row r="1985">
      <c r="A1985" t="n">
        <v>2024</v>
      </c>
      <c r="B1985" t="inlineStr">
        <is>
          <t>Q3</t>
        </is>
      </c>
      <c r="C1985" t="inlineStr">
        <is>
          <t>Australia</t>
        </is>
      </c>
      <c r="D1985" t="inlineStr">
        <is>
          <t>Model Y</t>
        </is>
      </c>
      <c r="E1985" t="n">
        <v>1471</v>
      </c>
      <c r="F1985" t="n">
        <v>72025.42</v>
      </c>
      <c r="G1985" t="n">
        <v>19</v>
      </c>
      <c r="H1985" t="inlineStr">
        <is>
          <t>Performance</t>
        </is>
      </c>
      <c r="I1985" t="inlineStr">
        <is>
          <t>AWD</t>
        </is>
      </c>
      <c r="J1985" t="inlineStr">
        <is>
          <t>Red</t>
        </is>
      </c>
      <c r="K1985" t="n">
        <v>658</v>
      </c>
      <c r="L1985" t="n">
        <v>90</v>
      </c>
      <c r="M1985" t="n">
        <v>22.87</v>
      </c>
      <c r="N1985" t="n">
        <v>2244.78</v>
      </c>
      <c r="O1985" t="n">
        <v>3.76</v>
      </c>
      <c r="P1985" t="n">
        <v>4</v>
      </c>
      <c r="Q1985" t="n">
        <v>2</v>
      </c>
      <c r="R1985" t="n">
        <v>2021.6</v>
      </c>
      <c r="S1985" t="b">
        <v>1</v>
      </c>
      <c r="T1985" t="n">
        <v>2949194</v>
      </c>
      <c r="U1985" t="n">
        <v>12</v>
      </c>
      <c r="V1985" t="n">
        <v>0.0336</v>
      </c>
      <c r="W1985" t="n">
        <v>0.86</v>
      </c>
      <c r="X1985" t="n">
        <v>78.89</v>
      </c>
      <c r="Y1985">
        <f>VLOOKUP(D1985,$AB$2:$AC$7,2,FALSE)</f>
        <v/>
      </c>
      <c r="Z1985">
        <f>IF(A1985&lt;Y1985,"Yes","No")</f>
        <v/>
      </c>
    </row>
    <row r="1986">
      <c r="A1986" t="n">
        <v>2018</v>
      </c>
      <c r="B1986" t="inlineStr">
        <is>
          <t>Q2</t>
        </is>
      </c>
      <c r="C1986" t="inlineStr">
        <is>
          <t>South America</t>
        </is>
      </c>
      <c r="D1986" t="inlineStr">
        <is>
          <t>Semi</t>
        </is>
      </c>
      <c r="E1986" t="n">
        <v>3513</v>
      </c>
      <c r="F1986" t="n">
        <v>103518.81</v>
      </c>
      <c r="G1986" t="n">
        <v>41</v>
      </c>
      <c r="H1986" t="inlineStr">
        <is>
          <t>Standard</t>
        </is>
      </c>
      <c r="I1986" t="inlineStr">
        <is>
          <t>RWD</t>
        </is>
      </c>
      <c r="J1986" t="inlineStr">
        <is>
          <t>Green</t>
        </is>
      </c>
      <c r="K1986" t="n">
        <v>611</v>
      </c>
      <c r="L1986" t="n">
        <v>35</v>
      </c>
      <c r="M1986" t="n">
        <v>23.03</v>
      </c>
      <c r="N1986" t="n">
        <v>3499.37</v>
      </c>
      <c r="O1986" t="n">
        <v>4.94</v>
      </c>
      <c r="P1986" t="n">
        <v>6</v>
      </c>
      <c r="Q1986" t="n">
        <v>3</v>
      </c>
      <c r="R1986" t="n">
        <v>2022.2</v>
      </c>
      <c r="S1986" t="b">
        <v>1</v>
      </c>
      <c r="T1986" t="n">
        <v>2258515</v>
      </c>
      <c r="U1986" t="n">
        <v>2</v>
      </c>
      <c r="V1986" t="n">
        <v>0.0517</v>
      </c>
      <c r="W1986" t="n">
        <v>1.05</v>
      </c>
      <c r="X1986" t="n">
        <v>62.65</v>
      </c>
      <c r="Y1986">
        <f>VLOOKUP(D1986,$AB$2:$AC$7,2,FALSE)</f>
        <v/>
      </c>
      <c r="Z1986">
        <f>IF(A1986&lt;Y1986,"Yes","No")</f>
        <v/>
      </c>
    </row>
    <row r="1987">
      <c r="A1987" t="n">
        <v>2023</v>
      </c>
      <c r="B1987" t="inlineStr">
        <is>
          <t>Q3</t>
        </is>
      </c>
      <c r="C1987" t="inlineStr">
        <is>
          <t>North America</t>
        </is>
      </c>
      <c r="D1987" t="inlineStr">
        <is>
          <t>Model X</t>
        </is>
      </c>
      <c r="E1987" t="n">
        <v>4438</v>
      </c>
      <c r="F1987" t="n">
        <v>110199.24</v>
      </c>
      <c r="G1987" t="n">
        <v>8</v>
      </c>
      <c r="H1987" t="inlineStr">
        <is>
          <t>Performance</t>
        </is>
      </c>
      <c r="I1987" t="inlineStr">
        <is>
          <t>RWD</t>
        </is>
      </c>
      <c r="J1987" t="inlineStr">
        <is>
          <t>Red</t>
        </is>
      </c>
      <c r="K1987" t="n">
        <v>527</v>
      </c>
      <c r="L1987" t="n">
        <v>72</v>
      </c>
      <c r="M1987" t="n">
        <v>24.21</v>
      </c>
      <c r="N1987" t="n">
        <v>9043.25</v>
      </c>
      <c r="O1987" t="n">
        <v>4.13</v>
      </c>
      <c r="P1987" t="n">
        <v>6</v>
      </c>
      <c r="Q1987" t="n">
        <v>0</v>
      </c>
      <c r="R1987" t="n">
        <v>2021.1</v>
      </c>
      <c r="S1987" t="b">
        <v>0</v>
      </c>
      <c r="T1987" t="n">
        <v>293639</v>
      </c>
      <c r="U1987" t="n">
        <v>12</v>
      </c>
      <c r="V1987" t="n">
        <v>0.0665</v>
      </c>
      <c r="W1987" t="n">
        <v>1.36</v>
      </c>
      <c r="X1987" t="n">
        <v>62.87</v>
      </c>
      <c r="Y1987">
        <f>VLOOKUP(D1987,$AB$2:$AC$7,2,FALSE)</f>
        <v/>
      </c>
      <c r="Z1987">
        <f>IF(A1987&lt;Y1987,"Yes","No")</f>
        <v/>
      </c>
    </row>
    <row r="1988">
      <c r="A1988" t="n">
        <v>2024</v>
      </c>
      <c r="B1988" t="inlineStr">
        <is>
          <t>Q3</t>
        </is>
      </c>
      <c r="C1988" t="inlineStr">
        <is>
          <t>South America</t>
        </is>
      </c>
      <c r="D1988" t="inlineStr">
        <is>
          <t>Model Y</t>
        </is>
      </c>
      <c r="E1988" t="n">
        <v>1840</v>
      </c>
      <c r="F1988" t="n">
        <v>89330.05</v>
      </c>
      <c r="G1988" t="n">
        <v>9</v>
      </c>
      <c r="H1988" t="inlineStr">
        <is>
          <t>Long Range</t>
        </is>
      </c>
      <c r="I1988" t="inlineStr">
        <is>
          <t>AWD</t>
        </is>
      </c>
      <c r="J1988" t="inlineStr">
        <is>
          <t>Red</t>
        </is>
      </c>
      <c r="K1988" t="n">
        <v>468</v>
      </c>
      <c r="L1988" t="n">
        <v>37</v>
      </c>
      <c r="M1988" t="n">
        <v>16.79</v>
      </c>
      <c r="N1988" t="n">
        <v>1924.17</v>
      </c>
      <c r="O1988" t="n">
        <v>3.96</v>
      </c>
      <c r="P1988" t="n">
        <v>6</v>
      </c>
      <c r="Q1988" t="n">
        <v>2</v>
      </c>
      <c r="R1988" t="n">
        <v>2021.9</v>
      </c>
      <c r="S1988" t="b">
        <v>1</v>
      </c>
      <c r="T1988" t="n">
        <v>2787853</v>
      </c>
      <c r="U1988" t="n">
        <v>6</v>
      </c>
      <c r="V1988" t="n">
        <v>0.07049999999999999</v>
      </c>
      <c r="W1988" t="n">
        <v>0.62</v>
      </c>
      <c r="X1988" t="n">
        <v>89.69</v>
      </c>
      <c r="Y1988">
        <f>VLOOKUP(D1988,$AB$2:$AC$7,2,FALSE)</f>
        <v/>
      </c>
      <c r="Z1988">
        <f>IF(A1988&lt;Y1988,"Yes","No")</f>
        <v/>
      </c>
    </row>
    <row r="1989">
      <c r="A1989" t="n">
        <v>2024</v>
      </c>
      <c r="B1989" t="inlineStr">
        <is>
          <t>Q2</t>
        </is>
      </c>
      <c r="C1989" t="inlineStr">
        <is>
          <t>North America</t>
        </is>
      </c>
      <c r="D1989" t="inlineStr">
        <is>
          <t>Cybertruck</t>
        </is>
      </c>
      <c r="E1989" t="n">
        <v>2957</v>
      </c>
      <c r="F1989" t="n">
        <v>114397.48</v>
      </c>
      <c r="G1989" t="n">
        <v>3</v>
      </c>
      <c r="H1989" t="inlineStr">
        <is>
          <t>Long Range</t>
        </is>
      </c>
      <c r="I1989" t="inlineStr">
        <is>
          <t>RWD</t>
        </is>
      </c>
      <c r="J1989" t="inlineStr">
        <is>
          <t>Black</t>
        </is>
      </c>
      <c r="K1989" t="n">
        <v>357</v>
      </c>
      <c r="L1989" t="n">
        <v>86</v>
      </c>
      <c r="M1989" t="n">
        <v>23.22</v>
      </c>
      <c r="N1989" t="n">
        <v>5526.87</v>
      </c>
      <c r="O1989" t="n">
        <v>4.37</v>
      </c>
      <c r="P1989" t="n">
        <v>4</v>
      </c>
      <c r="Q1989" t="n">
        <v>1</v>
      </c>
      <c r="R1989" t="n">
        <v>2022.11</v>
      </c>
      <c r="S1989" t="b">
        <v>1</v>
      </c>
      <c r="T1989" t="n">
        <v>1661841</v>
      </c>
      <c r="U1989" t="n">
        <v>11</v>
      </c>
      <c r="V1989" t="n">
        <v>0.0243</v>
      </c>
      <c r="W1989" t="n">
        <v>1.28</v>
      </c>
      <c r="X1989" t="n">
        <v>60.75</v>
      </c>
      <c r="Y1989">
        <f>VLOOKUP(D1989,$AB$2:$AC$7,2,FALSE)</f>
        <v/>
      </c>
      <c r="Z1989">
        <f>IF(A1989&lt;Y1989,"Yes","No")</f>
        <v/>
      </c>
    </row>
    <row r="1990">
      <c r="A1990" t="n">
        <v>2017</v>
      </c>
      <c r="B1990" t="inlineStr">
        <is>
          <t>Q3</t>
        </is>
      </c>
      <c r="C1990" t="inlineStr">
        <is>
          <t>Asia</t>
        </is>
      </c>
      <c r="D1990" t="inlineStr">
        <is>
          <t>Semi</t>
        </is>
      </c>
      <c r="E1990" t="n">
        <v>2886</v>
      </c>
      <c r="F1990" t="n">
        <v>114844.73</v>
      </c>
      <c r="G1990" t="n">
        <v>46</v>
      </c>
      <c r="H1990" t="inlineStr">
        <is>
          <t>Long Range</t>
        </is>
      </c>
      <c r="I1990" t="inlineStr">
        <is>
          <t>AWD</t>
        </is>
      </c>
      <c r="J1990" t="inlineStr">
        <is>
          <t>Silver</t>
        </is>
      </c>
      <c r="K1990" t="n">
        <v>504</v>
      </c>
      <c r="L1990" t="n">
        <v>68</v>
      </c>
      <c r="M1990" t="n">
        <v>18.97</v>
      </c>
      <c r="N1990" t="n">
        <v>3662.69</v>
      </c>
      <c r="O1990" t="n">
        <v>4.02</v>
      </c>
      <c r="P1990" t="n">
        <v>8</v>
      </c>
      <c r="Q1990" t="n">
        <v>1</v>
      </c>
      <c r="R1990" t="n">
        <v>2021.1</v>
      </c>
      <c r="S1990" t="b">
        <v>1</v>
      </c>
      <c r="T1990" t="n">
        <v>4969178</v>
      </c>
      <c r="U1990" t="n">
        <v>6</v>
      </c>
      <c r="V1990" t="n">
        <v>0.0287</v>
      </c>
      <c r="W1990" t="n">
        <v>0.5600000000000001</v>
      </c>
      <c r="X1990" t="n">
        <v>80.45999999999999</v>
      </c>
      <c r="Y1990">
        <f>VLOOKUP(D1990,$AB$2:$AC$7,2,FALSE)</f>
        <v/>
      </c>
      <c r="Z1990">
        <f>IF(A1990&lt;Y1990,"Yes","No")</f>
        <v/>
      </c>
    </row>
    <row r="1991">
      <c r="A1991" t="n">
        <v>2013</v>
      </c>
      <c r="B1991" t="inlineStr">
        <is>
          <t>Q3</t>
        </is>
      </c>
      <c r="C1991" t="inlineStr">
        <is>
          <t>Australia</t>
        </is>
      </c>
      <c r="D1991" t="inlineStr">
        <is>
          <t>Cybertruck</t>
        </is>
      </c>
      <c r="E1991" t="n">
        <v>3653</v>
      </c>
      <c r="F1991" t="n">
        <v>80114.16</v>
      </c>
      <c r="G1991" t="n">
        <v>11</v>
      </c>
      <c r="H1991" t="inlineStr">
        <is>
          <t>Performance</t>
        </is>
      </c>
      <c r="I1991" t="inlineStr">
        <is>
          <t>AWD</t>
        </is>
      </c>
      <c r="J1991" t="inlineStr">
        <is>
          <t>Green</t>
        </is>
      </c>
      <c r="K1991" t="n">
        <v>639</v>
      </c>
      <c r="L1991" t="n">
        <v>51</v>
      </c>
      <c r="M1991" t="n">
        <v>18.79</v>
      </c>
      <c r="N1991" t="n">
        <v>7130.96</v>
      </c>
      <c r="O1991" t="n">
        <v>4.75</v>
      </c>
      <c r="P1991" t="n">
        <v>5</v>
      </c>
      <c r="Q1991" t="n">
        <v>3</v>
      </c>
      <c r="R1991" t="n">
        <v>2024.4</v>
      </c>
      <c r="S1991" t="b">
        <v>1</v>
      </c>
      <c r="T1991" t="n">
        <v>697149</v>
      </c>
      <c r="U1991" t="n">
        <v>10</v>
      </c>
      <c r="V1991" t="n">
        <v>0.06419999999999999</v>
      </c>
      <c r="W1991" t="n">
        <v>1.36</v>
      </c>
      <c r="X1991" t="n">
        <v>70.84</v>
      </c>
      <c r="Y1991">
        <f>VLOOKUP(D1991,$AB$2:$AC$7,2,FALSE)</f>
        <v/>
      </c>
      <c r="Z1991">
        <f>IF(A1991&lt;Y1991,"Yes","No")</f>
        <v/>
      </c>
    </row>
    <row r="1992">
      <c r="A1992" t="n">
        <v>2022</v>
      </c>
      <c r="B1992" t="inlineStr">
        <is>
          <t>Q3</t>
        </is>
      </c>
      <c r="C1992" t="inlineStr">
        <is>
          <t>Australia</t>
        </is>
      </c>
      <c r="D1992" t="inlineStr">
        <is>
          <t>Semi</t>
        </is>
      </c>
      <c r="E1992" t="n">
        <v>195</v>
      </c>
      <c r="F1992" t="n">
        <v>105769.14</v>
      </c>
      <c r="G1992" t="n">
        <v>48</v>
      </c>
      <c r="H1992" t="inlineStr">
        <is>
          <t>Long Range</t>
        </is>
      </c>
      <c r="I1992" t="inlineStr">
        <is>
          <t>RWD</t>
        </is>
      </c>
      <c r="J1992" t="inlineStr">
        <is>
          <t>Blue</t>
        </is>
      </c>
      <c r="K1992" t="n">
        <v>430</v>
      </c>
      <c r="L1992" t="n">
        <v>72</v>
      </c>
      <c r="M1992" t="n">
        <v>16.83</v>
      </c>
      <c r="N1992" t="n">
        <v>388.61</v>
      </c>
      <c r="O1992" t="n">
        <v>4.46</v>
      </c>
      <c r="P1992" t="n">
        <v>4</v>
      </c>
      <c r="Q1992" t="n">
        <v>1</v>
      </c>
      <c r="R1992" t="n">
        <v>2021.8</v>
      </c>
      <c r="S1992" t="b">
        <v>1</v>
      </c>
      <c r="T1992" t="n">
        <v>4581954</v>
      </c>
      <c r="U1992" t="n">
        <v>12</v>
      </c>
      <c r="V1992" t="n">
        <v>0.0557</v>
      </c>
      <c r="W1992" t="n">
        <v>1.21</v>
      </c>
      <c r="X1992" t="n">
        <v>73.56</v>
      </c>
      <c r="Y1992">
        <f>VLOOKUP(D1992,$AB$2:$AC$7,2,FALSE)</f>
        <v/>
      </c>
      <c r="Z1992">
        <f>IF(A1992&lt;Y1992,"Yes","No")</f>
        <v/>
      </c>
    </row>
    <row r="1993">
      <c r="A1993" t="n">
        <v>2017</v>
      </c>
      <c r="B1993" t="inlineStr">
        <is>
          <t>Q1</t>
        </is>
      </c>
      <c r="C1993" t="inlineStr">
        <is>
          <t>South America</t>
        </is>
      </c>
      <c r="D1993" t="inlineStr">
        <is>
          <t>Cybertruck</t>
        </is>
      </c>
      <c r="E1993" t="n">
        <v>311</v>
      </c>
      <c r="F1993" t="n">
        <v>91485.13</v>
      </c>
      <c r="G1993" t="n">
        <v>2</v>
      </c>
      <c r="H1993" t="inlineStr">
        <is>
          <t>Long Range</t>
        </is>
      </c>
      <c r="I1993" t="inlineStr">
        <is>
          <t>RWD</t>
        </is>
      </c>
      <c r="J1993" t="inlineStr">
        <is>
          <t>Green</t>
        </is>
      </c>
      <c r="K1993" t="n">
        <v>414</v>
      </c>
      <c r="L1993" t="n">
        <v>32</v>
      </c>
      <c r="M1993" t="n">
        <v>16.02</v>
      </c>
      <c r="N1993" t="n">
        <v>648.84</v>
      </c>
      <c r="O1993" t="n">
        <v>4.38</v>
      </c>
      <c r="P1993" t="n">
        <v>4</v>
      </c>
      <c r="Q1993" t="n">
        <v>3</v>
      </c>
      <c r="R1993" t="n">
        <v>2022.4</v>
      </c>
      <c r="S1993" t="b">
        <v>1</v>
      </c>
      <c r="T1993" t="n">
        <v>3446218</v>
      </c>
      <c r="U1993" t="n">
        <v>6</v>
      </c>
      <c r="V1993" t="n">
        <v>0.09279999999999999</v>
      </c>
      <c r="W1993" t="n">
        <v>1</v>
      </c>
      <c r="X1993" t="n">
        <v>89.87</v>
      </c>
      <c r="Y1993">
        <f>VLOOKUP(D1993,$AB$2:$AC$7,2,FALSE)</f>
        <v/>
      </c>
      <c r="Z1993">
        <f>IF(A1993&lt;Y1993,"Yes","No")</f>
        <v/>
      </c>
    </row>
    <row r="1994">
      <c r="A1994" t="n">
        <v>2015</v>
      </c>
      <c r="B1994" t="inlineStr">
        <is>
          <t>Q2</t>
        </is>
      </c>
      <c r="C1994" t="inlineStr">
        <is>
          <t>North America</t>
        </is>
      </c>
      <c r="D1994" t="inlineStr">
        <is>
          <t>Model 3</t>
        </is>
      </c>
      <c r="E1994" t="n">
        <v>2490</v>
      </c>
      <c r="F1994" t="n">
        <v>88475.25</v>
      </c>
      <c r="G1994" t="n">
        <v>16</v>
      </c>
      <c r="H1994" t="inlineStr">
        <is>
          <t>Long Range</t>
        </is>
      </c>
      <c r="I1994" t="inlineStr">
        <is>
          <t>AWD</t>
        </is>
      </c>
      <c r="J1994" t="inlineStr">
        <is>
          <t>Green</t>
        </is>
      </c>
      <c r="K1994" t="n">
        <v>594</v>
      </c>
      <c r="L1994" t="n">
        <v>45</v>
      </c>
      <c r="M1994" t="n">
        <v>20.63</v>
      </c>
      <c r="N1994" t="n">
        <v>4104.3</v>
      </c>
      <c r="O1994" t="n">
        <v>3.62</v>
      </c>
      <c r="P1994" t="n">
        <v>4</v>
      </c>
      <c r="Q1994" t="n">
        <v>0</v>
      </c>
      <c r="R1994" t="n">
        <v>2020.3</v>
      </c>
      <c r="S1994" t="b">
        <v>1</v>
      </c>
      <c r="T1994" t="n">
        <v>1742978</v>
      </c>
      <c r="U1994" t="n">
        <v>8</v>
      </c>
      <c r="V1994" t="n">
        <v>0.0539</v>
      </c>
      <c r="W1994" t="n">
        <v>0.86</v>
      </c>
      <c r="X1994" t="n">
        <v>80.43000000000001</v>
      </c>
      <c r="Y1994">
        <f>VLOOKUP(D1994,$AB$2:$AC$7,2,FALSE)</f>
        <v/>
      </c>
      <c r="Z1994">
        <f>IF(A1994&lt;Y1994,"Yes","No")</f>
        <v/>
      </c>
    </row>
    <row r="1995">
      <c r="A1995" t="n">
        <v>2022</v>
      </c>
      <c r="B1995" t="inlineStr">
        <is>
          <t>Q1</t>
        </is>
      </c>
      <c r="C1995" t="inlineStr">
        <is>
          <t>Australia</t>
        </is>
      </c>
      <c r="D1995" t="inlineStr">
        <is>
          <t>Cybertruck</t>
        </is>
      </c>
      <c r="E1995" t="n">
        <v>2119</v>
      </c>
      <c r="F1995" t="n">
        <v>113863.98</v>
      </c>
      <c r="G1995" t="n">
        <v>57</v>
      </c>
      <c r="H1995" t="inlineStr">
        <is>
          <t>Long Range</t>
        </is>
      </c>
      <c r="I1995" t="inlineStr">
        <is>
          <t>AWD</t>
        </is>
      </c>
      <c r="J1995" t="inlineStr">
        <is>
          <t>Green</t>
        </is>
      </c>
      <c r="K1995" t="n">
        <v>550</v>
      </c>
      <c r="L1995" t="n">
        <v>56</v>
      </c>
      <c r="M1995" t="n">
        <v>20.95</v>
      </c>
      <c r="N1995" t="n">
        <v>2223.2</v>
      </c>
      <c r="O1995" t="n">
        <v>3.6</v>
      </c>
      <c r="P1995" t="n">
        <v>4</v>
      </c>
      <c r="Q1995" t="n">
        <v>3</v>
      </c>
      <c r="R1995" t="n">
        <v>2024.4</v>
      </c>
      <c r="S1995" t="b">
        <v>0</v>
      </c>
      <c r="T1995" t="n">
        <v>1634700</v>
      </c>
      <c r="U1995" t="n">
        <v>9</v>
      </c>
      <c r="V1995" t="n">
        <v>0.0407</v>
      </c>
      <c r="W1995" t="n">
        <v>1.23</v>
      </c>
      <c r="X1995" t="n">
        <v>89.66</v>
      </c>
      <c r="Y1995">
        <f>VLOOKUP(D1995,$AB$2:$AC$7,2,FALSE)</f>
        <v/>
      </c>
      <c r="Z1995">
        <f>IF(A1995&lt;Y1995,"Yes","No")</f>
        <v/>
      </c>
    </row>
    <row r="1996">
      <c r="A1996" t="n">
        <v>2023</v>
      </c>
      <c r="B1996" t="inlineStr">
        <is>
          <t>Q1</t>
        </is>
      </c>
      <c r="C1996" t="inlineStr">
        <is>
          <t>South America</t>
        </is>
      </c>
      <c r="D1996" t="inlineStr">
        <is>
          <t>Model 3</t>
        </is>
      </c>
      <c r="E1996" t="n">
        <v>921</v>
      </c>
      <c r="F1996" t="n">
        <v>116064.44</v>
      </c>
      <c r="G1996" t="n">
        <v>57</v>
      </c>
      <c r="H1996" t="inlineStr">
        <is>
          <t>Standard</t>
        </is>
      </c>
      <c r="I1996" t="inlineStr">
        <is>
          <t>AWD</t>
        </is>
      </c>
      <c r="J1996" t="inlineStr">
        <is>
          <t>Green</t>
        </is>
      </c>
      <c r="K1996" t="n">
        <v>352</v>
      </c>
      <c r="L1996" t="n">
        <v>34</v>
      </c>
      <c r="M1996" t="n">
        <v>21.84</v>
      </c>
      <c r="N1996" t="n">
        <v>607.96</v>
      </c>
      <c r="O1996" t="n">
        <v>4.8</v>
      </c>
      <c r="P1996" t="n">
        <v>5</v>
      </c>
      <c r="Q1996" t="n">
        <v>1</v>
      </c>
      <c r="R1996" t="n">
        <v>2020.6</v>
      </c>
      <c r="S1996" t="b">
        <v>1</v>
      </c>
      <c r="T1996" t="n">
        <v>4870939</v>
      </c>
      <c r="U1996" t="n">
        <v>2</v>
      </c>
      <c r="V1996" t="n">
        <v>0.0153</v>
      </c>
      <c r="W1996" t="n">
        <v>2.41</v>
      </c>
      <c r="X1996" t="n">
        <v>68.86</v>
      </c>
      <c r="Y1996">
        <f>VLOOKUP(D1996,$AB$2:$AC$7,2,FALSE)</f>
        <v/>
      </c>
      <c r="Z1996">
        <f>IF(A1996&lt;Y1996,"Yes","No")</f>
        <v/>
      </c>
    </row>
    <row r="1997">
      <c r="A1997" t="n">
        <v>2024</v>
      </c>
      <c r="B1997" t="inlineStr">
        <is>
          <t>Q4</t>
        </is>
      </c>
      <c r="C1997" t="inlineStr">
        <is>
          <t>Australia</t>
        </is>
      </c>
      <c r="D1997" t="inlineStr">
        <is>
          <t>Semi</t>
        </is>
      </c>
      <c r="E1997" t="n">
        <v>2243</v>
      </c>
      <c r="F1997" t="n">
        <v>52917.59</v>
      </c>
      <c r="G1997" t="n">
        <v>2</v>
      </c>
      <c r="H1997" t="inlineStr">
        <is>
          <t>Performance</t>
        </is>
      </c>
      <c r="I1997" t="inlineStr">
        <is>
          <t>RWD</t>
        </is>
      </c>
      <c r="J1997" t="inlineStr">
        <is>
          <t>Red</t>
        </is>
      </c>
      <c r="K1997" t="n">
        <v>501</v>
      </c>
      <c r="L1997" t="n">
        <v>39</v>
      </c>
      <c r="M1997" t="n">
        <v>19.67</v>
      </c>
      <c r="N1997" t="n">
        <v>4097.7</v>
      </c>
      <c r="O1997" t="n">
        <v>3.64</v>
      </c>
      <c r="P1997" t="n">
        <v>8</v>
      </c>
      <c r="Q1997" t="n">
        <v>1</v>
      </c>
      <c r="R1997" t="n">
        <v>2021.3</v>
      </c>
      <c r="S1997" t="b">
        <v>0</v>
      </c>
      <c r="T1997" t="n">
        <v>3304320</v>
      </c>
      <c r="U1997" t="n">
        <v>6</v>
      </c>
      <c r="V1997" t="n">
        <v>0.0987</v>
      </c>
      <c r="W1997" t="n">
        <v>1.45</v>
      </c>
      <c r="X1997" t="n">
        <v>61.14</v>
      </c>
      <c r="Y1997">
        <f>VLOOKUP(D1997,$AB$2:$AC$7,2,FALSE)</f>
        <v/>
      </c>
      <c r="Z1997">
        <f>IF(A1997&lt;Y1997,"Yes","No")</f>
        <v/>
      </c>
    </row>
    <row r="1998">
      <c r="A1998" t="n">
        <v>2012</v>
      </c>
      <c r="B1998" t="inlineStr">
        <is>
          <t>Q4</t>
        </is>
      </c>
      <c r="C1998" t="inlineStr">
        <is>
          <t>North America</t>
        </is>
      </c>
      <c r="D1998" t="inlineStr">
        <is>
          <t>Model Y</t>
        </is>
      </c>
      <c r="E1998" t="n">
        <v>3770</v>
      </c>
      <c r="F1998" t="n">
        <v>116548.24</v>
      </c>
      <c r="G1998" t="n">
        <v>15</v>
      </c>
      <c r="H1998" t="inlineStr">
        <is>
          <t>Long Range</t>
        </is>
      </c>
      <c r="I1998" t="inlineStr">
        <is>
          <t>RWD</t>
        </is>
      </c>
      <c r="J1998" t="inlineStr">
        <is>
          <t>Silver</t>
        </is>
      </c>
      <c r="K1998" t="n">
        <v>622</v>
      </c>
      <c r="L1998" t="n">
        <v>86</v>
      </c>
      <c r="M1998" t="n">
        <v>20.42</v>
      </c>
      <c r="N1998" t="n">
        <v>2430.89</v>
      </c>
      <c r="O1998" t="n">
        <v>3.68</v>
      </c>
      <c r="P1998" t="n">
        <v>4</v>
      </c>
      <c r="Q1998" t="n">
        <v>0</v>
      </c>
      <c r="R1998" t="n">
        <v>2020.8</v>
      </c>
      <c r="S1998" t="b">
        <v>1</v>
      </c>
      <c r="T1998" t="n">
        <v>313277</v>
      </c>
      <c r="U1998" t="n">
        <v>10</v>
      </c>
      <c r="V1998" t="n">
        <v>0.06950000000000001</v>
      </c>
      <c r="W1998" t="n">
        <v>1.44</v>
      </c>
      <c r="X1998" t="n">
        <v>84.3</v>
      </c>
      <c r="Y1998">
        <f>VLOOKUP(D1998,$AB$2:$AC$7,2,FALSE)</f>
        <v/>
      </c>
      <c r="Z1998">
        <f>IF(A1998&lt;Y1998,"Yes","No")</f>
        <v/>
      </c>
    </row>
    <row r="1999">
      <c r="A1999" t="n">
        <v>2020</v>
      </c>
      <c r="B1999" t="inlineStr">
        <is>
          <t>Q1</t>
        </is>
      </c>
      <c r="C1999" t="inlineStr">
        <is>
          <t>North America</t>
        </is>
      </c>
      <c r="D1999" t="inlineStr">
        <is>
          <t>Semi</t>
        </is>
      </c>
      <c r="E1999" t="n">
        <v>828</v>
      </c>
      <c r="F1999" t="n">
        <v>73768.52</v>
      </c>
      <c r="G1999" t="n">
        <v>47</v>
      </c>
      <c r="H1999" t="inlineStr">
        <is>
          <t>Long Range</t>
        </is>
      </c>
      <c r="I1999" t="inlineStr">
        <is>
          <t>RWD</t>
        </is>
      </c>
      <c r="J1999" t="inlineStr">
        <is>
          <t>White</t>
        </is>
      </c>
      <c r="K1999" t="n">
        <v>588</v>
      </c>
      <c r="L1999" t="n">
        <v>70</v>
      </c>
      <c r="M1999" t="n">
        <v>23.44</v>
      </c>
      <c r="N1999" t="n">
        <v>1123.7</v>
      </c>
      <c r="O1999" t="n">
        <v>4</v>
      </c>
      <c r="P1999" t="n">
        <v>6</v>
      </c>
      <c r="Q1999" t="n">
        <v>3</v>
      </c>
      <c r="R1999" t="n">
        <v>2022.8</v>
      </c>
      <c r="S1999" t="b">
        <v>1</v>
      </c>
      <c r="T1999" t="n">
        <v>1989731</v>
      </c>
      <c r="U1999" t="n">
        <v>5</v>
      </c>
      <c r="V1999" t="n">
        <v>0.0459</v>
      </c>
      <c r="W1999" t="n">
        <v>1.42</v>
      </c>
      <c r="X1999" t="n">
        <v>81.84999999999999</v>
      </c>
      <c r="Y1999">
        <f>VLOOKUP(D1999,$AB$2:$AC$7,2,FALSE)</f>
        <v/>
      </c>
      <c r="Z1999">
        <f>IF(A1999&lt;Y1999,"Yes","No")</f>
        <v/>
      </c>
    </row>
    <row r="2000">
      <c r="A2000" t="n">
        <v>2022</v>
      </c>
      <c r="B2000" t="inlineStr">
        <is>
          <t>Q3</t>
        </is>
      </c>
      <c r="C2000" t="inlineStr">
        <is>
          <t>Australia</t>
        </is>
      </c>
      <c r="D2000" t="inlineStr">
        <is>
          <t>Cybertruck</t>
        </is>
      </c>
      <c r="E2000" t="n">
        <v>730</v>
      </c>
      <c r="F2000" t="n">
        <v>105843.89</v>
      </c>
      <c r="G2000" t="n">
        <v>1</v>
      </c>
      <c r="H2000" t="inlineStr">
        <is>
          <t>Performance</t>
        </is>
      </c>
      <c r="I2000" t="inlineStr">
        <is>
          <t>AWD</t>
        </is>
      </c>
      <c r="J2000" t="inlineStr">
        <is>
          <t>Green</t>
        </is>
      </c>
      <c r="K2000" t="n">
        <v>597</v>
      </c>
      <c r="L2000" t="n">
        <v>63</v>
      </c>
      <c r="M2000" t="n">
        <v>16.39</v>
      </c>
      <c r="N2000" t="n">
        <v>1410.7</v>
      </c>
      <c r="O2000" t="n">
        <v>4.1</v>
      </c>
      <c r="P2000" t="n">
        <v>5</v>
      </c>
      <c r="Q2000" t="n">
        <v>1</v>
      </c>
      <c r="R2000" t="n">
        <v>2020.9</v>
      </c>
      <c r="S2000" t="b">
        <v>1</v>
      </c>
      <c r="T2000" t="n">
        <v>2524412</v>
      </c>
      <c r="U2000" t="n">
        <v>7</v>
      </c>
      <c r="V2000" t="n">
        <v>0.08550000000000001</v>
      </c>
      <c r="W2000" t="n">
        <v>0.89</v>
      </c>
      <c r="X2000" t="n">
        <v>86.31</v>
      </c>
      <c r="Y2000">
        <f>VLOOKUP(D2000,$AB$2:$AC$7,2,FALSE)</f>
        <v/>
      </c>
      <c r="Z2000">
        <f>IF(A2000&lt;Y2000,"Yes","No")</f>
        <v/>
      </c>
    </row>
    <row r="2001">
      <c r="A2001" t="n">
        <v>2012</v>
      </c>
      <c r="B2001" t="inlineStr">
        <is>
          <t>Q3</t>
        </is>
      </c>
      <c r="C2001" t="inlineStr">
        <is>
          <t>South America</t>
        </is>
      </c>
      <c r="D2001" t="inlineStr">
        <is>
          <t>Cybertruck</t>
        </is>
      </c>
      <c r="E2001" t="n">
        <v>1476</v>
      </c>
      <c r="F2001" t="n">
        <v>37213.44</v>
      </c>
      <c r="G2001" t="n">
        <v>29</v>
      </c>
      <c r="H2001" t="inlineStr">
        <is>
          <t>Standard</t>
        </is>
      </c>
      <c r="I2001" t="inlineStr">
        <is>
          <t>AWD</t>
        </is>
      </c>
      <c r="J2001" t="inlineStr">
        <is>
          <t>Red</t>
        </is>
      </c>
      <c r="K2001" t="n">
        <v>428</v>
      </c>
      <c r="L2001" t="n">
        <v>55</v>
      </c>
      <c r="M2001" t="n">
        <v>24.44</v>
      </c>
      <c r="N2001" t="n">
        <v>2121.34</v>
      </c>
      <c r="O2001" t="n">
        <v>4.01</v>
      </c>
      <c r="P2001" t="n">
        <v>8</v>
      </c>
      <c r="Q2001" t="n">
        <v>2</v>
      </c>
      <c r="R2001" t="n">
        <v>2021.12</v>
      </c>
      <c r="S2001" t="b">
        <v>0</v>
      </c>
      <c r="T2001" t="n">
        <v>2537848</v>
      </c>
      <c r="U2001" t="n">
        <v>3</v>
      </c>
      <c r="V2001" t="n">
        <v>0.0954</v>
      </c>
      <c r="W2001" t="n">
        <v>0.92</v>
      </c>
      <c r="X2001" t="n">
        <v>64.19</v>
      </c>
      <c r="Y2001">
        <f>VLOOKUP(D2001,$AB$2:$AC$7,2,FALSE)</f>
        <v/>
      </c>
      <c r="Z2001">
        <f>IF(A2001&lt;Y2001,"Yes","No")</f>
        <v/>
      </c>
    </row>
    <row r="2002">
      <c r="A2002" t="n">
        <v>2013</v>
      </c>
      <c r="B2002" t="inlineStr">
        <is>
          <t>Q1</t>
        </is>
      </c>
      <c r="C2002" t="inlineStr">
        <is>
          <t>Australia</t>
        </is>
      </c>
      <c r="D2002" t="inlineStr">
        <is>
          <t>Model 3</t>
        </is>
      </c>
      <c r="E2002" t="n">
        <v>1707</v>
      </c>
      <c r="F2002" t="n">
        <v>39479.33</v>
      </c>
      <c r="G2002" t="n">
        <v>53</v>
      </c>
      <c r="H2002" t="inlineStr">
        <is>
          <t>Long Range</t>
        </is>
      </c>
      <c r="I2002" t="inlineStr">
        <is>
          <t>AWD</t>
        </is>
      </c>
      <c r="J2002" t="inlineStr">
        <is>
          <t>Red</t>
        </is>
      </c>
      <c r="K2002" t="n">
        <v>593</v>
      </c>
      <c r="L2002" t="n">
        <v>81</v>
      </c>
      <c r="M2002" t="n">
        <v>24.49</v>
      </c>
      <c r="N2002" t="n">
        <v>4205.52</v>
      </c>
      <c r="O2002" t="n">
        <v>4.93</v>
      </c>
      <c r="P2002" t="n">
        <v>5</v>
      </c>
      <c r="Q2002" t="n">
        <v>0</v>
      </c>
      <c r="R2002" t="n">
        <v>2024.1</v>
      </c>
      <c r="S2002" t="b">
        <v>0</v>
      </c>
      <c r="T2002" t="n">
        <v>4742169</v>
      </c>
      <c r="U2002" t="n">
        <v>12</v>
      </c>
      <c r="V2002" t="n">
        <v>0.099</v>
      </c>
      <c r="W2002" t="n">
        <v>0.53</v>
      </c>
      <c r="X2002" t="n">
        <v>86.67</v>
      </c>
      <c r="Y2002">
        <f>VLOOKUP(D2002,$AB$2:$AC$7,2,FALSE)</f>
        <v/>
      </c>
      <c r="Z2002">
        <f>IF(A2002&lt;Y2002,"Yes","No")</f>
        <v/>
      </c>
    </row>
    <row r="2003">
      <c r="A2003" t="n">
        <v>2020</v>
      </c>
      <c r="B2003" t="inlineStr">
        <is>
          <t>Q4</t>
        </is>
      </c>
      <c r="C2003" t="inlineStr">
        <is>
          <t>North America</t>
        </is>
      </c>
      <c r="D2003" t="inlineStr">
        <is>
          <t>Model S</t>
        </is>
      </c>
      <c r="E2003" t="n">
        <v>1412</v>
      </c>
      <c r="F2003" t="n">
        <v>100600.68</v>
      </c>
      <c r="G2003" t="n">
        <v>32</v>
      </c>
      <c r="H2003" t="inlineStr">
        <is>
          <t>Standard</t>
        </is>
      </c>
      <c r="I2003" t="inlineStr">
        <is>
          <t>RWD</t>
        </is>
      </c>
      <c r="J2003" t="inlineStr">
        <is>
          <t>White</t>
        </is>
      </c>
      <c r="K2003" t="n">
        <v>468</v>
      </c>
      <c r="L2003" t="n">
        <v>33</v>
      </c>
      <c r="M2003" t="n">
        <v>17.77</v>
      </c>
      <c r="N2003" t="n">
        <v>1605.61</v>
      </c>
      <c r="O2003" t="n">
        <v>4.74</v>
      </c>
      <c r="P2003" t="n">
        <v>8</v>
      </c>
      <c r="Q2003" t="n">
        <v>3</v>
      </c>
      <c r="R2003" t="n">
        <v>2021.2</v>
      </c>
      <c r="S2003" t="b">
        <v>1</v>
      </c>
      <c r="T2003" t="n">
        <v>1220201</v>
      </c>
      <c r="U2003" t="n">
        <v>9</v>
      </c>
      <c r="V2003" t="n">
        <v>0.0196</v>
      </c>
      <c r="W2003" t="n">
        <v>1.31</v>
      </c>
      <c r="X2003" t="n">
        <v>63.17</v>
      </c>
      <c r="Y2003">
        <f>VLOOKUP(D2003,$AB$2:$AC$7,2,FALSE)</f>
        <v/>
      </c>
      <c r="Z2003">
        <f>IF(A2003&lt;Y2003,"Yes","No")</f>
        <v/>
      </c>
    </row>
    <row r="2004">
      <c r="A2004" t="n">
        <v>2021</v>
      </c>
      <c r="B2004" t="inlineStr">
        <is>
          <t>Q1</t>
        </is>
      </c>
      <c r="C2004" t="inlineStr">
        <is>
          <t>Australia</t>
        </is>
      </c>
      <c r="D2004" t="inlineStr">
        <is>
          <t>Model Y</t>
        </is>
      </c>
      <c r="E2004" t="n">
        <v>3563</v>
      </c>
      <c r="F2004" t="n">
        <v>117804.97</v>
      </c>
      <c r="G2004" t="n">
        <v>58</v>
      </c>
      <c r="H2004" t="inlineStr">
        <is>
          <t>Long Range</t>
        </is>
      </c>
      <c r="I2004" t="inlineStr">
        <is>
          <t>AWD</t>
        </is>
      </c>
      <c r="J2004" t="inlineStr">
        <is>
          <t>Red</t>
        </is>
      </c>
      <c r="K2004" t="n">
        <v>520</v>
      </c>
      <c r="L2004" t="n">
        <v>39</v>
      </c>
      <c r="M2004" t="n">
        <v>24.19</v>
      </c>
      <c r="N2004" t="n">
        <v>5230.44</v>
      </c>
      <c r="O2004" t="n">
        <v>4.74</v>
      </c>
      <c r="P2004" t="n">
        <v>8</v>
      </c>
      <c r="Q2004" t="n">
        <v>0</v>
      </c>
      <c r="R2004" t="n">
        <v>2020.1</v>
      </c>
      <c r="S2004" t="b">
        <v>0</v>
      </c>
      <c r="T2004" t="n">
        <v>155114</v>
      </c>
      <c r="U2004" t="n">
        <v>8</v>
      </c>
      <c r="V2004" t="n">
        <v>0.0581</v>
      </c>
      <c r="W2004" t="n">
        <v>1.55</v>
      </c>
      <c r="X2004" t="n">
        <v>72.98999999999999</v>
      </c>
      <c r="Y2004">
        <f>VLOOKUP(D2004,$AB$2:$AC$7,2,FALSE)</f>
        <v/>
      </c>
      <c r="Z2004">
        <f>IF(A2004&lt;Y2004,"Yes","No")</f>
        <v/>
      </c>
    </row>
    <row r="2005">
      <c r="A2005" t="n">
        <v>2018</v>
      </c>
      <c r="B2005" t="inlineStr">
        <is>
          <t>Q3</t>
        </is>
      </c>
      <c r="C2005" t="inlineStr">
        <is>
          <t>North America</t>
        </is>
      </c>
      <c r="D2005" t="inlineStr">
        <is>
          <t>Model X</t>
        </is>
      </c>
      <c r="E2005" t="n">
        <v>3922</v>
      </c>
      <c r="F2005" t="n">
        <v>110341.64</v>
      </c>
      <c r="G2005" t="n">
        <v>22</v>
      </c>
      <c r="H2005" t="inlineStr">
        <is>
          <t>Performance</t>
        </is>
      </c>
      <c r="I2005" t="inlineStr">
        <is>
          <t>RWD</t>
        </is>
      </c>
      <c r="J2005" t="inlineStr">
        <is>
          <t>Blue</t>
        </is>
      </c>
      <c r="K2005" t="n">
        <v>631</v>
      </c>
      <c r="L2005" t="n">
        <v>66</v>
      </c>
      <c r="M2005" t="n">
        <v>17.03</v>
      </c>
      <c r="N2005" t="n">
        <v>6948.19</v>
      </c>
      <c r="O2005" t="n">
        <v>3.94</v>
      </c>
      <c r="P2005" t="n">
        <v>5</v>
      </c>
      <c r="Q2005" t="n">
        <v>2</v>
      </c>
      <c r="R2005" t="n">
        <v>2021.6</v>
      </c>
      <c r="S2005" t="b">
        <v>0</v>
      </c>
      <c r="T2005" t="n">
        <v>3826705</v>
      </c>
      <c r="U2005" t="n">
        <v>8</v>
      </c>
      <c r="V2005" t="n">
        <v>0.0585</v>
      </c>
      <c r="W2005" t="n">
        <v>2.17</v>
      </c>
      <c r="X2005" t="n">
        <v>79.2</v>
      </c>
      <c r="Y2005">
        <f>VLOOKUP(D2005,$AB$2:$AC$7,2,FALSE)</f>
        <v/>
      </c>
      <c r="Z2005">
        <f>IF(A2005&lt;Y2005,"Yes","No")</f>
        <v/>
      </c>
    </row>
    <row r="2006">
      <c r="A2006" t="n">
        <v>2019</v>
      </c>
      <c r="B2006" t="inlineStr">
        <is>
          <t>Q4</t>
        </is>
      </c>
      <c r="C2006" t="inlineStr">
        <is>
          <t>Europe</t>
        </is>
      </c>
      <c r="D2006" t="inlineStr">
        <is>
          <t>Semi</t>
        </is>
      </c>
      <c r="E2006" t="n">
        <v>4740</v>
      </c>
      <c r="F2006" t="n">
        <v>66783.8</v>
      </c>
      <c r="G2006" t="n">
        <v>24</v>
      </c>
      <c r="H2006" t="inlineStr">
        <is>
          <t>Performance</t>
        </is>
      </c>
      <c r="I2006" t="inlineStr">
        <is>
          <t>RWD</t>
        </is>
      </c>
      <c r="J2006" t="inlineStr">
        <is>
          <t>Red</t>
        </is>
      </c>
      <c r="K2006" t="n">
        <v>464</v>
      </c>
      <c r="L2006" t="n">
        <v>76</v>
      </c>
      <c r="M2006" t="n">
        <v>14.93</v>
      </c>
      <c r="N2006" t="n">
        <v>8703.32</v>
      </c>
      <c r="O2006" t="n">
        <v>3.87</v>
      </c>
      <c r="P2006" t="n">
        <v>8</v>
      </c>
      <c r="Q2006" t="n">
        <v>0</v>
      </c>
      <c r="R2006" t="n">
        <v>2020.5</v>
      </c>
      <c r="S2006" t="b">
        <v>1</v>
      </c>
      <c r="T2006" t="n">
        <v>3060658</v>
      </c>
      <c r="U2006" t="n">
        <v>12</v>
      </c>
      <c r="V2006" t="n">
        <v>0.097</v>
      </c>
      <c r="W2006" t="n">
        <v>1.86</v>
      </c>
      <c r="X2006" t="n">
        <v>83.88</v>
      </c>
      <c r="Y2006">
        <f>VLOOKUP(D2006,$AB$2:$AC$7,2,FALSE)</f>
        <v/>
      </c>
      <c r="Z2006">
        <f>IF(A2006&lt;Y2006,"Yes","No")</f>
        <v/>
      </c>
    </row>
    <row r="2007">
      <c r="A2007" t="n">
        <v>2024</v>
      </c>
      <c r="B2007" t="inlineStr">
        <is>
          <t>Q1</t>
        </is>
      </c>
      <c r="C2007" t="inlineStr">
        <is>
          <t>Asia</t>
        </is>
      </c>
      <c r="D2007" t="inlineStr">
        <is>
          <t>Semi</t>
        </is>
      </c>
      <c r="E2007" t="n">
        <v>849</v>
      </c>
      <c r="F2007" t="n">
        <v>87783.73</v>
      </c>
      <c r="G2007" t="n">
        <v>60</v>
      </c>
      <c r="H2007" t="inlineStr">
        <is>
          <t>Long Range</t>
        </is>
      </c>
      <c r="I2007" t="inlineStr">
        <is>
          <t>AWD</t>
        </is>
      </c>
      <c r="J2007" t="inlineStr">
        <is>
          <t>Black</t>
        </is>
      </c>
      <c r="K2007" t="n">
        <v>464</v>
      </c>
      <c r="L2007" t="n">
        <v>33</v>
      </c>
      <c r="M2007" t="n">
        <v>20.81</v>
      </c>
      <c r="N2007" t="n">
        <v>1252.55</v>
      </c>
      <c r="O2007" t="n">
        <v>4.24</v>
      </c>
      <c r="P2007" t="n">
        <v>6</v>
      </c>
      <c r="Q2007" t="n">
        <v>3</v>
      </c>
      <c r="R2007" t="n">
        <v>2020.12</v>
      </c>
      <c r="S2007" t="b">
        <v>1</v>
      </c>
      <c r="T2007" t="n">
        <v>3131626</v>
      </c>
      <c r="U2007" t="n">
        <v>12</v>
      </c>
      <c r="V2007" t="n">
        <v>0.0968</v>
      </c>
      <c r="W2007" t="n">
        <v>1.72</v>
      </c>
      <c r="X2007" t="n">
        <v>81.15000000000001</v>
      </c>
      <c r="Y2007">
        <f>VLOOKUP(D2007,$AB$2:$AC$7,2,FALSE)</f>
        <v/>
      </c>
      <c r="Z2007">
        <f>IF(A2007&lt;Y2007,"Yes","No")</f>
        <v/>
      </c>
    </row>
    <row r="2008">
      <c r="A2008" t="n">
        <v>2022</v>
      </c>
      <c r="B2008" t="inlineStr">
        <is>
          <t>Q2</t>
        </is>
      </c>
      <c r="C2008" t="inlineStr">
        <is>
          <t>Europe</t>
        </is>
      </c>
      <c r="D2008" t="inlineStr">
        <is>
          <t>Cybertruck</t>
        </is>
      </c>
      <c r="E2008" t="n">
        <v>2435</v>
      </c>
      <c r="F2008" t="n">
        <v>42788.22</v>
      </c>
      <c r="G2008" t="n">
        <v>8</v>
      </c>
      <c r="H2008" t="inlineStr">
        <is>
          <t>Performance</t>
        </is>
      </c>
      <c r="I2008" t="inlineStr">
        <is>
          <t>AWD</t>
        </is>
      </c>
      <c r="J2008" t="inlineStr">
        <is>
          <t>Blue</t>
        </is>
      </c>
      <c r="K2008" t="n">
        <v>444</v>
      </c>
      <c r="L2008" t="n">
        <v>65</v>
      </c>
      <c r="M2008" t="n">
        <v>21.82</v>
      </c>
      <c r="N2008" t="n">
        <v>3695.63</v>
      </c>
      <c r="O2008" t="n">
        <v>3.98</v>
      </c>
      <c r="P2008" t="n">
        <v>8</v>
      </c>
      <c r="Q2008" t="n">
        <v>3</v>
      </c>
      <c r="R2008" t="n">
        <v>2020.11</v>
      </c>
      <c r="S2008" t="b">
        <v>1</v>
      </c>
      <c r="T2008" t="n">
        <v>324077</v>
      </c>
      <c r="U2008" t="n">
        <v>11</v>
      </c>
      <c r="V2008" t="n">
        <v>0.0582</v>
      </c>
      <c r="W2008" t="n">
        <v>1.2</v>
      </c>
      <c r="X2008" t="n">
        <v>62.52</v>
      </c>
      <c r="Y2008">
        <f>VLOOKUP(D2008,$AB$2:$AC$7,2,FALSE)</f>
        <v/>
      </c>
      <c r="Z2008">
        <f>IF(A2008&lt;Y2008,"Yes","No")</f>
        <v/>
      </c>
    </row>
    <row r="2009">
      <c r="A2009" t="n">
        <v>2020</v>
      </c>
      <c r="B2009" t="inlineStr">
        <is>
          <t>Q2</t>
        </is>
      </c>
      <c r="C2009" t="inlineStr">
        <is>
          <t>Asia</t>
        </is>
      </c>
      <c r="D2009" t="inlineStr">
        <is>
          <t>Model 3</t>
        </is>
      </c>
      <c r="E2009" t="n">
        <v>2295</v>
      </c>
      <c r="F2009" t="n">
        <v>104332.36</v>
      </c>
      <c r="G2009" t="n">
        <v>13</v>
      </c>
      <c r="H2009" t="inlineStr">
        <is>
          <t>Long Range</t>
        </is>
      </c>
      <c r="I2009" t="inlineStr">
        <is>
          <t>AWD</t>
        </is>
      </c>
      <c r="J2009" t="inlineStr">
        <is>
          <t>White</t>
        </is>
      </c>
      <c r="K2009" t="n">
        <v>572</v>
      </c>
      <c r="L2009" t="n">
        <v>63</v>
      </c>
      <c r="M2009" t="n">
        <v>13.73</v>
      </c>
      <c r="N2009" t="n">
        <v>5720.28</v>
      </c>
      <c r="O2009" t="n">
        <v>4.28</v>
      </c>
      <c r="P2009" t="n">
        <v>8</v>
      </c>
      <c r="Q2009" t="n">
        <v>1</v>
      </c>
      <c r="R2009" t="n">
        <v>2022.8</v>
      </c>
      <c r="S2009" t="b">
        <v>1</v>
      </c>
      <c r="T2009" t="n">
        <v>2572906</v>
      </c>
      <c r="U2009" t="n">
        <v>6</v>
      </c>
      <c r="V2009" t="n">
        <v>0.0185</v>
      </c>
      <c r="W2009" t="n">
        <v>1.35</v>
      </c>
      <c r="X2009" t="n">
        <v>71.63</v>
      </c>
      <c r="Y2009">
        <f>VLOOKUP(D2009,$AB$2:$AC$7,2,FALSE)</f>
        <v/>
      </c>
      <c r="Z2009">
        <f>IF(A2009&lt;Y2009,"Yes","No")</f>
        <v/>
      </c>
    </row>
    <row r="2010">
      <c r="A2010" t="n">
        <v>2013</v>
      </c>
      <c r="B2010" t="inlineStr">
        <is>
          <t>Q4</t>
        </is>
      </c>
      <c r="C2010" t="inlineStr">
        <is>
          <t>Asia</t>
        </is>
      </c>
      <c r="D2010" t="inlineStr">
        <is>
          <t>Model 3</t>
        </is>
      </c>
      <c r="E2010" t="n">
        <v>218</v>
      </c>
      <c r="F2010" t="n">
        <v>87464.89999999999</v>
      </c>
      <c r="G2010" t="n">
        <v>18</v>
      </c>
      <c r="H2010" t="inlineStr">
        <is>
          <t>Long Range</t>
        </is>
      </c>
      <c r="I2010" t="inlineStr">
        <is>
          <t>RWD</t>
        </is>
      </c>
      <c r="J2010" t="inlineStr">
        <is>
          <t>Black</t>
        </is>
      </c>
      <c r="K2010" t="n">
        <v>658</v>
      </c>
      <c r="L2010" t="n">
        <v>70</v>
      </c>
      <c r="M2010" t="n">
        <v>15.41</v>
      </c>
      <c r="N2010" t="n">
        <v>279.41</v>
      </c>
      <c r="O2010" t="n">
        <v>3.85</v>
      </c>
      <c r="P2010" t="n">
        <v>6</v>
      </c>
      <c r="Q2010" t="n">
        <v>3</v>
      </c>
      <c r="R2010" t="n">
        <v>2020.1</v>
      </c>
      <c r="S2010" t="b">
        <v>1</v>
      </c>
      <c r="T2010" t="n">
        <v>4996439</v>
      </c>
      <c r="U2010" t="n">
        <v>7</v>
      </c>
      <c r="V2010" t="n">
        <v>0.0194</v>
      </c>
      <c r="W2010" t="n">
        <v>1.84</v>
      </c>
      <c r="X2010" t="n">
        <v>76.8</v>
      </c>
      <c r="Y2010">
        <f>VLOOKUP(D2010,$AB$2:$AC$7,2,FALSE)</f>
        <v/>
      </c>
      <c r="Z2010">
        <f>IF(A2010&lt;Y2010,"Yes","No")</f>
        <v/>
      </c>
    </row>
    <row r="2011">
      <c r="A2011" t="n">
        <v>2021</v>
      </c>
      <c r="B2011" t="inlineStr">
        <is>
          <t>Q1</t>
        </is>
      </c>
      <c r="C2011" t="inlineStr">
        <is>
          <t>South America</t>
        </is>
      </c>
      <c r="D2011" t="inlineStr">
        <is>
          <t>Model X</t>
        </is>
      </c>
      <c r="E2011" t="n">
        <v>2904</v>
      </c>
      <c r="F2011" t="n">
        <v>57509.12</v>
      </c>
      <c r="G2011" t="n">
        <v>50</v>
      </c>
      <c r="H2011" t="inlineStr">
        <is>
          <t>Standard</t>
        </is>
      </c>
      <c r="I2011" t="inlineStr">
        <is>
          <t>RWD</t>
        </is>
      </c>
      <c r="J2011" t="inlineStr">
        <is>
          <t>Black</t>
        </is>
      </c>
      <c r="K2011" t="n">
        <v>574</v>
      </c>
      <c r="L2011" t="n">
        <v>60</v>
      </c>
      <c r="M2011" t="n">
        <v>23.87</v>
      </c>
      <c r="N2011" t="n">
        <v>2748.61</v>
      </c>
      <c r="O2011" t="n">
        <v>4.79</v>
      </c>
      <c r="P2011" t="n">
        <v>5</v>
      </c>
      <c r="Q2011" t="n">
        <v>2</v>
      </c>
      <c r="R2011" t="n">
        <v>2024.2</v>
      </c>
      <c r="S2011" t="b">
        <v>1</v>
      </c>
      <c r="T2011" t="n">
        <v>4800976</v>
      </c>
      <c r="U2011" t="n">
        <v>9</v>
      </c>
      <c r="V2011" t="n">
        <v>0.0454</v>
      </c>
      <c r="W2011" t="n">
        <v>1.3</v>
      </c>
      <c r="X2011" t="n">
        <v>67.98</v>
      </c>
      <c r="Y2011">
        <f>VLOOKUP(D2011,$AB$2:$AC$7,2,FALSE)</f>
        <v/>
      </c>
      <c r="Z2011">
        <f>IF(A2011&lt;Y2011,"Yes","No")</f>
        <v/>
      </c>
    </row>
    <row r="2012">
      <c r="A2012" t="n">
        <v>2016</v>
      </c>
      <c r="B2012" t="inlineStr">
        <is>
          <t>Q1</t>
        </is>
      </c>
      <c r="C2012" t="inlineStr">
        <is>
          <t>South America</t>
        </is>
      </c>
      <c r="D2012" t="inlineStr">
        <is>
          <t>Model Y</t>
        </is>
      </c>
      <c r="E2012" t="n">
        <v>2116</v>
      </c>
      <c r="F2012" t="n">
        <v>57204.98</v>
      </c>
      <c r="G2012" t="n">
        <v>29</v>
      </c>
      <c r="H2012" t="inlineStr">
        <is>
          <t>Long Range</t>
        </is>
      </c>
      <c r="I2012" t="inlineStr">
        <is>
          <t>RWD</t>
        </is>
      </c>
      <c r="J2012" t="inlineStr">
        <is>
          <t>Green</t>
        </is>
      </c>
      <c r="K2012" t="n">
        <v>443</v>
      </c>
      <c r="L2012" t="n">
        <v>84</v>
      </c>
      <c r="M2012" t="n">
        <v>22.23</v>
      </c>
      <c r="N2012" t="n">
        <v>2341.78</v>
      </c>
      <c r="O2012" t="n">
        <v>4.77</v>
      </c>
      <c r="P2012" t="n">
        <v>8</v>
      </c>
      <c r="Q2012" t="n">
        <v>2</v>
      </c>
      <c r="R2012" t="n">
        <v>2020.7</v>
      </c>
      <c r="S2012" t="b">
        <v>1</v>
      </c>
      <c r="T2012" t="n">
        <v>658102</v>
      </c>
      <c r="U2012" t="n">
        <v>9</v>
      </c>
      <c r="V2012" t="n">
        <v>0.0434</v>
      </c>
      <c r="W2012" t="n">
        <v>1.42</v>
      </c>
      <c r="X2012" t="n">
        <v>67.43000000000001</v>
      </c>
      <c r="Y2012">
        <f>VLOOKUP(D2012,$AB$2:$AC$7,2,FALSE)</f>
        <v/>
      </c>
      <c r="Z2012">
        <f>IF(A2012&lt;Y2012,"Yes","No")</f>
        <v/>
      </c>
    </row>
    <row r="2013">
      <c r="A2013" t="n">
        <v>2023</v>
      </c>
      <c r="B2013" t="inlineStr">
        <is>
          <t>Q2</t>
        </is>
      </c>
      <c r="C2013" t="inlineStr">
        <is>
          <t>South America</t>
        </is>
      </c>
      <c r="D2013" t="inlineStr">
        <is>
          <t>Model X</t>
        </is>
      </c>
      <c r="E2013" t="n">
        <v>2734</v>
      </c>
      <c r="F2013" t="n">
        <v>57146.8</v>
      </c>
      <c r="G2013" t="n">
        <v>29</v>
      </c>
      <c r="H2013" t="inlineStr">
        <is>
          <t>Standard</t>
        </is>
      </c>
      <c r="I2013" t="inlineStr">
        <is>
          <t>RWD</t>
        </is>
      </c>
      <c r="J2013" t="inlineStr">
        <is>
          <t>Red</t>
        </is>
      </c>
      <c r="K2013" t="n">
        <v>670</v>
      </c>
      <c r="L2013" t="n">
        <v>31</v>
      </c>
      <c r="M2013" t="n">
        <v>17.25</v>
      </c>
      <c r="N2013" t="n">
        <v>6204.06</v>
      </c>
      <c r="O2013" t="n">
        <v>3.89</v>
      </c>
      <c r="P2013" t="n">
        <v>6</v>
      </c>
      <c r="Q2013" t="n">
        <v>0</v>
      </c>
      <c r="R2013" t="n">
        <v>2023.7</v>
      </c>
      <c r="S2013" t="b">
        <v>0</v>
      </c>
      <c r="T2013" t="n">
        <v>2720628</v>
      </c>
      <c r="U2013" t="n">
        <v>10</v>
      </c>
      <c r="V2013" t="n">
        <v>0.0514</v>
      </c>
      <c r="W2013" t="n">
        <v>1.1</v>
      </c>
      <c r="X2013" t="n">
        <v>66.78</v>
      </c>
      <c r="Y2013">
        <f>VLOOKUP(D2013,$AB$2:$AC$7,2,FALSE)</f>
        <v/>
      </c>
      <c r="Z2013">
        <f>IF(A2013&lt;Y2013,"Yes","No")</f>
        <v/>
      </c>
    </row>
    <row r="2014">
      <c r="A2014" t="n">
        <v>2022</v>
      </c>
      <c r="B2014" t="inlineStr">
        <is>
          <t>Q2</t>
        </is>
      </c>
      <c r="C2014" t="inlineStr">
        <is>
          <t>North America</t>
        </is>
      </c>
      <c r="D2014" t="inlineStr">
        <is>
          <t>Model 3</t>
        </is>
      </c>
      <c r="E2014" t="n">
        <v>3786</v>
      </c>
      <c r="F2014" t="n">
        <v>72035.14999999999</v>
      </c>
      <c r="G2014" t="n">
        <v>31</v>
      </c>
      <c r="H2014" t="inlineStr">
        <is>
          <t>Performance</t>
        </is>
      </c>
      <c r="I2014" t="inlineStr">
        <is>
          <t>AWD</t>
        </is>
      </c>
      <c r="J2014" t="inlineStr">
        <is>
          <t>Black</t>
        </is>
      </c>
      <c r="K2014" t="n">
        <v>529</v>
      </c>
      <c r="L2014" t="n">
        <v>68</v>
      </c>
      <c r="M2014" t="n">
        <v>16.43</v>
      </c>
      <c r="N2014" t="n">
        <v>3229.16</v>
      </c>
      <c r="O2014" t="n">
        <v>4.88</v>
      </c>
      <c r="P2014" t="n">
        <v>5</v>
      </c>
      <c r="Q2014" t="n">
        <v>2</v>
      </c>
      <c r="R2014" t="n">
        <v>2022.3</v>
      </c>
      <c r="S2014" t="b">
        <v>0</v>
      </c>
      <c r="T2014" t="n">
        <v>4638926</v>
      </c>
      <c r="U2014" t="n">
        <v>10</v>
      </c>
      <c r="V2014" t="n">
        <v>0.0207</v>
      </c>
      <c r="W2014" t="n">
        <v>2.25</v>
      </c>
      <c r="X2014" t="n">
        <v>79.90000000000001</v>
      </c>
      <c r="Y2014">
        <f>VLOOKUP(D2014,$AB$2:$AC$7,2,FALSE)</f>
        <v/>
      </c>
      <c r="Z2014">
        <f>IF(A2014&lt;Y2014,"Yes","No")</f>
        <v/>
      </c>
    </row>
    <row r="2015">
      <c r="A2015" t="n">
        <v>2017</v>
      </c>
      <c r="B2015" t="inlineStr">
        <is>
          <t>Q2</t>
        </is>
      </c>
      <c r="C2015" t="inlineStr">
        <is>
          <t>Asia</t>
        </is>
      </c>
      <c r="D2015" t="inlineStr">
        <is>
          <t>Model S</t>
        </is>
      </c>
      <c r="E2015" t="n">
        <v>4041</v>
      </c>
      <c r="F2015" t="n">
        <v>71033</v>
      </c>
      <c r="G2015" t="n">
        <v>53</v>
      </c>
      <c r="H2015" t="inlineStr">
        <is>
          <t>Long Range</t>
        </is>
      </c>
      <c r="I2015" t="inlineStr">
        <is>
          <t>RWD</t>
        </is>
      </c>
      <c r="J2015" t="inlineStr">
        <is>
          <t>Blue</t>
        </is>
      </c>
      <c r="K2015" t="n">
        <v>404</v>
      </c>
      <c r="L2015" t="n">
        <v>81</v>
      </c>
      <c r="M2015" t="n">
        <v>16.14</v>
      </c>
      <c r="N2015" t="n">
        <v>2854.57</v>
      </c>
      <c r="O2015" t="n">
        <v>4.65</v>
      </c>
      <c r="P2015" t="n">
        <v>4</v>
      </c>
      <c r="Q2015" t="n">
        <v>0</v>
      </c>
      <c r="R2015" t="n">
        <v>2020.5</v>
      </c>
      <c r="S2015" t="b">
        <v>0</v>
      </c>
      <c r="T2015" t="n">
        <v>1965521</v>
      </c>
      <c r="U2015" t="n">
        <v>11</v>
      </c>
      <c r="V2015" t="n">
        <v>0.0677</v>
      </c>
      <c r="W2015" t="n">
        <v>1.86</v>
      </c>
      <c r="X2015" t="n">
        <v>62.38</v>
      </c>
      <c r="Y2015">
        <f>VLOOKUP(D2015,$AB$2:$AC$7,2,FALSE)</f>
        <v/>
      </c>
      <c r="Z2015">
        <f>IF(A2015&lt;Y2015,"Yes","No")</f>
        <v/>
      </c>
    </row>
    <row r="2016">
      <c r="A2016" t="n">
        <v>2014</v>
      </c>
      <c r="B2016" t="inlineStr">
        <is>
          <t>Q2</t>
        </is>
      </c>
      <c r="C2016" t="inlineStr">
        <is>
          <t>Asia</t>
        </is>
      </c>
      <c r="D2016" t="inlineStr">
        <is>
          <t>Cybertruck</t>
        </is>
      </c>
      <c r="E2016" t="n">
        <v>2101</v>
      </c>
      <c r="F2016" t="n">
        <v>58947.12</v>
      </c>
      <c r="G2016" t="n">
        <v>57</v>
      </c>
      <c r="H2016" t="inlineStr">
        <is>
          <t>Performance</t>
        </is>
      </c>
      <c r="I2016" t="inlineStr">
        <is>
          <t>AWD</t>
        </is>
      </c>
      <c r="J2016" t="inlineStr">
        <is>
          <t>Green</t>
        </is>
      </c>
      <c r="K2016" t="n">
        <v>400</v>
      </c>
      <c r="L2016" t="n">
        <v>38</v>
      </c>
      <c r="M2016" t="n">
        <v>18.5</v>
      </c>
      <c r="N2016" t="n">
        <v>1359.29</v>
      </c>
      <c r="O2016" t="n">
        <v>4.83</v>
      </c>
      <c r="P2016" t="n">
        <v>8</v>
      </c>
      <c r="Q2016" t="n">
        <v>0</v>
      </c>
      <c r="R2016" t="n">
        <v>2022.7</v>
      </c>
      <c r="S2016" t="b">
        <v>0</v>
      </c>
      <c r="T2016" t="n">
        <v>1732720</v>
      </c>
      <c r="U2016" t="n">
        <v>11</v>
      </c>
      <c r="V2016" t="n">
        <v>0.0104</v>
      </c>
      <c r="W2016" t="n">
        <v>1.68</v>
      </c>
      <c r="X2016" t="n">
        <v>80.43000000000001</v>
      </c>
      <c r="Y2016">
        <f>VLOOKUP(D2016,$AB$2:$AC$7,2,FALSE)</f>
        <v/>
      </c>
      <c r="Z2016">
        <f>IF(A2016&lt;Y2016,"Yes","No")</f>
        <v/>
      </c>
    </row>
    <row r="2017">
      <c r="A2017" t="n">
        <v>2016</v>
      </c>
      <c r="B2017" t="inlineStr">
        <is>
          <t>Q3</t>
        </is>
      </c>
      <c r="C2017" t="inlineStr">
        <is>
          <t>Australia</t>
        </is>
      </c>
      <c r="D2017" t="inlineStr">
        <is>
          <t>Cybertruck</t>
        </is>
      </c>
      <c r="E2017" t="n">
        <v>2117</v>
      </c>
      <c r="F2017" t="n">
        <v>36190.78</v>
      </c>
      <c r="G2017" t="n">
        <v>33</v>
      </c>
      <c r="H2017" t="inlineStr">
        <is>
          <t>Standard</t>
        </is>
      </c>
      <c r="I2017" t="inlineStr">
        <is>
          <t>AWD</t>
        </is>
      </c>
      <c r="J2017" t="inlineStr">
        <is>
          <t>Red</t>
        </is>
      </c>
      <c r="K2017" t="n">
        <v>625</v>
      </c>
      <c r="L2017" t="n">
        <v>68</v>
      </c>
      <c r="M2017" t="n">
        <v>21.8</v>
      </c>
      <c r="N2017" t="n">
        <v>1763.78</v>
      </c>
      <c r="O2017" t="n">
        <v>4.45</v>
      </c>
      <c r="P2017" t="n">
        <v>8</v>
      </c>
      <c r="Q2017" t="n">
        <v>2</v>
      </c>
      <c r="R2017" t="n">
        <v>2020.1</v>
      </c>
      <c r="S2017" t="b">
        <v>0</v>
      </c>
      <c r="T2017" t="n">
        <v>2832948</v>
      </c>
      <c r="U2017" t="n">
        <v>10</v>
      </c>
      <c r="V2017" t="n">
        <v>0.0774</v>
      </c>
      <c r="W2017" t="n">
        <v>0.57</v>
      </c>
      <c r="X2017" t="n">
        <v>80.84</v>
      </c>
      <c r="Y2017">
        <f>VLOOKUP(D2017,$AB$2:$AC$7,2,FALSE)</f>
        <v/>
      </c>
      <c r="Z2017">
        <f>IF(A2017&lt;Y2017,"Yes","No")</f>
        <v/>
      </c>
    </row>
    <row r="2018">
      <c r="A2018" t="n">
        <v>2015</v>
      </c>
      <c r="B2018" t="inlineStr">
        <is>
          <t>Q4</t>
        </is>
      </c>
      <c r="C2018" t="inlineStr">
        <is>
          <t>Australia</t>
        </is>
      </c>
      <c r="D2018" t="inlineStr">
        <is>
          <t>Model X</t>
        </is>
      </c>
      <c r="E2018" t="n">
        <v>2687</v>
      </c>
      <c r="F2018" t="n">
        <v>45773.57</v>
      </c>
      <c r="G2018" t="n">
        <v>26</v>
      </c>
      <c r="H2018" t="inlineStr">
        <is>
          <t>Performance</t>
        </is>
      </c>
      <c r="I2018" t="inlineStr">
        <is>
          <t>RWD</t>
        </is>
      </c>
      <c r="J2018" t="inlineStr">
        <is>
          <t>Silver</t>
        </is>
      </c>
      <c r="K2018" t="n">
        <v>581</v>
      </c>
      <c r="L2018" t="n">
        <v>38</v>
      </c>
      <c r="M2018" t="n">
        <v>19.3</v>
      </c>
      <c r="N2018" t="n">
        <v>6334.86</v>
      </c>
      <c r="O2018" t="n">
        <v>3.86</v>
      </c>
      <c r="P2018" t="n">
        <v>8</v>
      </c>
      <c r="Q2018" t="n">
        <v>2</v>
      </c>
      <c r="R2018" t="n">
        <v>2023.3</v>
      </c>
      <c r="S2018" t="b">
        <v>0</v>
      </c>
      <c r="T2018" t="n">
        <v>466985</v>
      </c>
      <c r="U2018" t="n">
        <v>2</v>
      </c>
      <c r="V2018" t="n">
        <v>0.0599</v>
      </c>
      <c r="W2018" t="n">
        <v>1.23</v>
      </c>
      <c r="X2018" t="n">
        <v>76.31</v>
      </c>
      <c r="Y2018">
        <f>VLOOKUP(D2018,$AB$2:$AC$7,2,FALSE)</f>
        <v/>
      </c>
      <c r="Z2018">
        <f>IF(A2018&lt;Y2018,"Yes","No")</f>
        <v/>
      </c>
    </row>
    <row r="2019">
      <c r="A2019" t="n">
        <v>2022</v>
      </c>
      <c r="B2019" t="inlineStr">
        <is>
          <t>Q1</t>
        </is>
      </c>
      <c r="C2019" t="inlineStr">
        <is>
          <t>South America</t>
        </is>
      </c>
      <c r="D2019" t="inlineStr">
        <is>
          <t>Cybertruck</t>
        </is>
      </c>
      <c r="E2019" t="n">
        <v>4239</v>
      </c>
      <c r="F2019" t="n">
        <v>36148.21</v>
      </c>
      <c r="G2019" t="n">
        <v>44</v>
      </c>
      <c r="H2019" t="inlineStr">
        <is>
          <t>Standard</t>
        </is>
      </c>
      <c r="I2019" t="inlineStr">
        <is>
          <t>AWD</t>
        </is>
      </c>
      <c r="J2019" t="inlineStr">
        <is>
          <t>Red</t>
        </is>
      </c>
      <c r="K2019" t="n">
        <v>520</v>
      </c>
      <c r="L2019" t="n">
        <v>89</v>
      </c>
      <c r="M2019" t="n">
        <v>15.34</v>
      </c>
      <c r="N2019" t="n">
        <v>6681.34</v>
      </c>
      <c r="O2019" t="n">
        <v>4.32</v>
      </c>
      <c r="P2019" t="n">
        <v>8</v>
      </c>
      <c r="Q2019" t="n">
        <v>3</v>
      </c>
      <c r="R2019" t="n">
        <v>2021.12</v>
      </c>
      <c r="S2019" t="b">
        <v>1</v>
      </c>
      <c r="T2019" t="n">
        <v>528793</v>
      </c>
      <c r="U2019" t="n">
        <v>5</v>
      </c>
      <c r="V2019" t="n">
        <v>0.0109</v>
      </c>
      <c r="W2019" t="n">
        <v>0.64</v>
      </c>
      <c r="X2019" t="n">
        <v>89.55</v>
      </c>
      <c r="Y2019">
        <f>VLOOKUP(D2019,$AB$2:$AC$7,2,FALSE)</f>
        <v/>
      </c>
      <c r="Z2019">
        <f>IF(A2019&lt;Y2019,"Yes","No")</f>
        <v/>
      </c>
    </row>
    <row r="2020">
      <c r="A2020" t="n">
        <v>2020</v>
      </c>
      <c r="B2020" t="inlineStr">
        <is>
          <t>Q1</t>
        </is>
      </c>
      <c r="C2020" t="inlineStr">
        <is>
          <t>Australia</t>
        </is>
      </c>
      <c r="D2020" t="inlineStr">
        <is>
          <t>Cybertruck</t>
        </is>
      </c>
      <c r="E2020" t="n">
        <v>1443</v>
      </c>
      <c r="F2020" t="n">
        <v>114860.72</v>
      </c>
      <c r="G2020" t="n">
        <v>13</v>
      </c>
      <c r="H2020" t="inlineStr">
        <is>
          <t>Performance</t>
        </is>
      </c>
      <c r="I2020" t="inlineStr">
        <is>
          <t>RWD</t>
        </is>
      </c>
      <c r="J2020" t="inlineStr">
        <is>
          <t>Blue</t>
        </is>
      </c>
      <c r="K2020" t="n">
        <v>681</v>
      </c>
      <c r="L2020" t="n">
        <v>55</v>
      </c>
      <c r="M2020" t="n">
        <v>15.01</v>
      </c>
      <c r="N2020" t="n">
        <v>1778.58</v>
      </c>
      <c r="O2020" t="n">
        <v>3.6</v>
      </c>
      <c r="P2020" t="n">
        <v>4</v>
      </c>
      <c r="Q2020" t="n">
        <v>0</v>
      </c>
      <c r="R2020" t="n">
        <v>2023.1</v>
      </c>
      <c r="S2020" t="b">
        <v>1</v>
      </c>
      <c r="T2020" t="n">
        <v>3911305</v>
      </c>
      <c r="U2020" t="n">
        <v>4</v>
      </c>
      <c r="V2020" t="n">
        <v>0.0658</v>
      </c>
      <c r="W2020" t="n">
        <v>0.83</v>
      </c>
      <c r="X2020" t="n">
        <v>84.64</v>
      </c>
      <c r="Y2020">
        <f>VLOOKUP(D2020,$AB$2:$AC$7,2,FALSE)</f>
        <v/>
      </c>
      <c r="Z2020">
        <f>IF(A2020&lt;Y2020,"Yes","No")</f>
        <v/>
      </c>
    </row>
    <row r="2021">
      <c r="A2021" t="n">
        <v>2021</v>
      </c>
      <c r="B2021" t="inlineStr">
        <is>
          <t>Q3</t>
        </is>
      </c>
      <c r="C2021" t="inlineStr">
        <is>
          <t>Europe</t>
        </is>
      </c>
      <c r="D2021" t="inlineStr">
        <is>
          <t>Semi</t>
        </is>
      </c>
      <c r="E2021" t="n">
        <v>4626</v>
      </c>
      <c r="F2021" t="n">
        <v>69756.46000000001</v>
      </c>
      <c r="G2021" t="n">
        <v>21</v>
      </c>
      <c r="H2021" t="inlineStr">
        <is>
          <t>Performance</t>
        </is>
      </c>
      <c r="I2021" t="inlineStr">
        <is>
          <t>AWD</t>
        </is>
      </c>
      <c r="J2021" t="inlineStr">
        <is>
          <t>White</t>
        </is>
      </c>
      <c r="K2021" t="n">
        <v>648</v>
      </c>
      <c r="L2021" t="n">
        <v>40</v>
      </c>
      <c r="M2021" t="n">
        <v>21.44</v>
      </c>
      <c r="N2021" t="n">
        <v>5925.38</v>
      </c>
      <c r="O2021" t="n">
        <v>4.34</v>
      </c>
      <c r="P2021" t="n">
        <v>8</v>
      </c>
      <c r="Q2021" t="n">
        <v>2</v>
      </c>
      <c r="R2021" t="n">
        <v>2024.6</v>
      </c>
      <c r="S2021" t="b">
        <v>0</v>
      </c>
      <c r="T2021" t="n">
        <v>841943</v>
      </c>
      <c r="U2021" t="n">
        <v>2</v>
      </c>
      <c r="V2021" t="n">
        <v>0.0648</v>
      </c>
      <c r="W2021" t="n">
        <v>2.04</v>
      </c>
      <c r="X2021" t="n">
        <v>82.39</v>
      </c>
      <c r="Y2021">
        <f>VLOOKUP(D2021,$AB$2:$AC$7,2,FALSE)</f>
        <v/>
      </c>
      <c r="Z2021">
        <f>IF(A2021&lt;Y2021,"Yes","No")</f>
        <v/>
      </c>
    </row>
    <row r="2022">
      <c r="A2022" t="n">
        <v>2015</v>
      </c>
      <c r="B2022" t="inlineStr">
        <is>
          <t>Q3</t>
        </is>
      </c>
      <c r="C2022" t="inlineStr">
        <is>
          <t>Asia</t>
        </is>
      </c>
      <c r="D2022" t="inlineStr">
        <is>
          <t>Cybertruck</t>
        </is>
      </c>
      <c r="E2022" t="n">
        <v>4180</v>
      </c>
      <c r="F2022" t="n">
        <v>64617.22</v>
      </c>
      <c r="G2022" t="n">
        <v>54</v>
      </c>
      <c r="H2022" t="inlineStr">
        <is>
          <t>Standard</t>
        </is>
      </c>
      <c r="I2022" t="inlineStr">
        <is>
          <t>AWD</t>
        </is>
      </c>
      <c r="J2022" t="inlineStr">
        <is>
          <t>White</t>
        </is>
      </c>
      <c r="K2022" t="n">
        <v>554</v>
      </c>
      <c r="L2022" t="n">
        <v>71</v>
      </c>
      <c r="M2022" t="n">
        <v>15.59</v>
      </c>
      <c r="N2022" t="n">
        <v>6400.75</v>
      </c>
      <c r="O2022" t="n">
        <v>4.41</v>
      </c>
      <c r="P2022" t="n">
        <v>8</v>
      </c>
      <c r="Q2022" t="n">
        <v>0</v>
      </c>
      <c r="R2022" t="n">
        <v>2024.1</v>
      </c>
      <c r="S2022" t="b">
        <v>0</v>
      </c>
      <c r="T2022" t="n">
        <v>2794248</v>
      </c>
      <c r="U2022" t="n">
        <v>10</v>
      </c>
      <c r="V2022" t="n">
        <v>0.0539</v>
      </c>
      <c r="W2022" t="n">
        <v>0.92</v>
      </c>
      <c r="X2022" t="n">
        <v>80.95</v>
      </c>
      <c r="Y2022">
        <f>VLOOKUP(D2022,$AB$2:$AC$7,2,FALSE)</f>
        <v/>
      </c>
      <c r="Z2022">
        <f>IF(A2022&lt;Y2022,"Yes","No")</f>
        <v/>
      </c>
    </row>
    <row r="2023">
      <c r="A2023" t="n">
        <v>2014</v>
      </c>
      <c r="B2023" t="inlineStr">
        <is>
          <t>Q4</t>
        </is>
      </c>
      <c r="C2023" t="inlineStr">
        <is>
          <t>North America</t>
        </is>
      </c>
      <c r="D2023" t="inlineStr">
        <is>
          <t>Model X</t>
        </is>
      </c>
      <c r="E2023" t="n">
        <v>4843</v>
      </c>
      <c r="F2023" t="n">
        <v>86123.37</v>
      </c>
      <c r="G2023" t="n">
        <v>48</v>
      </c>
      <c r="H2023" t="inlineStr">
        <is>
          <t>Standard</t>
        </is>
      </c>
      <c r="I2023" t="inlineStr">
        <is>
          <t>RWD</t>
        </is>
      </c>
      <c r="J2023" t="inlineStr">
        <is>
          <t>Red</t>
        </is>
      </c>
      <c r="K2023" t="n">
        <v>569</v>
      </c>
      <c r="L2023" t="n">
        <v>59</v>
      </c>
      <c r="M2023" t="n">
        <v>19.8</v>
      </c>
      <c r="N2023" t="n">
        <v>8496.73</v>
      </c>
      <c r="O2023" t="n">
        <v>3.74</v>
      </c>
      <c r="P2023" t="n">
        <v>4</v>
      </c>
      <c r="Q2023" t="n">
        <v>1</v>
      </c>
      <c r="R2023" t="n">
        <v>2023.1</v>
      </c>
      <c r="S2023" t="b">
        <v>1</v>
      </c>
      <c r="T2023" t="n">
        <v>2405512</v>
      </c>
      <c r="U2023" t="n">
        <v>7</v>
      </c>
      <c r="V2023" t="n">
        <v>0.0866</v>
      </c>
      <c r="W2023" t="n">
        <v>2.34</v>
      </c>
      <c r="X2023" t="n">
        <v>62.43</v>
      </c>
      <c r="Y2023">
        <f>VLOOKUP(D2023,$AB$2:$AC$7,2,FALSE)</f>
        <v/>
      </c>
      <c r="Z2023">
        <f>IF(A2023&lt;Y2023,"Yes","No")</f>
        <v/>
      </c>
    </row>
    <row r="2024">
      <c r="A2024" t="n">
        <v>2013</v>
      </c>
      <c r="B2024" t="inlineStr">
        <is>
          <t>Q1</t>
        </is>
      </c>
      <c r="C2024" t="inlineStr">
        <is>
          <t>Australia</t>
        </is>
      </c>
      <c r="D2024" t="inlineStr">
        <is>
          <t>Semi</t>
        </is>
      </c>
      <c r="E2024" t="n">
        <v>1374</v>
      </c>
      <c r="F2024" t="n">
        <v>78632.46000000001</v>
      </c>
      <c r="G2024" t="n">
        <v>21</v>
      </c>
      <c r="H2024" t="inlineStr">
        <is>
          <t>Performance</t>
        </is>
      </c>
      <c r="I2024" t="inlineStr">
        <is>
          <t>RWD</t>
        </is>
      </c>
      <c r="J2024" t="inlineStr">
        <is>
          <t>Silver</t>
        </is>
      </c>
      <c r="K2024" t="n">
        <v>597</v>
      </c>
      <c r="L2024" t="n">
        <v>47</v>
      </c>
      <c r="M2024" t="n">
        <v>20.04</v>
      </c>
      <c r="N2024" t="n">
        <v>804.96</v>
      </c>
      <c r="O2024" t="n">
        <v>3.57</v>
      </c>
      <c r="P2024" t="n">
        <v>5</v>
      </c>
      <c r="Q2024" t="n">
        <v>3</v>
      </c>
      <c r="R2024" t="n">
        <v>2021.9</v>
      </c>
      <c r="S2024" t="b">
        <v>0</v>
      </c>
      <c r="T2024" t="n">
        <v>3007447</v>
      </c>
      <c r="U2024" t="n">
        <v>10</v>
      </c>
      <c r="V2024" t="n">
        <v>0.0856</v>
      </c>
      <c r="W2024" t="n">
        <v>2.46</v>
      </c>
      <c r="X2024" t="n">
        <v>74.8</v>
      </c>
      <c r="Y2024">
        <f>VLOOKUP(D2024,$AB$2:$AC$7,2,FALSE)</f>
        <v/>
      </c>
      <c r="Z2024">
        <f>IF(A2024&lt;Y2024,"Yes","No")</f>
        <v/>
      </c>
    </row>
    <row r="2025">
      <c r="A2025" t="n">
        <v>2014</v>
      </c>
      <c r="B2025" t="inlineStr">
        <is>
          <t>Q1</t>
        </is>
      </c>
      <c r="C2025" t="inlineStr">
        <is>
          <t>North America</t>
        </is>
      </c>
      <c r="D2025" t="inlineStr">
        <is>
          <t>Cybertruck</t>
        </is>
      </c>
      <c r="E2025" t="n">
        <v>234</v>
      </c>
      <c r="F2025" t="n">
        <v>65216.89</v>
      </c>
      <c r="G2025" t="n">
        <v>51</v>
      </c>
      <c r="H2025" t="inlineStr">
        <is>
          <t>Standard</t>
        </is>
      </c>
      <c r="I2025" t="inlineStr">
        <is>
          <t>AWD</t>
        </is>
      </c>
      <c r="J2025" t="inlineStr">
        <is>
          <t>Silver</t>
        </is>
      </c>
      <c r="K2025" t="n">
        <v>604</v>
      </c>
      <c r="L2025" t="n">
        <v>48</v>
      </c>
      <c r="M2025" t="n">
        <v>23.37</v>
      </c>
      <c r="N2025" t="n">
        <v>568.35</v>
      </c>
      <c r="O2025" t="n">
        <v>4.49</v>
      </c>
      <c r="P2025" t="n">
        <v>6</v>
      </c>
      <c r="Q2025" t="n">
        <v>3</v>
      </c>
      <c r="R2025" t="n">
        <v>2022.11</v>
      </c>
      <c r="S2025" t="b">
        <v>1</v>
      </c>
      <c r="T2025" t="n">
        <v>1180852</v>
      </c>
      <c r="U2025" t="n">
        <v>7</v>
      </c>
      <c r="V2025" t="n">
        <v>0.0409</v>
      </c>
      <c r="W2025" t="n">
        <v>2.14</v>
      </c>
      <c r="X2025" t="n">
        <v>80.92</v>
      </c>
      <c r="Y2025">
        <f>VLOOKUP(D2025,$AB$2:$AC$7,2,FALSE)</f>
        <v/>
      </c>
      <c r="Z2025">
        <f>IF(A2025&lt;Y2025,"Yes","No")</f>
        <v/>
      </c>
    </row>
    <row r="2026">
      <c r="A2026" t="n">
        <v>2017</v>
      </c>
      <c r="B2026" t="inlineStr">
        <is>
          <t>Q4</t>
        </is>
      </c>
      <c r="C2026" t="inlineStr">
        <is>
          <t>South America</t>
        </is>
      </c>
      <c r="D2026" t="inlineStr">
        <is>
          <t>Model S</t>
        </is>
      </c>
      <c r="E2026" t="n">
        <v>4532</v>
      </c>
      <c r="F2026" t="n">
        <v>57825.48</v>
      </c>
      <c r="G2026" t="n">
        <v>52</v>
      </c>
      <c r="H2026" t="inlineStr">
        <is>
          <t>Performance</t>
        </is>
      </c>
      <c r="I2026" t="inlineStr">
        <is>
          <t>AWD</t>
        </is>
      </c>
      <c r="J2026" t="inlineStr">
        <is>
          <t>Red</t>
        </is>
      </c>
      <c r="K2026" t="n">
        <v>403</v>
      </c>
      <c r="L2026" t="n">
        <v>51</v>
      </c>
      <c r="M2026" t="n">
        <v>21.33</v>
      </c>
      <c r="N2026" t="n">
        <v>7361.11</v>
      </c>
      <c r="O2026" t="n">
        <v>3.69</v>
      </c>
      <c r="P2026" t="n">
        <v>5</v>
      </c>
      <c r="Q2026" t="n">
        <v>3</v>
      </c>
      <c r="R2026" t="n">
        <v>2021.5</v>
      </c>
      <c r="S2026" t="b">
        <v>1</v>
      </c>
      <c r="T2026" t="n">
        <v>2561194</v>
      </c>
      <c r="U2026" t="n">
        <v>11</v>
      </c>
      <c r="V2026" t="n">
        <v>0.06809999999999999</v>
      </c>
      <c r="W2026" t="n">
        <v>1.87</v>
      </c>
      <c r="X2026" t="n">
        <v>83.54000000000001</v>
      </c>
      <c r="Y2026">
        <f>VLOOKUP(D2026,$AB$2:$AC$7,2,FALSE)</f>
        <v/>
      </c>
      <c r="Z2026">
        <f>IF(A2026&lt;Y2026,"Yes","No")</f>
        <v/>
      </c>
    </row>
    <row r="2027">
      <c r="A2027" t="n">
        <v>2022</v>
      </c>
      <c r="B2027" t="inlineStr">
        <is>
          <t>Q1</t>
        </is>
      </c>
      <c r="C2027" t="inlineStr">
        <is>
          <t>North America</t>
        </is>
      </c>
      <c r="D2027" t="inlineStr">
        <is>
          <t>Model 3</t>
        </is>
      </c>
      <c r="E2027" t="n">
        <v>2875</v>
      </c>
      <c r="F2027" t="n">
        <v>44867.58</v>
      </c>
      <c r="G2027" t="n">
        <v>44</v>
      </c>
      <c r="H2027" t="inlineStr">
        <is>
          <t>Standard</t>
        </is>
      </c>
      <c r="I2027" t="inlineStr">
        <is>
          <t>RWD</t>
        </is>
      </c>
      <c r="J2027" t="inlineStr">
        <is>
          <t>Green</t>
        </is>
      </c>
      <c r="K2027" t="n">
        <v>579</v>
      </c>
      <c r="L2027" t="n">
        <v>87</v>
      </c>
      <c r="M2027" t="n">
        <v>14.67</v>
      </c>
      <c r="N2027" t="n">
        <v>5430.36</v>
      </c>
      <c r="O2027" t="n">
        <v>4.67</v>
      </c>
      <c r="P2027" t="n">
        <v>4</v>
      </c>
      <c r="Q2027" t="n">
        <v>2</v>
      </c>
      <c r="R2027" t="n">
        <v>2023.12</v>
      </c>
      <c r="S2027" t="b">
        <v>0</v>
      </c>
      <c r="T2027" t="n">
        <v>1436604</v>
      </c>
      <c r="U2027" t="n">
        <v>6</v>
      </c>
      <c r="V2027" t="n">
        <v>0.0579</v>
      </c>
      <c r="W2027" t="n">
        <v>1.47</v>
      </c>
      <c r="X2027" t="n">
        <v>73.73999999999999</v>
      </c>
      <c r="Y2027">
        <f>VLOOKUP(D2027,$AB$2:$AC$7,2,FALSE)</f>
        <v/>
      </c>
      <c r="Z2027">
        <f>IF(A2027&lt;Y2027,"Yes","No")</f>
        <v/>
      </c>
    </row>
    <row r="2028">
      <c r="A2028" t="n">
        <v>2015</v>
      </c>
      <c r="B2028" t="inlineStr">
        <is>
          <t>Q1</t>
        </is>
      </c>
      <c r="C2028" t="inlineStr">
        <is>
          <t>South America</t>
        </is>
      </c>
      <c r="D2028" t="inlineStr">
        <is>
          <t>Model 3</t>
        </is>
      </c>
      <c r="E2028" t="n">
        <v>2780</v>
      </c>
      <c r="F2028" t="n">
        <v>72354.88</v>
      </c>
      <c r="G2028" t="n">
        <v>42</v>
      </c>
      <c r="H2028" t="inlineStr">
        <is>
          <t>Performance</t>
        </is>
      </c>
      <c r="I2028" t="inlineStr">
        <is>
          <t>AWD</t>
        </is>
      </c>
      <c r="J2028" t="inlineStr">
        <is>
          <t>Silver</t>
        </is>
      </c>
      <c r="K2028" t="n">
        <v>398</v>
      </c>
      <c r="L2028" t="n">
        <v>84</v>
      </c>
      <c r="M2028" t="n">
        <v>22.41</v>
      </c>
      <c r="N2028" t="n">
        <v>1705.73</v>
      </c>
      <c r="O2028" t="n">
        <v>4.57</v>
      </c>
      <c r="P2028" t="n">
        <v>8</v>
      </c>
      <c r="Q2028" t="n">
        <v>1</v>
      </c>
      <c r="R2028" t="n">
        <v>2022.11</v>
      </c>
      <c r="S2028" t="b">
        <v>0</v>
      </c>
      <c r="T2028" t="n">
        <v>2678612</v>
      </c>
      <c r="U2028" t="n">
        <v>12</v>
      </c>
      <c r="V2028" t="n">
        <v>0.0793</v>
      </c>
      <c r="W2028" t="n">
        <v>0.66</v>
      </c>
      <c r="X2028" t="n">
        <v>60.43</v>
      </c>
      <c r="Y2028">
        <f>VLOOKUP(D2028,$AB$2:$AC$7,2,FALSE)</f>
        <v/>
      </c>
      <c r="Z2028">
        <f>IF(A2028&lt;Y2028,"Yes","No")</f>
        <v/>
      </c>
    </row>
    <row r="2029">
      <c r="A2029" t="n">
        <v>2016</v>
      </c>
      <c r="B2029" t="inlineStr">
        <is>
          <t>Q2</t>
        </is>
      </c>
      <c r="C2029" t="inlineStr">
        <is>
          <t>North America</t>
        </is>
      </c>
      <c r="D2029" t="inlineStr">
        <is>
          <t>Semi</t>
        </is>
      </c>
      <c r="E2029" t="n">
        <v>1311</v>
      </c>
      <c r="F2029" t="n">
        <v>48335.55</v>
      </c>
      <c r="G2029" t="n">
        <v>0</v>
      </c>
      <c r="H2029" t="inlineStr">
        <is>
          <t>Long Range</t>
        </is>
      </c>
      <c r="I2029" t="inlineStr">
        <is>
          <t>RWD</t>
        </is>
      </c>
      <c r="J2029" t="inlineStr">
        <is>
          <t>White</t>
        </is>
      </c>
      <c r="K2029" t="n">
        <v>583</v>
      </c>
      <c r="L2029" t="n">
        <v>45</v>
      </c>
      <c r="M2029" t="n">
        <v>15.58</v>
      </c>
      <c r="N2029" t="n">
        <v>2693.2</v>
      </c>
      <c r="O2029" t="n">
        <v>4.15</v>
      </c>
      <c r="P2029" t="n">
        <v>5</v>
      </c>
      <c r="Q2029" t="n">
        <v>3</v>
      </c>
      <c r="R2029" t="n">
        <v>2023.6</v>
      </c>
      <c r="S2029" t="b">
        <v>0</v>
      </c>
      <c r="T2029" t="n">
        <v>3119224</v>
      </c>
      <c r="U2029" t="n">
        <v>7</v>
      </c>
      <c r="V2029" t="n">
        <v>0.0412</v>
      </c>
      <c r="W2029" t="n">
        <v>1.16</v>
      </c>
      <c r="X2029" t="n">
        <v>72.41</v>
      </c>
      <c r="Y2029">
        <f>VLOOKUP(D2029,$AB$2:$AC$7,2,FALSE)</f>
        <v/>
      </c>
      <c r="Z2029">
        <f>IF(A2029&lt;Y2029,"Yes","No")</f>
        <v/>
      </c>
    </row>
    <row r="2030">
      <c r="A2030" t="n">
        <v>2017</v>
      </c>
      <c r="B2030" t="inlineStr">
        <is>
          <t>Q4</t>
        </is>
      </c>
      <c r="C2030" t="inlineStr">
        <is>
          <t>South America</t>
        </is>
      </c>
      <c r="D2030" t="inlineStr">
        <is>
          <t>Model X</t>
        </is>
      </c>
      <c r="E2030" t="n">
        <v>250</v>
      </c>
      <c r="F2030" t="n">
        <v>96601.02</v>
      </c>
      <c r="G2030" t="n">
        <v>27</v>
      </c>
      <c r="H2030" t="inlineStr">
        <is>
          <t>Long Range</t>
        </is>
      </c>
      <c r="I2030" t="inlineStr">
        <is>
          <t>RWD</t>
        </is>
      </c>
      <c r="J2030" t="inlineStr">
        <is>
          <t>Silver</t>
        </is>
      </c>
      <c r="K2030" t="n">
        <v>594</v>
      </c>
      <c r="L2030" t="n">
        <v>63</v>
      </c>
      <c r="M2030" t="n">
        <v>15.01</v>
      </c>
      <c r="N2030" t="n">
        <v>325.43</v>
      </c>
      <c r="O2030" t="n">
        <v>4.81</v>
      </c>
      <c r="P2030" t="n">
        <v>8</v>
      </c>
      <c r="Q2030" t="n">
        <v>0</v>
      </c>
      <c r="R2030" t="n">
        <v>2021.1</v>
      </c>
      <c r="S2030" t="b">
        <v>1</v>
      </c>
      <c r="T2030" t="n">
        <v>550894</v>
      </c>
      <c r="U2030" t="n">
        <v>4</v>
      </c>
      <c r="V2030" t="n">
        <v>0.0409</v>
      </c>
      <c r="W2030" t="n">
        <v>1.02</v>
      </c>
      <c r="X2030" t="n">
        <v>79.23</v>
      </c>
      <c r="Y2030">
        <f>VLOOKUP(D2030,$AB$2:$AC$7,2,FALSE)</f>
        <v/>
      </c>
      <c r="Z2030">
        <f>IF(A2030&lt;Y2030,"Yes","No")</f>
        <v/>
      </c>
    </row>
    <row r="2031">
      <c r="A2031" t="n">
        <v>2017</v>
      </c>
      <c r="B2031" t="inlineStr">
        <is>
          <t>Q2</t>
        </is>
      </c>
      <c r="C2031" t="inlineStr">
        <is>
          <t>Europe</t>
        </is>
      </c>
      <c r="D2031" t="inlineStr">
        <is>
          <t>Model X</t>
        </is>
      </c>
      <c r="E2031" t="n">
        <v>3693</v>
      </c>
      <c r="F2031" t="n">
        <v>87844.85000000001</v>
      </c>
      <c r="G2031" t="n">
        <v>22</v>
      </c>
      <c r="H2031" t="inlineStr">
        <is>
          <t>Standard</t>
        </is>
      </c>
      <c r="I2031" t="inlineStr">
        <is>
          <t>RWD</t>
        </is>
      </c>
      <c r="J2031" t="inlineStr">
        <is>
          <t>Green</t>
        </is>
      </c>
      <c r="K2031" t="n">
        <v>670</v>
      </c>
      <c r="L2031" t="n">
        <v>62</v>
      </c>
      <c r="M2031" t="n">
        <v>16.43</v>
      </c>
      <c r="N2031" t="n">
        <v>5208.03</v>
      </c>
      <c r="O2031" t="n">
        <v>3.93</v>
      </c>
      <c r="P2031" t="n">
        <v>4</v>
      </c>
      <c r="Q2031" t="n">
        <v>2</v>
      </c>
      <c r="R2031" t="n">
        <v>2022.1</v>
      </c>
      <c r="S2031" t="b">
        <v>0</v>
      </c>
      <c r="T2031" t="n">
        <v>3334956</v>
      </c>
      <c r="U2031" t="n">
        <v>5</v>
      </c>
      <c r="V2031" t="n">
        <v>0.0789</v>
      </c>
      <c r="W2031" t="n">
        <v>1.46</v>
      </c>
      <c r="X2031" t="n">
        <v>72.81999999999999</v>
      </c>
      <c r="Y2031">
        <f>VLOOKUP(D2031,$AB$2:$AC$7,2,FALSE)</f>
        <v/>
      </c>
      <c r="Z2031">
        <f>IF(A2031&lt;Y2031,"Yes","No")</f>
        <v/>
      </c>
    </row>
    <row r="2032">
      <c r="A2032" t="n">
        <v>2017</v>
      </c>
      <c r="B2032" t="inlineStr">
        <is>
          <t>Q1</t>
        </is>
      </c>
      <c r="C2032" t="inlineStr">
        <is>
          <t>North America</t>
        </is>
      </c>
      <c r="D2032" t="inlineStr">
        <is>
          <t>Cybertruck</t>
        </is>
      </c>
      <c r="E2032" t="n">
        <v>905</v>
      </c>
      <c r="F2032" t="n">
        <v>85195.74000000001</v>
      </c>
      <c r="G2032" t="n">
        <v>41</v>
      </c>
      <c r="H2032" t="inlineStr">
        <is>
          <t>Standard</t>
        </is>
      </c>
      <c r="I2032" t="inlineStr">
        <is>
          <t>AWD</t>
        </is>
      </c>
      <c r="J2032" t="inlineStr">
        <is>
          <t>Silver</t>
        </is>
      </c>
      <c r="K2032" t="n">
        <v>680</v>
      </c>
      <c r="L2032" t="n">
        <v>58</v>
      </c>
      <c r="M2032" t="n">
        <v>23.27</v>
      </c>
      <c r="N2032" t="n">
        <v>1111.29</v>
      </c>
      <c r="O2032" t="n">
        <v>4.43</v>
      </c>
      <c r="P2032" t="n">
        <v>6</v>
      </c>
      <c r="Q2032" t="n">
        <v>2</v>
      </c>
      <c r="R2032" t="n">
        <v>2021.3</v>
      </c>
      <c r="S2032" t="b">
        <v>1</v>
      </c>
      <c r="T2032" t="n">
        <v>1701826</v>
      </c>
      <c r="U2032" t="n">
        <v>5</v>
      </c>
      <c r="V2032" t="n">
        <v>0.0896</v>
      </c>
      <c r="W2032" t="n">
        <v>1.8</v>
      </c>
      <c r="X2032" t="n">
        <v>68.66</v>
      </c>
      <c r="Y2032">
        <f>VLOOKUP(D2032,$AB$2:$AC$7,2,FALSE)</f>
        <v/>
      </c>
      <c r="Z2032">
        <f>IF(A2032&lt;Y2032,"Yes","No")</f>
        <v/>
      </c>
    </row>
    <row r="2033">
      <c r="A2033" t="n">
        <v>2021</v>
      </c>
      <c r="B2033" t="inlineStr">
        <is>
          <t>Q4</t>
        </is>
      </c>
      <c r="C2033" t="inlineStr">
        <is>
          <t>Australia</t>
        </is>
      </c>
      <c r="D2033" t="inlineStr">
        <is>
          <t>Semi</t>
        </is>
      </c>
      <c r="E2033" t="n">
        <v>763</v>
      </c>
      <c r="F2033" t="n">
        <v>41883.35</v>
      </c>
      <c r="G2033" t="n">
        <v>0</v>
      </c>
      <c r="H2033" t="inlineStr">
        <is>
          <t>Standard</t>
        </is>
      </c>
      <c r="I2033" t="inlineStr">
        <is>
          <t>RWD</t>
        </is>
      </c>
      <c r="J2033" t="inlineStr">
        <is>
          <t>Blue</t>
        </is>
      </c>
      <c r="K2033" t="n">
        <v>585</v>
      </c>
      <c r="L2033" t="n">
        <v>48</v>
      </c>
      <c r="M2033" t="n">
        <v>24.29</v>
      </c>
      <c r="N2033" t="n">
        <v>677.05</v>
      </c>
      <c r="O2033" t="n">
        <v>3.58</v>
      </c>
      <c r="P2033" t="n">
        <v>6</v>
      </c>
      <c r="Q2033" t="n">
        <v>0</v>
      </c>
      <c r="R2033" t="n">
        <v>2024.9</v>
      </c>
      <c r="S2033" t="b">
        <v>0</v>
      </c>
      <c r="T2033" t="n">
        <v>1402334</v>
      </c>
      <c r="U2033" t="n">
        <v>9</v>
      </c>
      <c r="V2033" t="n">
        <v>0.0189</v>
      </c>
      <c r="W2033" t="n">
        <v>1.02</v>
      </c>
      <c r="X2033" t="n">
        <v>80.53</v>
      </c>
      <c r="Y2033">
        <f>VLOOKUP(D2033,$AB$2:$AC$7,2,FALSE)</f>
        <v/>
      </c>
      <c r="Z2033">
        <f>IF(A2033&lt;Y2033,"Yes","No")</f>
        <v/>
      </c>
    </row>
    <row r="2034">
      <c r="A2034" t="n">
        <v>2021</v>
      </c>
      <c r="B2034" t="inlineStr">
        <is>
          <t>Q3</t>
        </is>
      </c>
      <c r="C2034" t="inlineStr">
        <is>
          <t>Australia</t>
        </is>
      </c>
      <c r="D2034" t="inlineStr">
        <is>
          <t>Model X</t>
        </is>
      </c>
      <c r="E2034" t="n">
        <v>1733</v>
      </c>
      <c r="F2034" t="n">
        <v>117389.39</v>
      </c>
      <c r="G2034" t="n">
        <v>19</v>
      </c>
      <c r="H2034" t="inlineStr">
        <is>
          <t>Long Range</t>
        </is>
      </c>
      <c r="I2034" t="inlineStr">
        <is>
          <t>RWD</t>
        </is>
      </c>
      <c r="J2034" t="inlineStr">
        <is>
          <t>Green</t>
        </is>
      </c>
      <c r="K2034" t="n">
        <v>614</v>
      </c>
      <c r="L2034" t="n">
        <v>64</v>
      </c>
      <c r="M2034" t="n">
        <v>19.99</v>
      </c>
      <c r="N2034" t="n">
        <v>3345.83</v>
      </c>
      <c r="O2034" t="n">
        <v>4.13</v>
      </c>
      <c r="P2034" t="n">
        <v>8</v>
      </c>
      <c r="Q2034" t="n">
        <v>0</v>
      </c>
      <c r="R2034" t="n">
        <v>2024.11</v>
      </c>
      <c r="S2034" t="b">
        <v>0</v>
      </c>
      <c r="T2034" t="n">
        <v>3953777</v>
      </c>
      <c r="U2034" t="n">
        <v>8</v>
      </c>
      <c r="V2034" t="n">
        <v>0.0376</v>
      </c>
      <c r="W2034" t="n">
        <v>1.95</v>
      </c>
      <c r="X2034" t="n">
        <v>75.70999999999999</v>
      </c>
      <c r="Y2034">
        <f>VLOOKUP(D2034,$AB$2:$AC$7,2,FALSE)</f>
        <v/>
      </c>
      <c r="Z2034">
        <f>IF(A2034&lt;Y2034,"Yes","No")</f>
        <v/>
      </c>
    </row>
    <row r="2035">
      <c r="A2035" t="n">
        <v>2012</v>
      </c>
      <c r="B2035" t="inlineStr">
        <is>
          <t>Q3</t>
        </is>
      </c>
      <c r="C2035" t="inlineStr">
        <is>
          <t>Europe</t>
        </is>
      </c>
      <c r="D2035" t="inlineStr">
        <is>
          <t>Model S</t>
        </is>
      </c>
      <c r="E2035" t="n">
        <v>3443</v>
      </c>
      <c r="F2035" t="n">
        <v>88930.75</v>
      </c>
      <c r="G2035" t="n">
        <v>10</v>
      </c>
      <c r="H2035" t="inlineStr">
        <is>
          <t>Performance</t>
        </is>
      </c>
      <c r="I2035" t="inlineStr">
        <is>
          <t>AWD</t>
        </is>
      </c>
      <c r="J2035" t="inlineStr">
        <is>
          <t>Green</t>
        </is>
      </c>
      <c r="K2035" t="n">
        <v>578</v>
      </c>
      <c r="L2035" t="n">
        <v>83</v>
      </c>
      <c r="M2035" t="n">
        <v>19.77</v>
      </c>
      <c r="N2035" t="n">
        <v>1971.33</v>
      </c>
      <c r="O2035" t="n">
        <v>4.68</v>
      </c>
      <c r="P2035" t="n">
        <v>6</v>
      </c>
      <c r="Q2035" t="n">
        <v>1</v>
      </c>
      <c r="R2035" t="n">
        <v>2020.3</v>
      </c>
      <c r="S2035" t="b">
        <v>0</v>
      </c>
      <c r="T2035" t="n">
        <v>266410</v>
      </c>
      <c r="U2035" t="n">
        <v>7</v>
      </c>
      <c r="V2035" t="n">
        <v>0.0387</v>
      </c>
      <c r="W2035" t="n">
        <v>2.19</v>
      </c>
      <c r="X2035" t="n">
        <v>68.98</v>
      </c>
      <c r="Y2035">
        <f>VLOOKUP(D2035,$AB$2:$AC$7,2,FALSE)</f>
        <v/>
      </c>
      <c r="Z2035">
        <f>IF(A2035&lt;Y2035,"Yes","No")</f>
        <v/>
      </c>
    </row>
    <row r="2036">
      <c r="A2036" t="n">
        <v>2014</v>
      </c>
      <c r="B2036" t="inlineStr">
        <is>
          <t>Q3</t>
        </is>
      </c>
      <c r="C2036" t="inlineStr">
        <is>
          <t>Asia</t>
        </is>
      </c>
      <c r="D2036" t="inlineStr">
        <is>
          <t>Cybertruck</t>
        </is>
      </c>
      <c r="E2036" t="n">
        <v>3059</v>
      </c>
      <c r="F2036" t="n">
        <v>80708.95</v>
      </c>
      <c r="G2036" t="n">
        <v>60</v>
      </c>
      <c r="H2036" t="inlineStr">
        <is>
          <t>Long Range</t>
        </is>
      </c>
      <c r="I2036" t="inlineStr">
        <is>
          <t>RWD</t>
        </is>
      </c>
      <c r="J2036" t="inlineStr">
        <is>
          <t>Silver</t>
        </is>
      </c>
      <c r="K2036" t="n">
        <v>514</v>
      </c>
      <c r="L2036" t="n">
        <v>53</v>
      </c>
      <c r="M2036" t="n">
        <v>19.78</v>
      </c>
      <c r="N2036" t="n">
        <v>6668.47</v>
      </c>
      <c r="O2036" t="n">
        <v>4.46</v>
      </c>
      <c r="P2036" t="n">
        <v>8</v>
      </c>
      <c r="Q2036" t="n">
        <v>0</v>
      </c>
      <c r="R2036" t="n">
        <v>2021.1</v>
      </c>
      <c r="S2036" t="b">
        <v>0</v>
      </c>
      <c r="T2036" t="n">
        <v>4448898</v>
      </c>
      <c r="U2036" t="n">
        <v>5</v>
      </c>
      <c r="V2036" t="n">
        <v>0.0506</v>
      </c>
      <c r="W2036" t="n">
        <v>0.92</v>
      </c>
      <c r="X2036" t="n">
        <v>83.44</v>
      </c>
      <c r="Y2036">
        <f>VLOOKUP(D2036,$AB$2:$AC$7,2,FALSE)</f>
        <v/>
      </c>
      <c r="Z2036">
        <f>IF(A2036&lt;Y2036,"Yes","No")</f>
        <v/>
      </c>
    </row>
    <row r="2037">
      <c r="A2037" t="n">
        <v>2023</v>
      </c>
      <c r="B2037" t="inlineStr">
        <is>
          <t>Q2</t>
        </is>
      </c>
      <c r="C2037" t="inlineStr">
        <is>
          <t>Asia</t>
        </is>
      </c>
      <c r="D2037" t="inlineStr">
        <is>
          <t>Cybertruck</t>
        </is>
      </c>
      <c r="E2037" t="n">
        <v>2565</v>
      </c>
      <c r="F2037" t="n">
        <v>44274.62</v>
      </c>
      <c r="G2037" t="n">
        <v>47</v>
      </c>
      <c r="H2037" t="inlineStr">
        <is>
          <t>Standard</t>
        </is>
      </c>
      <c r="I2037" t="inlineStr">
        <is>
          <t>RWD</t>
        </is>
      </c>
      <c r="J2037" t="inlineStr">
        <is>
          <t>White</t>
        </is>
      </c>
      <c r="K2037" t="n">
        <v>648</v>
      </c>
      <c r="L2037" t="n">
        <v>75</v>
      </c>
      <c r="M2037" t="n">
        <v>15.07</v>
      </c>
      <c r="N2037" t="n">
        <v>2187.64</v>
      </c>
      <c r="O2037" t="n">
        <v>4.05</v>
      </c>
      <c r="P2037" t="n">
        <v>4</v>
      </c>
      <c r="Q2037" t="n">
        <v>1</v>
      </c>
      <c r="R2037" t="n">
        <v>2022.6</v>
      </c>
      <c r="S2037" t="b">
        <v>0</v>
      </c>
      <c r="T2037" t="n">
        <v>4293819</v>
      </c>
      <c r="U2037" t="n">
        <v>3</v>
      </c>
      <c r="V2037" t="n">
        <v>0.0925</v>
      </c>
      <c r="W2037" t="n">
        <v>2.03</v>
      </c>
      <c r="X2037" t="n">
        <v>89.81</v>
      </c>
      <c r="Y2037">
        <f>VLOOKUP(D2037,$AB$2:$AC$7,2,FALSE)</f>
        <v/>
      </c>
      <c r="Z2037">
        <f>IF(A2037&lt;Y2037,"Yes","No")</f>
        <v/>
      </c>
    </row>
    <row r="2038">
      <c r="A2038" t="n">
        <v>2024</v>
      </c>
      <c r="B2038" t="inlineStr">
        <is>
          <t>Q4</t>
        </is>
      </c>
      <c r="C2038" t="inlineStr">
        <is>
          <t>Asia</t>
        </is>
      </c>
      <c r="D2038" t="inlineStr">
        <is>
          <t>Model 3</t>
        </is>
      </c>
      <c r="E2038" t="n">
        <v>2777</v>
      </c>
      <c r="F2038" t="n">
        <v>43728.15</v>
      </c>
      <c r="G2038" t="n">
        <v>50</v>
      </c>
      <c r="H2038" t="inlineStr">
        <is>
          <t>Long Range</t>
        </is>
      </c>
      <c r="I2038" t="inlineStr">
        <is>
          <t>AWD</t>
        </is>
      </c>
      <c r="J2038" t="inlineStr">
        <is>
          <t>Silver</t>
        </is>
      </c>
      <c r="K2038" t="n">
        <v>560</v>
      </c>
      <c r="L2038" t="n">
        <v>42</v>
      </c>
      <c r="M2038" t="n">
        <v>14.61</v>
      </c>
      <c r="N2038" t="n">
        <v>5280.93</v>
      </c>
      <c r="O2038" t="n">
        <v>3.73</v>
      </c>
      <c r="P2038" t="n">
        <v>4</v>
      </c>
      <c r="Q2038" t="n">
        <v>3</v>
      </c>
      <c r="R2038" t="n">
        <v>2022.11</v>
      </c>
      <c r="S2038" t="b">
        <v>1</v>
      </c>
      <c r="T2038" t="n">
        <v>1188097</v>
      </c>
      <c r="U2038" t="n">
        <v>10</v>
      </c>
      <c r="V2038" t="n">
        <v>0.0769</v>
      </c>
      <c r="W2038" t="n">
        <v>0.59</v>
      </c>
      <c r="X2038" t="n">
        <v>71.41</v>
      </c>
      <c r="Y2038">
        <f>VLOOKUP(D2038,$AB$2:$AC$7,2,FALSE)</f>
        <v/>
      </c>
      <c r="Z2038">
        <f>IF(A2038&lt;Y2038,"Yes","No")</f>
        <v/>
      </c>
    </row>
    <row r="2039">
      <c r="A2039" t="n">
        <v>2024</v>
      </c>
      <c r="B2039" t="inlineStr">
        <is>
          <t>Q4</t>
        </is>
      </c>
      <c r="C2039" t="inlineStr">
        <is>
          <t>Australia</t>
        </is>
      </c>
      <c r="D2039" t="inlineStr">
        <is>
          <t>Model 3</t>
        </is>
      </c>
      <c r="E2039" t="n">
        <v>2480</v>
      </c>
      <c r="F2039" t="n">
        <v>58272.5</v>
      </c>
      <c r="G2039" t="n">
        <v>13</v>
      </c>
      <c r="H2039" t="inlineStr">
        <is>
          <t>Long Range</t>
        </is>
      </c>
      <c r="I2039" t="inlineStr">
        <is>
          <t>RWD</t>
        </is>
      </c>
      <c r="J2039" t="inlineStr">
        <is>
          <t>Red</t>
        </is>
      </c>
      <c r="K2039" t="n">
        <v>442</v>
      </c>
      <c r="L2039" t="n">
        <v>71</v>
      </c>
      <c r="M2039" t="n">
        <v>25</v>
      </c>
      <c r="N2039" t="n">
        <v>5637.41</v>
      </c>
      <c r="O2039" t="n">
        <v>4.06</v>
      </c>
      <c r="P2039" t="n">
        <v>5</v>
      </c>
      <c r="Q2039" t="n">
        <v>1</v>
      </c>
      <c r="R2039" t="n">
        <v>2022.7</v>
      </c>
      <c r="S2039" t="b">
        <v>0</v>
      </c>
      <c r="T2039" t="n">
        <v>719385</v>
      </c>
      <c r="U2039" t="n">
        <v>8</v>
      </c>
      <c r="V2039" t="n">
        <v>0.0674</v>
      </c>
      <c r="W2039" t="n">
        <v>1.68</v>
      </c>
      <c r="X2039" t="n">
        <v>76.42</v>
      </c>
      <c r="Y2039">
        <f>VLOOKUP(D2039,$AB$2:$AC$7,2,FALSE)</f>
        <v/>
      </c>
      <c r="Z2039">
        <f>IF(A2039&lt;Y2039,"Yes","No")</f>
        <v/>
      </c>
    </row>
    <row r="2040">
      <c r="A2040" t="n">
        <v>2019</v>
      </c>
      <c r="B2040" t="inlineStr">
        <is>
          <t>Q1</t>
        </is>
      </c>
      <c r="C2040" t="inlineStr">
        <is>
          <t>Europe</t>
        </is>
      </c>
      <c r="D2040" t="inlineStr">
        <is>
          <t>Model X</t>
        </is>
      </c>
      <c r="E2040" t="n">
        <v>1284</v>
      </c>
      <c r="F2040" t="n">
        <v>43044.22</v>
      </c>
      <c r="G2040" t="n">
        <v>46</v>
      </c>
      <c r="H2040" t="inlineStr">
        <is>
          <t>Performance</t>
        </is>
      </c>
      <c r="I2040" t="inlineStr">
        <is>
          <t>AWD</t>
        </is>
      </c>
      <c r="J2040" t="inlineStr">
        <is>
          <t>White</t>
        </is>
      </c>
      <c r="K2040" t="n">
        <v>697</v>
      </c>
      <c r="L2040" t="n">
        <v>70</v>
      </c>
      <c r="M2040" t="n">
        <v>24.48</v>
      </c>
      <c r="N2040" t="n">
        <v>1226.9</v>
      </c>
      <c r="O2040" t="n">
        <v>4.03</v>
      </c>
      <c r="P2040" t="n">
        <v>4</v>
      </c>
      <c r="Q2040" t="n">
        <v>3</v>
      </c>
      <c r="R2040" t="n">
        <v>2021.11</v>
      </c>
      <c r="S2040" t="b">
        <v>1</v>
      </c>
      <c r="T2040" t="n">
        <v>3298800</v>
      </c>
      <c r="U2040" t="n">
        <v>10</v>
      </c>
      <c r="V2040" t="n">
        <v>0.0429</v>
      </c>
      <c r="W2040" t="n">
        <v>1.03</v>
      </c>
      <c r="X2040" t="n">
        <v>82.33</v>
      </c>
      <c r="Y2040">
        <f>VLOOKUP(D2040,$AB$2:$AC$7,2,FALSE)</f>
        <v/>
      </c>
      <c r="Z2040">
        <f>IF(A2040&lt;Y2040,"Yes","No")</f>
        <v/>
      </c>
    </row>
    <row r="2041">
      <c r="A2041" t="n">
        <v>2022</v>
      </c>
      <c r="B2041" t="inlineStr">
        <is>
          <t>Q3</t>
        </is>
      </c>
      <c r="C2041" t="inlineStr">
        <is>
          <t>South America</t>
        </is>
      </c>
      <c r="D2041" t="inlineStr">
        <is>
          <t>Model X</t>
        </is>
      </c>
      <c r="E2041" t="n">
        <v>1438</v>
      </c>
      <c r="F2041" t="n">
        <v>68019.10000000001</v>
      </c>
      <c r="G2041" t="n">
        <v>40</v>
      </c>
      <c r="H2041" t="inlineStr">
        <is>
          <t>Standard</t>
        </is>
      </c>
      <c r="I2041" t="inlineStr">
        <is>
          <t>AWD</t>
        </is>
      </c>
      <c r="J2041" t="inlineStr">
        <is>
          <t>White</t>
        </is>
      </c>
      <c r="K2041" t="n">
        <v>497</v>
      </c>
      <c r="L2041" t="n">
        <v>71</v>
      </c>
      <c r="M2041" t="n">
        <v>18.65</v>
      </c>
      <c r="N2041" t="n">
        <v>3241.96</v>
      </c>
      <c r="O2041" t="n">
        <v>3.88</v>
      </c>
      <c r="P2041" t="n">
        <v>6</v>
      </c>
      <c r="Q2041" t="n">
        <v>2</v>
      </c>
      <c r="R2041" t="n">
        <v>2021.1</v>
      </c>
      <c r="S2041" t="b">
        <v>0</v>
      </c>
      <c r="T2041" t="n">
        <v>744740</v>
      </c>
      <c r="U2041" t="n">
        <v>3</v>
      </c>
      <c r="V2041" t="n">
        <v>0.0994</v>
      </c>
      <c r="W2041" t="n">
        <v>1.73</v>
      </c>
      <c r="X2041" t="n">
        <v>60.13</v>
      </c>
      <c r="Y2041">
        <f>VLOOKUP(D2041,$AB$2:$AC$7,2,FALSE)</f>
        <v/>
      </c>
      <c r="Z2041">
        <f>IF(A2041&lt;Y2041,"Yes","No")</f>
        <v/>
      </c>
    </row>
    <row r="2042">
      <c r="A2042" t="n">
        <v>2017</v>
      </c>
      <c r="B2042" t="inlineStr">
        <is>
          <t>Q2</t>
        </is>
      </c>
      <c r="C2042" t="inlineStr">
        <is>
          <t>Australia</t>
        </is>
      </c>
      <c r="D2042" t="inlineStr">
        <is>
          <t>Model X</t>
        </is>
      </c>
      <c r="E2042" t="n">
        <v>1402</v>
      </c>
      <c r="F2042" t="n">
        <v>51687.3</v>
      </c>
      <c r="G2042" t="n">
        <v>3</v>
      </c>
      <c r="H2042" t="inlineStr">
        <is>
          <t>Performance</t>
        </is>
      </c>
      <c r="I2042" t="inlineStr">
        <is>
          <t>RWD</t>
        </is>
      </c>
      <c r="J2042" t="inlineStr">
        <is>
          <t>Red</t>
        </is>
      </c>
      <c r="K2042" t="n">
        <v>541</v>
      </c>
      <c r="L2042" t="n">
        <v>56</v>
      </c>
      <c r="M2042" t="n">
        <v>19.75</v>
      </c>
      <c r="N2042" t="n">
        <v>3231.83</v>
      </c>
      <c r="O2042" t="n">
        <v>4.99</v>
      </c>
      <c r="P2042" t="n">
        <v>5</v>
      </c>
      <c r="Q2042" t="n">
        <v>1</v>
      </c>
      <c r="R2042" t="n">
        <v>2022.6</v>
      </c>
      <c r="S2042" t="b">
        <v>0</v>
      </c>
      <c r="T2042" t="n">
        <v>3470921</v>
      </c>
      <c r="U2042" t="n">
        <v>5</v>
      </c>
      <c r="V2042" t="n">
        <v>0.0558</v>
      </c>
      <c r="W2042" t="n">
        <v>1.68</v>
      </c>
      <c r="X2042" t="n">
        <v>61.9</v>
      </c>
      <c r="Y2042">
        <f>VLOOKUP(D2042,$AB$2:$AC$7,2,FALSE)</f>
        <v/>
      </c>
      <c r="Z2042">
        <f>IF(A2042&lt;Y2042,"Yes","No")</f>
        <v/>
      </c>
    </row>
    <row r="2043">
      <c r="A2043" t="n">
        <v>2024</v>
      </c>
      <c r="B2043" t="inlineStr">
        <is>
          <t>Q2</t>
        </is>
      </c>
      <c r="C2043" t="inlineStr">
        <is>
          <t>South America</t>
        </is>
      </c>
      <c r="D2043" t="inlineStr">
        <is>
          <t>Model X</t>
        </is>
      </c>
      <c r="E2043" t="n">
        <v>1769</v>
      </c>
      <c r="F2043" t="n">
        <v>87064.56</v>
      </c>
      <c r="G2043" t="n">
        <v>49</v>
      </c>
      <c r="H2043" t="inlineStr">
        <is>
          <t>Long Range</t>
        </is>
      </c>
      <c r="I2043" t="inlineStr">
        <is>
          <t>RWD</t>
        </is>
      </c>
      <c r="J2043" t="inlineStr">
        <is>
          <t>Silver</t>
        </is>
      </c>
      <c r="K2043" t="n">
        <v>549</v>
      </c>
      <c r="L2043" t="n">
        <v>67</v>
      </c>
      <c r="M2043" t="n">
        <v>19.73</v>
      </c>
      <c r="N2043" t="n">
        <v>1039.45</v>
      </c>
      <c r="O2043" t="n">
        <v>4.02</v>
      </c>
      <c r="P2043" t="n">
        <v>6</v>
      </c>
      <c r="Q2043" t="n">
        <v>3</v>
      </c>
      <c r="R2043" t="n">
        <v>2021.4</v>
      </c>
      <c r="S2043" t="b">
        <v>1</v>
      </c>
      <c r="T2043" t="n">
        <v>3965885</v>
      </c>
      <c r="U2043" t="n">
        <v>11</v>
      </c>
      <c r="V2043" t="n">
        <v>0.09760000000000001</v>
      </c>
      <c r="W2043" t="n">
        <v>2.44</v>
      </c>
      <c r="X2043" t="n">
        <v>72.18000000000001</v>
      </c>
      <c r="Y2043">
        <f>VLOOKUP(D2043,$AB$2:$AC$7,2,FALSE)</f>
        <v/>
      </c>
      <c r="Z2043">
        <f>IF(A2043&lt;Y2043,"Yes","No")</f>
        <v/>
      </c>
    </row>
    <row r="2044">
      <c r="A2044" t="n">
        <v>2018</v>
      </c>
      <c r="B2044" t="inlineStr">
        <is>
          <t>Q1</t>
        </is>
      </c>
      <c r="C2044" t="inlineStr">
        <is>
          <t>South America</t>
        </is>
      </c>
      <c r="D2044" t="inlineStr">
        <is>
          <t>Semi</t>
        </is>
      </c>
      <c r="E2044" t="n">
        <v>2416</v>
      </c>
      <c r="F2044" t="n">
        <v>35853.48</v>
      </c>
      <c r="G2044" t="n">
        <v>16</v>
      </c>
      <c r="H2044" t="inlineStr">
        <is>
          <t>Long Range</t>
        </is>
      </c>
      <c r="I2044" t="inlineStr">
        <is>
          <t>RWD</t>
        </is>
      </c>
      <c r="J2044" t="inlineStr">
        <is>
          <t>Red</t>
        </is>
      </c>
      <c r="K2044" t="n">
        <v>402</v>
      </c>
      <c r="L2044" t="n">
        <v>59</v>
      </c>
      <c r="M2044" t="n">
        <v>22.69</v>
      </c>
      <c r="N2044" t="n">
        <v>1282.99</v>
      </c>
      <c r="O2044" t="n">
        <v>4.12</v>
      </c>
      <c r="P2044" t="n">
        <v>8</v>
      </c>
      <c r="Q2044" t="n">
        <v>2</v>
      </c>
      <c r="R2044" t="n">
        <v>2022.9</v>
      </c>
      <c r="S2044" t="b">
        <v>1</v>
      </c>
      <c r="T2044" t="n">
        <v>3436352</v>
      </c>
      <c r="U2044" t="n">
        <v>7</v>
      </c>
      <c r="V2044" t="n">
        <v>0.0581</v>
      </c>
      <c r="W2044" t="n">
        <v>1.29</v>
      </c>
      <c r="X2044" t="n">
        <v>77.72</v>
      </c>
      <c r="Y2044">
        <f>VLOOKUP(D2044,$AB$2:$AC$7,2,FALSE)</f>
        <v/>
      </c>
      <c r="Z2044">
        <f>IF(A2044&lt;Y2044,"Yes","No")</f>
        <v/>
      </c>
    </row>
    <row r="2045">
      <c r="A2045" t="n">
        <v>2024</v>
      </c>
      <c r="B2045" t="inlineStr">
        <is>
          <t>Q2</t>
        </is>
      </c>
      <c r="C2045" t="inlineStr">
        <is>
          <t>Europe</t>
        </is>
      </c>
      <c r="D2045" t="inlineStr">
        <is>
          <t>Model 3</t>
        </is>
      </c>
      <c r="E2045" t="n">
        <v>1436</v>
      </c>
      <c r="F2045" t="n">
        <v>59605.22</v>
      </c>
      <c r="G2045" t="n">
        <v>2</v>
      </c>
      <c r="H2045" t="inlineStr">
        <is>
          <t>Long Range</t>
        </is>
      </c>
      <c r="I2045" t="inlineStr">
        <is>
          <t>AWD</t>
        </is>
      </c>
      <c r="J2045" t="inlineStr">
        <is>
          <t>Red</t>
        </is>
      </c>
      <c r="K2045" t="n">
        <v>381</v>
      </c>
      <c r="L2045" t="n">
        <v>55</v>
      </c>
      <c r="M2045" t="n">
        <v>15.87</v>
      </c>
      <c r="N2045" t="n">
        <v>902.02</v>
      </c>
      <c r="O2045" t="n">
        <v>3.66</v>
      </c>
      <c r="P2045" t="n">
        <v>4</v>
      </c>
      <c r="Q2045" t="n">
        <v>3</v>
      </c>
      <c r="R2045" t="n">
        <v>2024.8</v>
      </c>
      <c r="S2045" t="b">
        <v>1</v>
      </c>
      <c r="T2045" t="n">
        <v>2165687</v>
      </c>
      <c r="U2045" t="n">
        <v>8</v>
      </c>
      <c r="V2045" t="n">
        <v>0.07829999999999999</v>
      </c>
      <c r="W2045" t="n">
        <v>1.18</v>
      </c>
      <c r="X2045" t="n">
        <v>62.36</v>
      </c>
      <c r="Y2045">
        <f>VLOOKUP(D2045,$AB$2:$AC$7,2,FALSE)</f>
        <v/>
      </c>
      <c r="Z2045">
        <f>IF(A2045&lt;Y2045,"Yes","No")</f>
        <v/>
      </c>
    </row>
    <row r="2046">
      <c r="A2046" t="n">
        <v>2022</v>
      </c>
      <c r="B2046" t="inlineStr">
        <is>
          <t>Q1</t>
        </is>
      </c>
      <c r="C2046" t="inlineStr">
        <is>
          <t>Asia</t>
        </is>
      </c>
      <c r="D2046" t="inlineStr">
        <is>
          <t>Semi</t>
        </is>
      </c>
      <c r="E2046" t="n">
        <v>1254</v>
      </c>
      <c r="F2046" t="n">
        <v>105835.52</v>
      </c>
      <c r="G2046" t="n">
        <v>53</v>
      </c>
      <c r="H2046" t="inlineStr">
        <is>
          <t>Standard</t>
        </is>
      </c>
      <c r="I2046" t="inlineStr">
        <is>
          <t>RWD</t>
        </is>
      </c>
      <c r="J2046" t="inlineStr">
        <is>
          <t>Red</t>
        </is>
      </c>
      <c r="K2046" t="n">
        <v>418</v>
      </c>
      <c r="L2046" t="n">
        <v>82</v>
      </c>
      <c r="M2046" t="n">
        <v>14.73</v>
      </c>
      <c r="N2046" t="n">
        <v>1022.55</v>
      </c>
      <c r="O2046" t="n">
        <v>4.12</v>
      </c>
      <c r="P2046" t="n">
        <v>4</v>
      </c>
      <c r="Q2046" t="n">
        <v>2</v>
      </c>
      <c r="R2046" t="n">
        <v>2020.12</v>
      </c>
      <c r="S2046" t="b">
        <v>1</v>
      </c>
      <c r="T2046" t="n">
        <v>2512268</v>
      </c>
      <c r="U2046" t="n">
        <v>7</v>
      </c>
      <c r="V2046" t="n">
        <v>0.0368</v>
      </c>
      <c r="W2046" t="n">
        <v>0.79</v>
      </c>
      <c r="X2046" t="n">
        <v>82.15000000000001</v>
      </c>
      <c r="Y2046">
        <f>VLOOKUP(D2046,$AB$2:$AC$7,2,FALSE)</f>
        <v/>
      </c>
      <c r="Z2046">
        <f>IF(A2046&lt;Y2046,"Yes","No")</f>
        <v/>
      </c>
    </row>
    <row r="2047">
      <c r="A2047" t="n">
        <v>2014</v>
      </c>
      <c r="B2047" t="inlineStr">
        <is>
          <t>Q2</t>
        </is>
      </c>
      <c r="C2047" t="inlineStr">
        <is>
          <t>Asia</t>
        </is>
      </c>
      <c r="D2047" t="inlineStr">
        <is>
          <t>Model 3</t>
        </is>
      </c>
      <c r="E2047" t="n">
        <v>233</v>
      </c>
      <c r="F2047" t="n">
        <v>47636.4</v>
      </c>
      <c r="G2047" t="n">
        <v>44</v>
      </c>
      <c r="H2047" t="inlineStr">
        <is>
          <t>Standard</t>
        </is>
      </c>
      <c r="I2047" t="inlineStr">
        <is>
          <t>AWD</t>
        </is>
      </c>
      <c r="J2047" t="inlineStr">
        <is>
          <t>Red</t>
        </is>
      </c>
      <c r="K2047" t="n">
        <v>363</v>
      </c>
      <c r="L2047" t="n">
        <v>36</v>
      </c>
      <c r="M2047" t="n">
        <v>15.29</v>
      </c>
      <c r="N2047" t="n">
        <v>325.08</v>
      </c>
      <c r="O2047" t="n">
        <v>4.91</v>
      </c>
      <c r="P2047" t="n">
        <v>5</v>
      </c>
      <c r="Q2047" t="n">
        <v>1</v>
      </c>
      <c r="R2047" t="n">
        <v>2022.11</v>
      </c>
      <c r="S2047" t="b">
        <v>1</v>
      </c>
      <c r="T2047" t="n">
        <v>2892658</v>
      </c>
      <c r="U2047" t="n">
        <v>2</v>
      </c>
      <c r="V2047" t="n">
        <v>0.0677</v>
      </c>
      <c r="W2047" t="n">
        <v>2.17</v>
      </c>
      <c r="X2047" t="n">
        <v>77.02</v>
      </c>
      <c r="Y2047">
        <f>VLOOKUP(D2047,$AB$2:$AC$7,2,FALSE)</f>
        <v/>
      </c>
      <c r="Z2047">
        <f>IF(A2047&lt;Y2047,"Yes","No")</f>
        <v/>
      </c>
    </row>
    <row r="2048">
      <c r="A2048" t="n">
        <v>2023</v>
      </c>
      <c r="B2048" t="inlineStr">
        <is>
          <t>Q2</t>
        </is>
      </c>
      <c r="C2048" t="inlineStr">
        <is>
          <t>Asia</t>
        </is>
      </c>
      <c r="D2048" t="inlineStr">
        <is>
          <t>Model 3</t>
        </is>
      </c>
      <c r="E2048" t="n">
        <v>1375</v>
      </c>
      <c r="F2048" t="n">
        <v>86354.12</v>
      </c>
      <c r="G2048" t="n">
        <v>24</v>
      </c>
      <c r="H2048" t="inlineStr">
        <is>
          <t>Standard</t>
        </is>
      </c>
      <c r="I2048" t="inlineStr">
        <is>
          <t>RWD</t>
        </is>
      </c>
      <c r="J2048" t="inlineStr">
        <is>
          <t>Blue</t>
        </is>
      </c>
      <c r="K2048" t="n">
        <v>444</v>
      </c>
      <c r="L2048" t="n">
        <v>67</v>
      </c>
      <c r="M2048" t="n">
        <v>16.37</v>
      </c>
      <c r="N2048" t="n">
        <v>2712.91</v>
      </c>
      <c r="O2048" t="n">
        <v>4.28</v>
      </c>
      <c r="P2048" t="n">
        <v>8</v>
      </c>
      <c r="Q2048" t="n">
        <v>3</v>
      </c>
      <c r="R2048" t="n">
        <v>2023.5</v>
      </c>
      <c r="S2048" t="b">
        <v>1</v>
      </c>
      <c r="T2048" t="n">
        <v>4607666</v>
      </c>
      <c r="U2048" t="n">
        <v>11</v>
      </c>
      <c r="V2048" t="n">
        <v>0.0881</v>
      </c>
      <c r="W2048" t="n">
        <v>1.42</v>
      </c>
      <c r="X2048" t="n">
        <v>88.02</v>
      </c>
      <c r="Y2048">
        <f>VLOOKUP(D2048,$AB$2:$AC$7,2,FALSE)</f>
        <v/>
      </c>
      <c r="Z2048">
        <f>IF(A2048&lt;Y2048,"Yes","No")</f>
        <v/>
      </c>
    </row>
    <row r="2049">
      <c r="A2049" t="n">
        <v>2015</v>
      </c>
      <c r="B2049" t="inlineStr">
        <is>
          <t>Q4</t>
        </is>
      </c>
      <c r="C2049" t="inlineStr">
        <is>
          <t>North America</t>
        </is>
      </c>
      <c r="D2049" t="inlineStr">
        <is>
          <t>Model X</t>
        </is>
      </c>
      <c r="E2049" t="n">
        <v>78</v>
      </c>
      <c r="F2049" t="n">
        <v>81905.3</v>
      </c>
      <c r="G2049" t="n">
        <v>0</v>
      </c>
      <c r="H2049" t="inlineStr">
        <is>
          <t>Performance</t>
        </is>
      </c>
      <c r="I2049" t="inlineStr">
        <is>
          <t>RWD</t>
        </is>
      </c>
      <c r="J2049" t="inlineStr">
        <is>
          <t>Red</t>
        </is>
      </c>
      <c r="K2049" t="n">
        <v>655</v>
      </c>
      <c r="L2049" t="n">
        <v>33</v>
      </c>
      <c r="M2049" t="n">
        <v>17.71</v>
      </c>
      <c r="N2049" t="n">
        <v>178.8</v>
      </c>
      <c r="O2049" t="n">
        <v>3.86</v>
      </c>
      <c r="P2049" t="n">
        <v>4</v>
      </c>
      <c r="Q2049" t="n">
        <v>1</v>
      </c>
      <c r="R2049" t="n">
        <v>2023.4</v>
      </c>
      <c r="S2049" t="b">
        <v>1</v>
      </c>
      <c r="T2049" t="n">
        <v>2904805</v>
      </c>
      <c r="U2049" t="n">
        <v>8</v>
      </c>
      <c r="V2049" t="n">
        <v>0.0523</v>
      </c>
      <c r="W2049" t="n">
        <v>1.95</v>
      </c>
      <c r="X2049" t="n">
        <v>72.64</v>
      </c>
      <c r="Y2049">
        <f>VLOOKUP(D2049,$AB$2:$AC$7,2,FALSE)</f>
        <v/>
      </c>
      <c r="Z2049">
        <f>IF(A2049&lt;Y2049,"Yes","No")</f>
        <v/>
      </c>
    </row>
    <row r="2050">
      <c r="A2050" t="n">
        <v>2019</v>
      </c>
      <c r="B2050" t="inlineStr">
        <is>
          <t>Q2</t>
        </is>
      </c>
      <c r="C2050" t="inlineStr">
        <is>
          <t>Australia</t>
        </is>
      </c>
      <c r="D2050" t="inlineStr">
        <is>
          <t>Model 3</t>
        </is>
      </c>
      <c r="E2050" t="n">
        <v>4864</v>
      </c>
      <c r="F2050" t="n">
        <v>47374.31</v>
      </c>
      <c r="G2050" t="n">
        <v>20</v>
      </c>
      <c r="H2050" t="inlineStr">
        <is>
          <t>Performance</t>
        </is>
      </c>
      <c r="I2050" t="inlineStr">
        <is>
          <t>RWD</t>
        </is>
      </c>
      <c r="J2050" t="inlineStr">
        <is>
          <t>Green</t>
        </is>
      </c>
      <c r="K2050" t="n">
        <v>580</v>
      </c>
      <c r="L2050" t="n">
        <v>85</v>
      </c>
      <c r="M2050" t="n">
        <v>18.46</v>
      </c>
      <c r="N2050" t="n">
        <v>7722.98</v>
      </c>
      <c r="O2050" t="n">
        <v>4.61</v>
      </c>
      <c r="P2050" t="n">
        <v>6</v>
      </c>
      <c r="Q2050" t="n">
        <v>1</v>
      </c>
      <c r="R2050" t="n">
        <v>2024.3</v>
      </c>
      <c r="S2050" t="b">
        <v>1</v>
      </c>
      <c r="T2050" t="n">
        <v>2443468</v>
      </c>
      <c r="U2050" t="n">
        <v>8</v>
      </c>
      <c r="V2050" t="n">
        <v>0.025</v>
      </c>
      <c r="W2050" t="n">
        <v>0.82</v>
      </c>
      <c r="X2050" t="n">
        <v>65.58</v>
      </c>
      <c r="Y2050">
        <f>VLOOKUP(D2050,$AB$2:$AC$7,2,FALSE)</f>
        <v/>
      </c>
      <c r="Z2050">
        <f>IF(A2050&lt;Y2050,"Yes","No")</f>
        <v/>
      </c>
    </row>
    <row r="2051">
      <c r="A2051" t="n">
        <v>2014</v>
      </c>
      <c r="B2051" t="inlineStr">
        <is>
          <t>Q2</t>
        </is>
      </c>
      <c r="C2051" t="inlineStr">
        <is>
          <t>Europe</t>
        </is>
      </c>
      <c r="D2051" t="inlineStr">
        <is>
          <t>Cybertruck</t>
        </is>
      </c>
      <c r="E2051" t="n">
        <v>727</v>
      </c>
      <c r="F2051" t="n">
        <v>51732.12</v>
      </c>
      <c r="G2051" t="n">
        <v>60</v>
      </c>
      <c r="H2051" t="inlineStr">
        <is>
          <t>Long Range</t>
        </is>
      </c>
      <c r="I2051" t="inlineStr">
        <is>
          <t>AWD</t>
        </is>
      </c>
      <c r="J2051" t="inlineStr">
        <is>
          <t>Green</t>
        </is>
      </c>
      <c r="K2051" t="n">
        <v>433</v>
      </c>
      <c r="L2051" t="n">
        <v>43</v>
      </c>
      <c r="M2051" t="n">
        <v>17.05</v>
      </c>
      <c r="N2051" t="n">
        <v>1809.35</v>
      </c>
      <c r="O2051" t="n">
        <v>4.08</v>
      </c>
      <c r="P2051" t="n">
        <v>8</v>
      </c>
      <c r="Q2051" t="n">
        <v>0</v>
      </c>
      <c r="R2051" t="n">
        <v>2024.12</v>
      </c>
      <c r="S2051" t="b">
        <v>0</v>
      </c>
      <c r="T2051" t="n">
        <v>455399</v>
      </c>
      <c r="U2051" t="n">
        <v>12</v>
      </c>
      <c r="V2051" t="n">
        <v>0.0186</v>
      </c>
      <c r="W2051" t="n">
        <v>1.06</v>
      </c>
      <c r="X2051" t="n">
        <v>62.23</v>
      </c>
      <c r="Y2051">
        <f>VLOOKUP(D2051,$AB$2:$AC$7,2,FALSE)</f>
        <v/>
      </c>
      <c r="Z2051">
        <f>IF(A2051&lt;Y2051,"Yes","No")</f>
        <v/>
      </c>
    </row>
    <row r="2052">
      <c r="A2052" t="n">
        <v>2016</v>
      </c>
      <c r="B2052" t="inlineStr">
        <is>
          <t>Q3</t>
        </is>
      </c>
      <c r="C2052" t="inlineStr">
        <is>
          <t>Europe</t>
        </is>
      </c>
      <c r="D2052" t="inlineStr">
        <is>
          <t>Model 3</t>
        </is>
      </c>
      <c r="E2052" t="n">
        <v>4885</v>
      </c>
      <c r="F2052" t="n">
        <v>118924.56</v>
      </c>
      <c r="G2052" t="n">
        <v>16</v>
      </c>
      <c r="H2052" t="inlineStr">
        <is>
          <t>Long Range</t>
        </is>
      </c>
      <c r="I2052" t="inlineStr">
        <is>
          <t>RWD</t>
        </is>
      </c>
      <c r="J2052" t="inlineStr">
        <is>
          <t>Blue</t>
        </is>
      </c>
      <c r="K2052" t="n">
        <v>695</v>
      </c>
      <c r="L2052" t="n">
        <v>31</v>
      </c>
      <c r="M2052" t="n">
        <v>19.27</v>
      </c>
      <c r="N2052" t="n">
        <v>10494.39</v>
      </c>
      <c r="O2052" t="n">
        <v>4.35</v>
      </c>
      <c r="P2052" t="n">
        <v>5</v>
      </c>
      <c r="Q2052" t="n">
        <v>2</v>
      </c>
      <c r="R2052" t="n">
        <v>2020.5</v>
      </c>
      <c r="S2052" t="b">
        <v>0</v>
      </c>
      <c r="T2052" t="n">
        <v>1410872</v>
      </c>
      <c r="U2052" t="n">
        <v>11</v>
      </c>
      <c r="V2052" t="n">
        <v>0.0722</v>
      </c>
      <c r="W2052" t="n">
        <v>0.89</v>
      </c>
      <c r="X2052" t="n">
        <v>88.63</v>
      </c>
      <c r="Y2052">
        <f>VLOOKUP(D2052,$AB$2:$AC$7,2,FALSE)</f>
        <v/>
      </c>
      <c r="Z2052">
        <f>IF(A2052&lt;Y2052,"Yes","No")</f>
        <v/>
      </c>
    </row>
    <row r="2053">
      <c r="A2053" t="n">
        <v>2016</v>
      </c>
      <c r="B2053" t="inlineStr">
        <is>
          <t>Q1</t>
        </is>
      </c>
      <c r="C2053" t="inlineStr">
        <is>
          <t>Asia</t>
        </is>
      </c>
      <c r="D2053" t="inlineStr">
        <is>
          <t>Model 3</t>
        </is>
      </c>
      <c r="E2053" t="n">
        <v>2851</v>
      </c>
      <c r="F2053" t="n">
        <v>81989.42</v>
      </c>
      <c r="G2053" t="n">
        <v>51</v>
      </c>
      <c r="H2053" t="inlineStr">
        <is>
          <t>Performance</t>
        </is>
      </c>
      <c r="I2053" t="inlineStr">
        <is>
          <t>AWD</t>
        </is>
      </c>
      <c r="J2053" t="inlineStr">
        <is>
          <t>Black</t>
        </is>
      </c>
      <c r="K2053" t="n">
        <v>617</v>
      </c>
      <c r="L2053" t="n">
        <v>58</v>
      </c>
      <c r="M2053" t="n">
        <v>19.1</v>
      </c>
      <c r="N2053" t="n">
        <v>6804.05</v>
      </c>
      <c r="O2053" t="n">
        <v>4.05</v>
      </c>
      <c r="P2053" t="n">
        <v>4</v>
      </c>
      <c r="Q2053" t="n">
        <v>0</v>
      </c>
      <c r="R2053" t="n">
        <v>2022.4</v>
      </c>
      <c r="S2053" t="b">
        <v>1</v>
      </c>
      <c r="T2053" t="n">
        <v>4959569</v>
      </c>
      <c r="U2053" t="n">
        <v>12</v>
      </c>
      <c r="V2053" t="n">
        <v>0.077</v>
      </c>
      <c r="W2053" t="n">
        <v>1.18</v>
      </c>
      <c r="X2053" t="n">
        <v>74.47</v>
      </c>
      <c r="Y2053">
        <f>VLOOKUP(D2053,$AB$2:$AC$7,2,FALSE)</f>
        <v/>
      </c>
      <c r="Z2053">
        <f>IF(A2053&lt;Y2053,"Yes","No")</f>
        <v/>
      </c>
    </row>
    <row r="2054">
      <c r="A2054" t="n">
        <v>2021</v>
      </c>
      <c r="B2054" t="inlineStr">
        <is>
          <t>Q3</t>
        </is>
      </c>
      <c r="C2054" t="inlineStr">
        <is>
          <t>North America</t>
        </is>
      </c>
      <c r="D2054" t="inlineStr">
        <is>
          <t>Cybertruck</t>
        </is>
      </c>
      <c r="E2054" t="n">
        <v>1566</v>
      </c>
      <c r="F2054" t="n">
        <v>64355.91</v>
      </c>
      <c r="G2054" t="n">
        <v>58</v>
      </c>
      <c r="H2054" t="inlineStr">
        <is>
          <t>Long Range</t>
        </is>
      </c>
      <c r="I2054" t="inlineStr">
        <is>
          <t>AWD</t>
        </is>
      </c>
      <c r="J2054" t="inlineStr">
        <is>
          <t>Black</t>
        </is>
      </c>
      <c r="K2054" t="n">
        <v>443</v>
      </c>
      <c r="L2054" t="n">
        <v>77</v>
      </c>
      <c r="M2054" t="n">
        <v>21.38</v>
      </c>
      <c r="N2054" t="n">
        <v>1381.49</v>
      </c>
      <c r="O2054" t="n">
        <v>3.51</v>
      </c>
      <c r="P2054" t="n">
        <v>4</v>
      </c>
      <c r="Q2054" t="n">
        <v>3</v>
      </c>
      <c r="R2054" t="n">
        <v>2020.9</v>
      </c>
      <c r="S2054" t="b">
        <v>0</v>
      </c>
      <c r="T2054" t="n">
        <v>2645948</v>
      </c>
      <c r="U2054" t="n">
        <v>10</v>
      </c>
      <c r="V2054" t="n">
        <v>0.0843</v>
      </c>
      <c r="W2054" t="n">
        <v>1.29</v>
      </c>
      <c r="X2054" t="n">
        <v>73.69</v>
      </c>
      <c r="Y2054">
        <f>VLOOKUP(D2054,$AB$2:$AC$7,2,FALSE)</f>
        <v/>
      </c>
      <c r="Z2054">
        <f>IF(A2054&lt;Y2054,"Yes","No")</f>
        <v/>
      </c>
    </row>
    <row r="2055">
      <c r="A2055" t="n">
        <v>2019</v>
      </c>
      <c r="B2055" t="inlineStr">
        <is>
          <t>Q3</t>
        </is>
      </c>
      <c r="C2055" t="inlineStr">
        <is>
          <t>Europe</t>
        </is>
      </c>
      <c r="D2055" t="inlineStr">
        <is>
          <t>Semi</t>
        </is>
      </c>
      <c r="E2055" t="n">
        <v>852</v>
      </c>
      <c r="F2055" t="n">
        <v>57854.56</v>
      </c>
      <c r="G2055" t="n">
        <v>15</v>
      </c>
      <c r="H2055" t="inlineStr">
        <is>
          <t>Performance</t>
        </is>
      </c>
      <c r="I2055" t="inlineStr">
        <is>
          <t>RWD</t>
        </is>
      </c>
      <c r="J2055" t="inlineStr">
        <is>
          <t>Green</t>
        </is>
      </c>
      <c r="K2055" t="n">
        <v>544</v>
      </c>
      <c r="L2055" t="n">
        <v>85</v>
      </c>
      <c r="M2055" t="n">
        <v>17.36</v>
      </c>
      <c r="N2055" t="n">
        <v>1373.42</v>
      </c>
      <c r="O2055" t="n">
        <v>4.66</v>
      </c>
      <c r="P2055" t="n">
        <v>5</v>
      </c>
      <c r="Q2055" t="n">
        <v>1</v>
      </c>
      <c r="R2055" t="n">
        <v>2023.11</v>
      </c>
      <c r="S2055" t="b">
        <v>1</v>
      </c>
      <c r="T2055" t="n">
        <v>1548817</v>
      </c>
      <c r="U2055" t="n">
        <v>7</v>
      </c>
      <c r="V2055" t="n">
        <v>0.0837</v>
      </c>
      <c r="W2055" t="n">
        <v>1.85</v>
      </c>
      <c r="X2055" t="n">
        <v>71.06999999999999</v>
      </c>
      <c r="Y2055">
        <f>VLOOKUP(D2055,$AB$2:$AC$7,2,FALSE)</f>
        <v/>
      </c>
      <c r="Z2055">
        <f>IF(A2055&lt;Y2055,"Yes","No")</f>
        <v/>
      </c>
    </row>
    <row r="2056">
      <c r="A2056" t="n">
        <v>2024</v>
      </c>
      <c r="B2056" t="inlineStr">
        <is>
          <t>Q3</t>
        </is>
      </c>
      <c r="C2056" t="inlineStr">
        <is>
          <t>North America</t>
        </is>
      </c>
      <c r="D2056" t="inlineStr">
        <is>
          <t>Model S</t>
        </is>
      </c>
      <c r="E2056" t="n">
        <v>558</v>
      </c>
      <c r="F2056" t="n">
        <v>110833.47</v>
      </c>
      <c r="G2056" t="n">
        <v>55</v>
      </c>
      <c r="H2056" t="inlineStr">
        <is>
          <t>Long Range</t>
        </is>
      </c>
      <c r="I2056" t="inlineStr">
        <is>
          <t>RWD</t>
        </is>
      </c>
      <c r="J2056" t="inlineStr">
        <is>
          <t>Green</t>
        </is>
      </c>
      <c r="K2056" t="n">
        <v>560</v>
      </c>
      <c r="L2056" t="n">
        <v>41</v>
      </c>
      <c r="M2056" t="n">
        <v>20.84</v>
      </c>
      <c r="N2056" t="n">
        <v>1370.96</v>
      </c>
      <c r="O2056" t="n">
        <v>3.71</v>
      </c>
      <c r="P2056" t="n">
        <v>8</v>
      </c>
      <c r="Q2056" t="n">
        <v>3</v>
      </c>
      <c r="R2056" t="n">
        <v>2023.11</v>
      </c>
      <c r="S2056" t="b">
        <v>1</v>
      </c>
      <c r="T2056" t="n">
        <v>4878187</v>
      </c>
      <c r="U2056" t="n">
        <v>6</v>
      </c>
      <c r="V2056" t="n">
        <v>0.0955</v>
      </c>
      <c r="W2056" t="n">
        <v>1.98</v>
      </c>
      <c r="X2056" t="n">
        <v>77.05</v>
      </c>
      <c r="Y2056">
        <f>VLOOKUP(D2056,$AB$2:$AC$7,2,FALSE)</f>
        <v/>
      </c>
      <c r="Z2056">
        <f>IF(A2056&lt;Y2056,"Yes","No")</f>
        <v/>
      </c>
    </row>
    <row r="2057">
      <c r="A2057" t="n">
        <v>2016</v>
      </c>
      <c r="B2057" t="inlineStr">
        <is>
          <t>Q4</t>
        </is>
      </c>
      <c r="C2057" t="inlineStr">
        <is>
          <t>North America</t>
        </is>
      </c>
      <c r="D2057" t="inlineStr">
        <is>
          <t>Model 3</t>
        </is>
      </c>
      <c r="E2057" t="n">
        <v>1691</v>
      </c>
      <c r="F2057" t="n">
        <v>71065.14</v>
      </c>
      <c r="G2057" t="n">
        <v>17</v>
      </c>
      <c r="H2057" t="inlineStr">
        <is>
          <t>Standard</t>
        </is>
      </c>
      <c r="I2057" t="inlineStr">
        <is>
          <t>RWD</t>
        </is>
      </c>
      <c r="J2057" t="inlineStr">
        <is>
          <t>White</t>
        </is>
      </c>
      <c r="K2057" t="n">
        <v>451</v>
      </c>
      <c r="L2057" t="n">
        <v>75</v>
      </c>
      <c r="M2057" t="n">
        <v>14.87</v>
      </c>
      <c r="N2057" t="n">
        <v>2300.35</v>
      </c>
      <c r="O2057" t="n">
        <v>3.91</v>
      </c>
      <c r="P2057" t="n">
        <v>5</v>
      </c>
      <c r="Q2057" t="n">
        <v>1</v>
      </c>
      <c r="R2057" t="n">
        <v>2023.11</v>
      </c>
      <c r="S2057" t="b">
        <v>1</v>
      </c>
      <c r="T2057" t="n">
        <v>2574067</v>
      </c>
      <c r="U2057" t="n">
        <v>5</v>
      </c>
      <c r="V2057" t="n">
        <v>0.0369</v>
      </c>
      <c r="W2057" t="n">
        <v>0.62</v>
      </c>
      <c r="X2057" t="n">
        <v>79.97</v>
      </c>
      <c r="Y2057">
        <f>VLOOKUP(D2057,$AB$2:$AC$7,2,FALSE)</f>
        <v/>
      </c>
      <c r="Z2057">
        <f>IF(A2057&lt;Y2057,"Yes","No")</f>
        <v/>
      </c>
    </row>
    <row r="2058">
      <c r="A2058" t="n">
        <v>2024</v>
      </c>
      <c r="B2058" t="inlineStr">
        <is>
          <t>Q2</t>
        </is>
      </c>
      <c r="C2058" t="inlineStr">
        <is>
          <t>Australia</t>
        </is>
      </c>
      <c r="D2058" t="inlineStr">
        <is>
          <t>Model S</t>
        </is>
      </c>
      <c r="E2058" t="n">
        <v>2878</v>
      </c>
      <c r="F2058" t="n">
        <v>47695.36</v>
      </c>
      <c r="G2058" t="n">
        <v>53</v>
      </c>
      <c r="H2058" t="inlineStr">
        <is>
          <t>Performance</t>
        </is>
      </c>
      <c r="I2058" t="inlineStr">
        <is>
          <t>RWD</t>
        </is>
      </c>
      <c r="J2058" t="inlineStr">
        <is>
          <t>Black</t>
        </is>
      </c>
      <c r="K2058" t="n">
        <v>411</v>
      </c>
      <c r="L2058" t="n">
        <v>32</v>
      </c>
      <c r="M2058" t="n">
        <v>20.3</v>
      </c>
      <c r="N2058" t="n">
        <v>3368.12</v>
      </c>
      <c r="O2058" t="n">
        <v>4.76</v>
      </c>
      <c r="P2058" t="n">
        <v>8</v>
      </c>
      <c r="Q2058" t="n">
        <v>1</v>
      </c>
      <c r="R2058" t="n">
        <v>2020.1</v>
      </c>
      <c r="S2058" t="b">
        <v>0</v>
      </c>
      <c r="T2058" t="n">
        <v>2119726</v>
      </c>
      <c r="U2058" t="n">
        <v>3</v>
      </c>
      <c r="V2058" t="n">
        <v>0.07729999999999999</v>
      </c>
      <c r="W2058" t="n">
        <v>0.87</v>
      </c>
      <c r="X2058" t="n">
        <v>89.73999999999999</v>
      </c>
      <c r="Y2058">
        <f>VLOOKUP(D2058,$AB$2:$AC$7,2,FALSE)</f>
        <v/>
      </c>
      <c r="Z2058">
        <f>IF(A2058&lt;Y2058,"Yes","No")</f>
        <v/>
      </c>
    </row>
    <row r="2059">
      <c r="A2059" t="n">
        <v>2014</v>
      </c>
      <c r="B2059" t="inlineStr">
        <is>
          <t>Q4</t>
        </is>
      </c>
      <c r="C2059" t="inlineStr">
        <is>
          <t>Asia</t>
        </is>
      </c>
      <c r="D2059" t="inlineStr">
        <is>
          <t>Cybertruck</t>
        </is>
      </c>
      <c r="E2059" t="n">
        <v>3689</v>
      </c>
      <c r="F2059" t="n">
        <v>58946.65</v>
      </c>
      <c r="G2059" t="n">
        <v>35</v>
      </c>
      <c r="H2059" t="inlineStr">
        <is>
          <t>Long Range</t>
        </is>
      </c>
      <c r="I2059" t="inlineStr">
        <is>
          <t>AWD</t>
        </is>
      </c>
      <c r="J2059" t="inlineStr">
        <is>
          <t>Blue</t>
        </is>
      </c>
      <c r="K2059" t="n">
        <v>574</v>
      </c>
      <c r="L2059" t="n">
        <v>71</v>
      </c>
      <c r="M2059" t="n">
        <v>20.51</v>
      </c>
      <c r="N2059" t="n">
        <v>4658</v>
      </c>
      <c r="O2059" t="n">
        <v>3.92</v>
      </c>
      <c r="P2059" t="n">
        <v>8</v>
      </c>
      <c r="Q2059" t="n">
        <v>1</v>
      </c>
      <c r="R2059" t="n">
        <v>2020.8</v>
      </c>
      <c r="S2059" t="b">
        <v>1</v>
      </c>
      <c r="T2059" t="n">
        <v>3960461</v>
      </c>
      <c r="U2059" t="n">
        <v>10</v>
      </c>
      <c r="V2059" t="n">
        <v>0.0171</v>
      </c>
      <c r="W2059" t="n">
        <v>0.58</v>
      </c>
      <c r="X2059" t="n">
        <v>62.08</v>
      </c>
      <c r="Y2059">
        <f>VLOOKUP(D2059,$AB$2:$AC$7,2,FALSE)</f>
        <v/>
      </c>
      <c r="Z2059">
        <f>IF(A2059&lt;Y2059,"Yes","No")</f>
        <v/>
      </c>
    </row>
    <row r="2060">
      <c r="A2060" t="n">
        <v>2012</v>
      </c>
      <c r="B2060" t="inlineStr">
        <is>
          <t>Q1</t>
        </is>
      </c>
      <c r="C2060" t="inlineStr">
        <is>
          <t>Europe</t>
        </is>
      </c>
      <c r="D2060" t="inlineStr">
        <is>
          <t>Model X</t>
        </is>
      </c>
      <c r="E2060" t="n">
        <v>2425</v>
      </c>
      <c r="F2060" t="n">
        <v>79515.47</v>
      </c>
      <c r="G2060" t="n">
        <v>0</v>
      </c>
      <c r="H2060" t="inlineStr">
        <is>
          <t>Long Range</t>
        </is>
      </c>
      <c r="I2060" t="inlineStr">
        <is>
          <t>RWD</t>
        </is>
      </c>
      <c r="J2060" t="inlineStr">
        <is>
          <t>Silver</t>
        </is>
      </c>
      <c r="K2060" t="n">
        <v>677</v>
      </c>
      <c r="L2060" t="n">
        <v>49</v>
      </c>
      <c r="M2060" t="n">
        <v>24.31</v>
      </c>
      <c r="N2060" t="n">
        <v>1720.71</v>
      </c>
      <c r="O2060" t="n">
        <v>4.61</v>
      </c>
      <c r="P2060" t="n">
        <v>8</v>
      </c>
      <c r="Q2060" t="n">
        <v>2</v>
      </c>
      <c r="R2060" t="n">
        <v>2024.11</v>
      </c>
      <c r="S2060" t="b">
        <v>1</v>
      </c>
      <c r="T2060" t="n">
        <v>314065</v>
      </c>
      <c r="U2060" t="n">
        <v>6</v>
      </c>
      <c r="V2060" t="n">
        <v>0.0331</v>
      </c>
      <c r="W2060" t="n">
        <v>0.64</v>
      </c>
      <c r="X2060" t="n">
        <v>61.64</v>
      </c>
      <c r="Y2060">
        <f>VLOOKUP(D2060,$AB$2:$AC$7,2,FALSE)</f>
        <v/>
      </c>
      <c r="Z2060">
        <f>IF(A2060&lt;Y2060,"Yes","No")</f>
        <v/>
      </c>
    </row>
    <row r="2061">
      <c r="A2061" t="n">
        <v>2024</v>
      </c>
      <c r="B2061" t="inlineStr">
        <is>
          <t>Q1</t>
        </is>
      </c>
      <c r="C2061" t="inlineStr">
        <is>
          <t>Australia</t>
        </is>
      </c>
      <c r="D2061" t="inlineStr">
        <is>
          <t>Model 3</t>
        </is>
      </c>
      <c r="E2061" t="n">
        <v>1625</v>
      </c>
      <c r="F2061" t="n">
        <v>93455.64999999999</v>
      </c>
      <c r="G2061" t="n">
        <v>46</v>
      </c>
      <c r="H2061" t="inlineStr">
        <is>
          <t>Long Range</t>
        </is>
      </c>
      <c r="I2061" t="inlineStr">
        <is>
          <t>AWD</t>
        </is>
      </c>
      <c r="J2061" t="inlineStr">
        <is>
          <t>Red</t>
        </is>
      </c>
      <c r="K2061" t="n">
        <v>495</v>
      </c>
      <c r="L2061" t="n">
        <v>66</v>
      </c>
      <c r="M2061" t="n">
        <v>20.21</v>
      </c>
      <c r="N2061" t="n">
        <v>865.4</v>
      </c>
      <c r="O2061" t="n">
        <v>4.94</v>
      </c>
      <c r="P2061" t="n">
        <v>6</v>
      </c>
      <c r="Q2061" t="n">
        <v>0</v>
      </c>
      <c r="R2061" t="n">
        <v>2022.2</v>
      </c>
      <c r="S2061" t="b">
        <v>1</v>
      </c>
      <c r="T2061" t="n">
        <v>715594</v>
      </c>
      <c r="U2061" t="n">
        <v>2</v>
      </c>
      <c r="V2061" t="n">
        <v>0.0513</v>
      </c>
      <c r="W2061" t="n">
        <v>1.84</v>
      </c>
      <c r="X2061" t="n">
        <v>68.23</v>
      </c>
      <c r="Y2061">
        <f>VLOOKUP(D2061,$AB$2:$AC$7,2,FALSE)</f>
        <v/>
      </c>
      <c r="Z2061">
        <f>IF(A2061&lt;Y2061,"Yes","No")</f>
        <v/>
      </c>
    </row>
    <row r="2062">
      <c r="A2062" t="n">
        <v>2015</v>
      </c>
      <c r="B2062" t="inlineStr">
        <is>
          <t>Q1</t>
        </is>
      </c>
      <c r="C2062" t="inlineStr">
        <is>
          <t>North America</t>
        </is>
      </c>
      <c r="D2062" t="inlineStr">
        <is>
          <t>Model X</t>
        </is>
      </c>
      <c r="E2062" t="n">
        <v>3084</v>
      </c>
      <c r="F2062" t="n">
        <v>101796.92</v>
      </c>
      <c r="G2062" t="n">
        <v>13</v>
      </c>
      <c r="H2062" t="inlineStr">
        <is>
          <t>Standard</t>
        </is>
      </c>
      <c r="I2062" t="inlineStr">
        <is>
          <t>RWD</t>
        </is>
      </c>
      <c r="J2062" t="inlineStr">
        <is>
          <t>Green</t>
        </is>
      </c>
      <c r="K2062" t="n">
        <v>617</v>
      </c>
      <c r="L2062" t="n">
        <v>62</v>
      </c>
      <c r="M2062" t="n">
        <v>18.47</v>
      </c>
      <c r="N2062" t="n">
        <v>3494.16</v>
      </c>
      <c r="O2062" t="n">
        <v>4.08</v>
      </c>
      <c r="P2062" t="n">
        <v>4</v>
      </c>
      <c r="Q2062" t="n">
        <v>3</v>
      </c>
      <c r="R2062" t="n">
        <v>2023.6</v>
      </c>
      <c r="S2062" t="b">
        <v>1</v>
      </c>
      <c r="T2062" t="n">
        <v>2342053</v>
      </c>
      <c r="U2062" t="n">
        <v>3</v>
      </c>
      <c r="V2062" t="n">
        <v>0.0338</v>
      </c>
      <c r="W2062" t="n">
        <v>0.96</v>
      </c>
      <c r="X2062" t="n">
        <v>88.12</v>
      </c>
      <c r="Y2062">
        <f>VLOOKUP(D2062,$AB$2:$AC$7,2,FALSE)</f>
        <v/>
      </c>
      <c r="Z2062">
        <f>IF(A2062&lt;Y2062,"Yes","No")</f>
        <v/>
      </c>
    </row>
    <row r="2063">
      <c r="A2063" t="n">
        <v>2017</v>
      </c>
      <c r="B2063" t="inlineStr">
        <is>
          <t>Q4</t>
        </is>
      </c>
      <c r="C2063" t="inlineStr">
        <is>
          <t>North America</t>
        </is>
      </c>
      <c r="D2063" t="inlineStr">
        <is>
          <t>Cybertruck</t>
        </is>
      </c>
      <c r="E2063" t="n">
        <v>2926</v>
      </c>
      <c r="F2063" t="n">
        <v>45237.44</v>
      </c>
      <c r="G2063" t="n">
        <v>46</v>
      </c>
      <c r="H2063" t="inlineStr">
        <is>
          <t>Standard</t>
        </is>
      </c>
      <c r="I2063" t="inlineStr">
        <is>
          <t>RWD</t>
        </is>
      </c>
      <c r="J2063" t="inlineStr">
        <is>
          <t>Blue</t>
        </is>
      </c>
      <c r="K2063" t="n">
        <v>376</v>
      </c>
      <c r="L2063" t="n">
        <v>73</v>
      </c>
      <c r="M2063" t="n">
        <v>14.87</v>
      </c>
      <c r="N2063" t="n">
        <v>3468.84</v>
      </c>
      <c r="O2063" t="n">
        <v>3.85</v>
      </c>
      <c r="P2063" t="n">
        <v>8</v>
      </c>
      <c r="Q2063" t="n">
        <v>0</v>
      </c>
      <c r="R2063" t="n">
        <v>2020.6</v>
      </c>
      <c r="S2063" t="b">
        <v>1</v>
      </c>
      <c r="T2063" t="n">
        <v>1085508</v>
      </c>
      <c r="U2063" t="n">
        <v>3</v>
      </c>
      <c r="V2063" t="n">
        <v>0.0916</v>
      </c>
      <c r="W2063" t="n">
        <v>1.37</v>
      </c>
      <c r="X2063" t="n">
        <v>85.95</v>
      </c>
      <c r="Y2063">
        <f>VLOOKUP(D2063,$AB$2:$AC$7,2,FALSE)</f>
        <v/>
      </c>
      <c r="Z2063">
        <f>IF(A2063&lt;Y2063,"Yes","No")</f>
        <v/>
      </c>
    </row>
    <row r="2064">
      <c r="A2064" t="n">
        <v>2019</v>
      </c>
      <c r="B2064" t="inlineStr">
        <is>
          <t>Q1</t>
        </is>
      </c>
      <c r="C2064" t="inlineStr">
        <is>
          <t>Asia</t>
        </is>
      </c>
      <c r="D2064" t="inlineStr">
        <is>
          <t>Model 3</t>
        </is>
      </c>
      <c r="E2064" t="n">
        <v>3079</v>
      </c>
      <c r="F2064" t="n">
        <v>87388.63</v>
      </c>
      <c r="G2064" t="n">
        <v>16</v>
      </c>
      <c r="H2064" t="inlineStr">
        <is>
          <t>Standard</t>
        </is>
      </c>
      <c r="I2064" t="inlineStr">
        <is>
          <t>AWD</t>
        </is>
      </c>
      <c r="J2064" t="inlineStr">
        <is>
          <t>Blue</t>
        </is>
      </c>
      <c r="K2064" t="n">
        <v>403</v>
      </c>
      <c r="L2064" t="n">
        <v>71</v>
      </c>
      <c r="M2064" t="n">
        <v>23.28</v>
      </c>
      <c r="N2064" t="n">
        <v>7472.64</v>
      </c>
      <c r="O2064" t="n">
        <v>3.52</v>
      </c>
      <c r="P2064" t="n">
        <v>6</v>
      </c>
      <c r="Q2064" t="n">
        <v>3</v>
      </c>
      <c r="R2064" t="n">
        <v>2021.6</v>
      </c>
      <c r="S2064" t="b">
        <v>0</v>
      </c>
      <c r="T2064" t="n">
        <v>1907333</v>
      </c>
      <c r="U2064" t="n">
        <v>3</v>
      </c>
      <c r="V2064" t="n">
        <v>0.0864</v>
      </c>
      <c r="W2064" t="n">
        <v>0.57</v>
      </c>
      <c r="X2064" t="n">
        <v>66</v>
      </c>
      <c r="Y2064">
        <f>VLOOKUP(D2064,$AB$2:$AC$7,2,FALSE)</f>
        <v/>
      </c>
      <c r="Z2064">
        <f>IF(A2064&lt;Y2064,"Yes","No")</f>
        <v/>
      </c>
    </row>
    <row r="2065">
      <c r="A2065" t="n">
        <v>2013</v>
      </c>
      <c r="B2065" t="inlineStr">
        <is>
          <t>Q2</t>
        </is>
      </c>
      <c r="C2065" t="inlineStr">
        <is>
          <t>Europe</t>
        </is>
      </c>
      <c r="D2065" t="inlineStr">
        <is>
          <t>Model S</t>
        </is>
      </c>
      <c r="E2065" t="n">
        <v>3643</v>
      </c>
      <c r="F2065" t="n">
        <v>47327.68</v>
      </c>
      <c r="G2065" t="n">
        <v>46</v>
      </c>
      <c r="H2065" t="inlineStr">
        <is>
          <t>Standard</t>
        </is>
      </c>
      <c r="I2065" t="inlineStr">
        <is>
          <t>RWD</t>
        </is>
      </c>
      <c r="J2065" t="inlineStr">
        <is>
          <t>White</t>
        </is>
      </c>
      <c r="K2065" t="n">
        <v>440</v>
      </c>
      <c r="L2065" t="n">
        <v>49</v>
      </c>
      <c r="M2065" t="n">
        <v>24.12</v>
      </c>
      <c r="N2065" t="n">
        <v>5820.01</v>
      </c>
      <c r="O2065" t="n">
        <v>4.16</v>
      </c>
      <c r="P2065" t="n">
        <v>4</v>
      </c>
      <c r="Q2065" t="n">
        <v>3</v>
      </c>
      <c r="R2065" t="n">
        <v>2024.3</v>
      </c>
      <c r="S2065" t="b">
        <v>0</v>
      </c>
      <c r="T2065" t="n">
        <v>2031359</v>
      </c>
      <c r="U2065" t="n">
        <v>5</v>
      </c>
      <c r="V2065" t="n">
        <v>0.0467</v>
      </c>
      <c r="W2065" t="n">
        <v>0.7</v>
      </c>
      <c r="X2065" t="n">
        <v>60.45</v>
      </c>
      <c r="Y2065">
        <f>VLOOKUP(D2065,$AB$2:$AC$7,2,FALSE)</f>
        <v/>
      </c>
      <c r="Z2065">
        <f>IF(A2065&lt;Y2065,"Yes","No")</f>
        <v/>
      </c>
    </row>
    <row r="2066">
      <c r="A2066" t="n">
        <v>2021</v>
      </c>
      <c r="B2066" t="inlineStr">
        <is>
          <t>Q2</t>
        </is>
      </c>
      <c r="C2066" t="inlineStr">
        <is>
          <t>North America</t>
        </is>
      </c>
      <c r="D2066" t="inlineStr">
        <is>
          <t>Cybertruck</t>
        </is>
      </c>
      <c r="E2066" t="n">
        <v>855</v>
      </c>
      <c r="F2066" t="n">
        <v>115233.1</v>
      </c>
      <c r="G2066" t="n">
        <v>45</v>
      </c>
      <c r="H2066" t="inlineStr">
        <is>
          <t>Long Range</t>
        </is>
      </c>
      <c r="I2066" t="inlineStr">
        <is>
          <t>AWD</t>
        </is>
      </c>
      <c r="J2066" t="inlineStr">
        <is>
          <t>Red</t>
        </is>
      </c>
      <c r="K2066" t="n">
        <v>654</v>
      </c>
      <c r="L2066" t="n">
        <v>69</v>
      </c>
      <c r="M2066" t="n">
        <v>21.2</v>
      </c>
      <c r="N2066" t="n">
        <v>622.89</v>
      </c>
      <c r="O2066" t="n">
        <v>4.75</v>
      </c>
      <c r="P2066" t="n">
        <v>8</v>
      </c>
      <c r="Q2066" t="n">
        <v>0</v>
      </c>
      <c r="R2066" t="n">
        <v>2024.3</v>
      </c>
      <c r="S2066" t="b">
        <v>1</v>
      </c>
      <c r="T2066" t="n">
        <v>4431441</v>
      </c>
      <c r="U2066" t="n">
        <v>10</v>
      </c>
      <c r="V2066" t="n">
        <v>0.0503</v>
      </c>
      <c r="W2066" t="n">
        <v>2.3</v>
      </c>
      <c r="X2066" t="n">
        <v>81.98999999999999</v>
      </c>
      <c r="Y2066">
        <f>VLOOKUP(D2066,$AB$2:$AC$7,2,FALSE)</f>
        <v/>
      </c>
      <c r="Z2066">
        <f>IF(A2066&lt;Y2066,"Yes","No")</f>
        <v/>
      </c>
    </row>
    <row r="2067">
      <c r="A2067" t="n">
        <v>2017</v>
      </c>
      <c r="B2067" t="inlineStr">
        <is>
          <t>Q3</t>
        </is>
      </c>
      <c r="C2067" t="inlineStr">
        <is>
          <t>South America</t>
        </is>
      </c>
      <c r="D2067" t="inlineStr">
        <is>
          <t>Model 3</t>
        </is>
      </c>
      <c r="E2067" t="n">
        <v>2965</v>
      </c>
      <c r="F2067" t="n">
        <v>57498.52</v>
      </c>
      <c r="G2067" t="n">
        <v>12</v>
      </c>
      <c r="H2067" t="inlineStr">
        <is>
          <t>Long Range</t>
        </is>
      </c>
      <c r="I2067" t="inlineStr">
        <is>
          <t>RWD</t>
        </is>
      </c>
      <c r="J2067" t="inlineStr">
        <is>
          <t>Red</t>
        </is>
      </c>
      <c r="K2067" t="n">
        <v>426</v>
      </c>
      <c r="L2067" t="n">
        <v>55</v>
      </c>
      <c r="M2067" t="n">
        <v>18.12</v>
      </c>
      <c r="N2067" t="n">
        <v>5306.02</v>
      </c>
      <c r="O2067" t="n">
        <v>4.22</v>
      </c>
      <c r="P2067" t="n">
        <v>8</v>
      </c>
      <c r="Q2067" t="n">
        <v>3</v>
      </c>
      <c r="R2067" t="n">
        <v>2023.5</v>
      </c>
      <c r="S2067" t="b">
        <v>1</v>
      </c>
      <c r="T2067" t="n">
        <v>796345</v>
      </c>
      <c r="U2067" t="n">
        <v>2</v>
      </c>
      <c r="V2067" t="n">
        <v>0.0401</v>
      </c>
      <c r="W2067" t="n">
        <v>2.4</v>
      </c>
      <c r="X2067" t="n">
        <v>65.13</v>
      </c>
      <c r="Y2067">
        <f>VLOOKUP(D2067,$AB$2:$AC$7,2,FALSE)</f>
        <v/>
      </c>
      <c r="Z2067">
        <f>IF(A2067&lt;Y2067,"Yes","No")</f>
        <v/>
      </c>
    </row>
    <row r="2068">
      <c r="A2068" t="n">
        <v>2022</v>
      </c>
      <c r="B2068" t="inlineStr">
        <is>
          <t>Q2</t>
        </is>
      </c>
      <c r="C2068" t="inlineStr">
        <is>
          <t>Australia</t>
        </is>
      </c>
      <c r="D2068" t="inlineStr">
        <is>
          <t>Model 3</t>
        </is>
      </c>
      <c r="E2068" t="n">
        <v>2270</v>
      </c>
      <c r="F2068" t="n">
        <v>51067.19</v>
      </c>
      <c r="G2068" t="n">
        <v>47</v>
      </c>
      <c r="H2068" t="inlineStr">
        <is>
          <t>Long Range</t>
        </is>
      </c>
      <c r="I2068" t="inlineStr">
        <is>
          <t>RWD</t>
        </is>
      </c>
      <c r="J2068" t="inlineStr">
        <is>
          <t>Blue</t>
        </is>
      </c>
      <c r="K2068" t="n">
        <v>604</v>
      </c>
      <c r="L2068" t="n">
        <v>69</v>
      </c>
      <c r="M2068" t="n">
        <v>19.2</v>
      </c>
      <c r="N2068" t="n">
        <v>4146.03</v>
      </c>
      <c r="O2068" t="n">
        <v>4.18</v>
      </c>
      <c r="P2068" t="n">
        <v>4</v>
      </c>
      <c r="Q2068" t="n">
        <v>0</v>
      </c>
      <c r="R2068" t="n">
        <v>2023.1</v>
      </c>
      <c r="S2068" t="b">
        <v>1</v>
      </c>
      <c r="T2068" t="n">
        <v>2209265</v>
      </c>
      <c r="U2068" t="n">
        <v>2</v>
      </c>
      <c r="V2068" t="n">
        <v>0.0553</v>
      </c>
      <c r="W2068" t="n">
        <v>2.08</v>
      </c>
      <c r="X2068" t="n">
        <v>78.98999999999999</v>
      </c>
      <c r="Y2068">
        <f>VLOOKUP(D2068,$AB$2:$AC$7,2,FALSE)</f>
        <v/>
      </c>
      <c r="Z2068">
        <f>IF(A2068&lt;Y2068,"Yes","No")</f>
        <v/>
      </c>
    </row>
    <row r="2069">
      <c r="A2069" t="n">
        <v>2013</v>
      </c>
      <c r="B2069" t="inlineStr">
        <is>
          <t>Q2</t>
        </is>
      </c>
      <c r="C2069" t="inlineStr">
        <is>
          <t>Europe</t>
        </is>
      </c>
      <c r="D2069" t="inlineStr">
        <is>
          <t>Semi</t>
        </is>
      </c>
      <c r="E2069" t="n">
        <v>845</v>
      </c>
      <c r="F2069" t="n">
        <v>119436.05</v>
      </c>
      <c r="G2069" t="n">
        <v>29</v>
      </c>
      <c r="H2069" t="inlineStr">
        <is>
          <t>Performance</t>
        </is>
      </c>
      <c r="I2069" t="inlineStr">
        <is>
          <t>AWD</t>
        </is>
      </c>
      <c r="J2069" t="inlineStr">
        <is>
          <t>Red</t>
        </is>
      </c>
      <c r="K2069" t="n">
        <v>637</v>
      </c>
      <c r="L2069" t="n">
        <v>41</v>
      </c>
      <c r="M2069" t="n">
        <v>21.06</v>
      </c>
      <c r="N2069" t="n">
        <v>1760.06</v>
      </c>
      <c r="O2069" t="n">
        <v>4.08</v>
      </c>
      <c r="P2069" t="n">
        <v>8</v>
      </c>
      <c r="Q2069" t="n">
        <v>1</v>
      </c>
      <c r="R2069" t="n">
        <v>2020.2</v>
      </c>
      <c r="S2069" t="b">
        <v>0</v>
      </c>
      <c r="T2069" t="n">
        <v>1366927</v>
      </c>
      <c r="U2069" t="n">
        <v>11</v>
      </c>
      <c r="V2069" t="n">
        <v>0.083</v>
      </c>
      <c r="W2069" t="n">
        <v>1.15</v>
      </c>
      <c r="X2069" t="n">
        <v>63.51</v>
      </c>
      <c r="Y2069">
        <f>VLOOKUP(D2069,$AB$2:$AC$7,2,FALSE)</f>
        <v/>
      </c>
      <c r="Z2069">
        <f>IF(A2069&lt;Y2069,"Yes","No")</f>
        <v/>
      </c>
    </row>
    <row r="2070">
      <c r="A2070" t="n">
        <v>2014</v>
      </c>
      <c r="B2070" t="inlineStr">
        <is>
          <t>Q4</t>
        </is>
      </c>
      <c r="C2070" t="inlineStr">
        <is>
          <t>Australia</t>
        </is>
      </c>
      <c r="D2070" t="inlineStr">
        <is>
          <t>Model S</t>
        </is>
      </c>
      <c r="E2070" t="n">
        <v>4655</v>
      </c>
      <c r="F2070" t="n">
        <v>112879.42</v>
      </c>
      <c r="G2070" t="n">
        <v>26</v>
      </c>
      <c r="H2070" t="inlineStr">
        <is>
          <t>Performance</t>
        </is>
      </c>
      <c r="I2070" t="inlineStr">
        <is>
          <t>RWD</t>
        </is>
      </c>
      <c r="J2070" t="inlineStr">
        <is>
          <t>Red</t>
        </is>
      </c>
      <c r="K2070" t="n">
        <v>394</v>
      </c>
      <c r="L2070" t="n">
        <v>84</v>
      </c>
      <c r="M2070" t="n">
        <v>24.57</v>
      </c>
      <c r="N2070" t="n">
        <v>7491.54</v>
      </c>
      <c r="O2070" t="n">
        <v>3.5</v>
      </c>
      <c r="P2070" t="n">
        <v>5</v>
      </c>
      <c r="Q2070" t="n">
        <v>0</v>
      </c>
      <c r="R2070" t="n">
        <v>2024.3</v>
      </c>
      <c r="S2070" t="b">
        <v>0</v>
      </c>
      <c r="T2070" t="n">
        <v>3380619</v>
      </c>
      <c r="U2070" t="n">
        <v>9</v>
      </c>
      <c r="V2070" t="n">
        <v>0.0295</v>
      </c>
      <c r="W2070" t="n">
        <v>1.32</v>
      </c>
      <c r="X2070" t="n">
        <v>83.23999999999999</v>
      </c>
      <c r="Y2070">
        <f>VLOOKUP(D2070,$AB$2:$AC$7,2,FALSE)</f>
        <v/>
      </c>
      <c r="Z2070">
        <f>IF(A2070&lt;Y2070,"Yes","No")</f>
        <v/>
      </c>
    </row>
    <row r="2071">
      <c r="A2071" t="n">
        <v>2018</v>
      </c>
      <c r="B2071" t="inlineStr">
        <is>
          <t>Q2</t>
        </is>
      </c>
      <c r="C2071" t="inlineStr">
        <is>
          <t>Europe</t>
        </is>
      </c>
      <c r="D2071" t="inlineStr">
        <is>
          <t>Model 3</t>
        </is>
      </c>
      <c r="E2071" t="n">
        <v>4827</v>
      </c>
      <c r="F2071" t="n">
        <v>85619.82000000001</v>
      </c>
      <c r="G2071" t="n">
        <v>22</v>
      </c>
      <c r="H2071" t="inlineStr">
        <is>
          <t>Standard</t>
        </is>
      </c>
      <c r="I2071" t="inlineStr">
        <is>
          <t>RWD</t>
        </is>
      </c>
      <c r="J2071" t="inlineStr">
        <is>
          <t>Blue</t>
        </is>
      </c>
      <c r="K2071" t="n">
        <v>557</v>
      </c>
      <c r="L2071" t="n">
        <v>71</v>
      </c>
      <c r="M2071" t="n">
        <v>24.97</v>
      </c>
      <c r="N2071" t="n">
        <v>6547.42</v>
      </c>
      <c r="O2071" t="n">
        <v>4.69</v>
      </c>
      <c r="P2071" t="n">
        <v>6</v>
      </c>
      <c r="Q2071" t="n">
        <v>2</v>
      </c>
      <c r="R2071" t="n">
        <v>2020.9</v>
      </c>
      <c r="S2071" t="b">
        <v>1</v>
      </c>
      <c r="T2071" t="n">
        <v>409690</v>
      </c>
      <c r="U2071" t="n">
        <v>7</v>
      </c>
      <c r="V2071" t="n">
        <v>0.0848</v>
      </c>
      <c r="W2071" t="n">
        <v>0.6</v>
      </c>
      <c r="X2071" t="n">
        <v>78.25</v>
      </c>
      <c r="Y2071">
        <f>VLOOKUP(D2071,$AB$2:$AC$7,2,FALSE)</f>
        <v/>
      </c>
      <c r="Z2071">
        <f>IF(A2071&lt;Y2071,"Yes","No")</f>
        <v/>
      </c>
    </row>
    <row r="2072">
      <c r="A2072" t="n">
        <v>2020</v>
      </c>
      <c r="B2072" t="inlineStr">
        <is>
          <t>Q2</t>
        </is>
      </c>
      <c r="C2072" t="inlineStr">
        <is>
          <t>North America</t>
        </is>
      </c>
      <c r="D2072" t="inlineStr">
        <is>
          <t>Model Y</t>
        </is>
      </c>
      <c r="E2072" t="n">
        <v>1580</v>
      </c>
      <c r="F2072" t="n">
        <v>65660.10000000001</v>
      </c>
      <c r="G2072" t="n">
        <v>44</v>
      </c>
      <c r="H2072" t="inlineStr">
        <is>
          <t>Performance</t>
        </is>
      </c>
      <c r="I2072" t="inlineStr">
        <is>
          <t>AWD</t>
        </is>
      </c>
      <c r="J2072" t="inlineStr">
        <is>
          <t>White</t>
        </is>
      </c>
      <c r="K2072" t="n">
        <v>539</v>
      </c>
      <c r="L2072" t="n">
        <v>87</v>
      </c>
      <c r="M2072" t="n">
        <v>18.17</v>
      </c>
      <c r="N2072" t="n">
        <v>1722.18</v>
      </c>
      <c r="O2072" t="n">
        <v>4.7</v>
      </c>
      <c r="P2072" t="n">
        <v>6</v>
      </c>
      <c r="Q2072" t="n">
        <v>0</v>
      </c>
      <c r="R2072" t="n">
        <v>2021.5</v>
      </c>
      <c r="S2072" t="b">
        <v>1</v>
      </c>
      <c r="T2072" t="n">
        <v>3604593</v>
      </c>
      <c r="U2072" t="n">
        <v>3</v>
      </c>
      <c r="V2072" t="n">
        <v>0.0453</v>
      </c>
      <c r="W2072" t="n">
        <v>1.24</v>
      </c>
      <c r="X2072" t="n">
        <v>80.97</v>
      </c>
      <c r="Y2072">
        <f>VLOOKUP(D2072,$AB$2:$AC$7,2,FALSE)</f>
        <v/>
      </c>
      <c r="Z2072">
        <f>IF(A2072&lt;Y2072,"Yes","No")</f>
        <v/>
      </c>
    </row>
    <row r="2073">
      <c r="A2073" t="n">
        <v>2021</v>
      </c>
      <c r="B2073" t="inlineStr">
        <is>
          <t>Q1</t>
        </is>
      </c>
      <c r="C2073" t="inlineStr">
        <is>
          <t>Australia</t>
        </is>
      </c>
      <c r="D2073" t="inlineStr">
        <is>
          <t>Model Y</t>
        </is>
      </c>
      <c r="E2073" t="n">
        <v>805</v>
      </c>
      <c r="F2073" t="n">
        <v>84407.19</v>
      </c>
      <c r="G2073" t="n">
        <v>48</v>
      </c>
      <c r="H2073" t="inlineStr">
        <is>
          <t>Performance</t>
        </is>
      </c>
      <c r="I2073" t="inlineStr">
        <is>
          <t>AWD</t>
        </is>
      </c>
      <c r="J2073" t="inlineStr">
        <is>
          <t>Green</t>
        </is>
      </c>
      <c r="K2073" t="n">
        <v>508</v>
      </c>
      <c r="L2073" t="n">
        <v>69</v>
      </c>
      <c r="M2073" t="n">
        <v>23.53</v>
      </c>
      <c r="N2073" t="n">
        <v>741.4</v>
      </c>
      <c r="O2073" t="n">
        <v>4.24</v>
      </c>
      <c r="P2073" t="n">
        <v>6</v>
      </c>
      <c r="Q2073" t="n">
        <v>0</v>
      </c>
      <c r="R2073" t="n">
        <v>2021.3</v>
      </c>
      <c r="S2073" t="b">
        <v>1</v>
      </c>
      <c r="T2073" t="n">
        <v>3874191</v>
      </c>
      <c r="U2073" t="n">
        <v>9</v>
      </c>
      <c r="V2073" t="n">
        <v>0.0351</v>
      </c>
      <c r="W2073" t="n">
        <v>2.17</v>
      </c>
      <c r="X2073" t="n">
        <v>80.87</v>
      </c>
      <c r="Y2073">
        <f>VLOOKUP(D2073,$AB$2:$AC$7,2,FALSE)</f>
        <v/>
      </c>
      <c r="Z2073">
        <f>IF(A2073&lt;Y2073,"Yes","No")</f>
        <v/>
      </c>
    </row>
    <row r="2074">
      <c r="A2074" t="n">
        <v>2013</v>
      </c>
      <c r="B2074" t="inlineStr">
        <is>
          <t>Q4</t>
        </is>
      </c>
      <c r="C2074" t="inlineStr">
        <is>
          <t>Australia</t>
        </is>
      </c>
      <c r="D2074" t="inlineStr">
        <is>
          <t>Model Y</t>
        </is>
      </c>
      <c r="E2074" t="n">
        <v>2776</v>
      </c>
      <c r="F2074" t="n">
        <v>66564.73</v>
      </c>
      <c r="G2074" t="n">
        <v>44</v>
      </c>
      <c r="H2074" t="inlineStr">
        <is>
          <t>Performance</t>
        </is>
      </c>
      <c r="I2074" t="inlineStr">
        <is>
          <t>AWD</t>
        </is>
      </c>
      <c r="J2074" t="inlineStr">
        <is>
          <t>White</t>
        </is>
      </c>
      <c r="K2074" t="n">
        <v>446</v>
      </c>
      <c r="L2074" t="n">
        <v>82</v>
      </c>
      <c r="M2074" t="n">
        <v>18.92</v>
      </c>
      <c r="N2074" t="n">
        <v>4950.64</v>
      </c>
      <c r="O2074" t="n">
        <v>3.8</v>
      </c>
      <c r="P2074" t="n">
        <v>4</v>
      </c>
      <c r="Q2074" t="n">
        <v>2</v>
      </c>
      <c r="R2074" t="n">
        <v>2023.6</v>
      </c>
      <c r="S2074" t="b">
        <v>1</v>
      </c>
      <c r="T2074" t="n">
        <v>1587829</v>
      </c>
      <c r="U2074" t="n">
        <v>11</v>
      </c>
      <c r="V2074" t="n">
        <v>0.039</v>
      </c>
      <c r="W2074" t="n">
        <v>1.93</v>
      </c>
      <c r="X2074" t="n">
        <v>67.43000000000001</v>
      </c>
      <c r="Y2074">
        <f>VLOOKUP(D2074,$AB$2:$AC$7,2,FALSE)</f>
        <v/>
      </c>
      <c r="Z2074">
        <f>IF(A2074&lt;Y2074,"Yes","No")</f>
        <v/>
      </c>
    </row>
    <row r="2075">
      <c r="A2075" t="n">
        <v>2020</v>
      </c>
      <c r="B2075" t="inlineStr">
        <is>
          <t>Q4</t>
        </is>
      </c>
      <c r="C2075" t="inlineStr">
        <is>
          <t>North America</t>
        </is>
      </c>
      <c r="D2075" t="inlineStr">
        <is>
          <t>Model 3</t>
        </is>
      </c>
      <c r="E2075" t="n">
        <v>4827</v>
      </c>
      <c r="F2075" t="n">
        <v>40005.47</v>
      </c>
      <c r="G2075" t="n">
        <v>27</v>
      </c>
      <c r="H2075" t="inlineStr">
        <is>
          <t>Long Range</t>
        </is>
      </c>
      <c r="I2075" t="inlineStr">
        <is>
          <t>RWD</t>
        </is>
      </c>
      <c r="J2075" t="inlineStr">
        <is>
          <t>Silver</t>
        </is>
      </c>
      <c r="K2075" t="n">
        <v>569</v>
      </c>
      <c r="L2075" t="n">
        <v>58</v>
      </c>
      <c r="M2075" t="n">
        <v>23.2</v>
      </c>
      <c r="N2075" t="n">
        <v>10933.05</v>
      </c>
      <c r="O2075" t="n">
        <v>4.21</v>
      </c>
      <c r="P2075" t="n">
        <v>6</v>
      </c>
      <c r="Q2075" t="n">
        <v>1</v>
      </c>
      <c r="R2075" t="n">
        <v>2022.2</v>
      </c>
      <c r="S2075" t="b">
        <v>0</v>
      </c>
      <c r="T2075" t="n">
        <v>2183168</v>
      </c>
      <c r="U2075" t="n">
        <v>6</v>
      </c>
      <c r="V2075" t="n">
        <v>0.06950000000000001</v>
      </c>
      <c r="W2075" t="n">
        <v>2.46</v>
      </c>
      <c r="X2075" t="n">
        <v>74.81</v>
      </c>
      <c r="Y2075">
        <f>VLOOKUP(D2075,$AB$2:$AC$7,2,FALSE)</f>
        <v/>
      </c>
      <c r="Z2075">
        <f>IF(A2075&lt;Y2075,"Yes","No")</f>
        <v/>
      </c>
    </row>
    <row r="2076">
      <c r="A2076" t="n">
        <v>2015</v>
      </c>
      <c r="B2076" t="inlineStr">
        <is>
          <t>Q2</t>
        </is>
      </c>
      <c r="C2076" t="inlineStr">
        <is>
          <t>Australia</t>
        </is>
      </c>
      <c r="D2076" t="inlineStr">
        <is>
          <t>Model S</t>
        </is>
      </c>
      <c r="E2076" t="n">
        <v>4294</v>
      </c>
      <c r="F2076" t="n">
        <v>43895.56</v>
      </c>
      <c r="G2076" t="n">
        <v>3</v>
      </c>
      <c r="H2076" t="inlineStr">
        <is>
          <t>Long Range</t>
        </is>
      </c>
      <c r="I2076" t="inlineStr">
        <is>
          <t>AWD</t>
        </is>
      </c>
      <c r="J2076" t="inlineStr">
        <is>
          <t>Green</t>
        </is>
      </c>
      <c r="K2076" t="n">
        <v>363</v>
      </c>
      <c r="L2076" t="n">
        <v>43</v>
      </c>
      <c r="M2076" t="n">
        <v>18.91</v>
      </c>
      <c r="N2076" t="n">
        <v>2911.31</v>
      </c>
      <c r="O2076" t="n">
        <v>3.5</v>
      </c>
      <c r="P2076" t="n">
        <v>4</v>
      </c>
      <c r="Q2076" t="n">
        <v>1</v>
      </c>
      <c r="R2076" t="n">
        <v>2021.1</v>
      </c>
      <c r="S2076" t="b">
        <v>1</v>
      </c>
      <c r="T2076" t="n">
        <v>2107673</v>
      </c>
      <c r="U2076" t="n">
        <v>6</v>
      </c>
      <c r="V2076" t="n">
        <v>0.0916</v>
      </c>
      <c r="W2076" t="n">
        <v>2.13</v>
      </c>
      <c r="X2076" t="n">
        <v>72.15000000000001</v>
      </c>
      <c r="Y2076">
        <f>VLOOKUP(D2076,$AB$2:$AC$7,2,FALSE)</f>
        <v/>
      </c>
      <c r="Z2076">
        <f>IF(A2076&lt;Y2076,"Yes","No")</f>
        <v/>
      </c>
    </row>
    <row r="2077">
      <c r="A2077" t="n">
        <v>2021</v>
      </c>
      <c r="B2077" t="inlineStr">
        <is>
          <t>Q1</t>
        </is>
      </c>
      <c r="C2077" t="inlineStr">
        <is>
          <t>South America</t>
        </is>
      </c>
      <c r="D2077" t="inlineStr">
        <is>
          <t>Model Y</t>
        </is>
      </c>
      <c r="E2077" t="n">
        <v>2896</v>
      </c>
      <c r="F2077" t="n">
        <v>76570.57000000001</v>
      </c>
      <c r="G2077" t="n">
        <v>33</v>
      </c>
      <c r="H2077" t="inlineStr">
        <is>
          <t>Performance</t>
        </is>
      </c>
      <c r="I2077" t="inlineStr">
        <is>
          <t>RWD</t>
        </is>
      </c>
      <c r="J2077" t="inlineStr">
        <is>
          <t>Red</t>
        </is>
      </c>
      <c r="K2077" t="n">
        <v>555</v>
      </c>
      <c r="L2077" t="n">
        <v>55</v>
      </c>
      <c r="M2077" t="n">
        <v>14.01</v>
      </c>
      <c r="N2077" t="n">
        <v>1555.01</v>
      </c>
      <c r="O2077" t="n">
        <v>4.82</v>
      </c>
      <c r="P2077" t="n">
        <v>6</v>
      </c>
      <c r="Q2077" t="n">
        <v>2</v>
      </c>
      <c r="R2077" t="n">
        <v>2022.1</v>
      </c>
      <c r="S2077" t="b">
        <v>1</v>
      </c>
      <c r="T2077" t="n">
        <v>2454652</v>
      </c>
      <c r="U2077" t="n">
        <v>5</v>
      </c>
      <c r="V2077" t="n">
        <v>0.0806</v>
      </c>
      <c r="W2077" t="n">
        <v>1.08</v>
      </c>
      <c r="X2077" t="n">
        <v>80.14</v>
      </c>
      <c r="Y2077">
        <f>VLOOKUP(D2077,$AB$2:$AC$7,2,FALSE)</f>
        <v/>
      </c>
      <c r="Z2077">
        <f>IF(A2077&lt;Y2077,"Yes","No")</f>
        <v/>
      </c>
    </row>
    <row r="2078">
      <c r="A2078" t="n">
        <v>2018</v>
      </c>
      <c r="B2078" t="inlineStr">
        <is>
          <t>Q1</t>
        </is>
      </c>
      <c r="C2078" t="inlineStr">
        <is>
          <t>Australia</t>
        </is>
      </c>
      <c r="D2078" t="inlineStr">
        <is>
          <t>Semi</t>
        </is>
      </c>
      <c r="E2078" t="n">
        <v>1207</v>
      </c>
      <c r="F2078" t="n">
        <v>45636.72</v>
      </c>
      <c r="G2078" t="n">
        <v>10</v>
      </c>
      <c r="H2078" t="inlineStr">
        <is>
          <t>Long Range</t>
        </is>
      </c>
      <c r="I2078" t="inlineStr">
        <is>
          <t>RWD</t>
        </is>
      </c>
      <c r="J2078" t="inlineStr">
        <is>
          <t>Black</t>
        </is>
      </c>
      <c r="K2078" t="n">
        <v>570</v>
      </c>
      <c r="L2078" t="n">
        <v>36</v>
      </c>
      <c r="M2078" t="n">
        <v>13.22</v>
      </c>
      <c r="N2078" t="n">
        <v>1251.82</v>
      </c>
      <c r="O2078" t="n">
        <v>4.47</v>
      </c>
      <c r="P2078" t="n">
        <v>4</v>
      </c>
      <c r="Q2078" t="n">
        <v>1</v>
      </c>
      <c r="R2078" t="n">
        <v>2023.1</v>
      </c>
      <c r="S2078" t="b">
        <v>1</v>
      </c>
      <c r="T2078" t="n">
        <v>4489111</v>
      </c>
      <c r="U2078" t="n">
        <v>12</v>
      </c>
      <c r="V2078" t="n">
        <v>0.0372</v>
      </c>
      <c r="W2078" t="n">
        <v>2.09</v>
      </c>
      <c r="X2078" t="n">
        <v>70.67</v>
      </c>
      <c r="Y2078">
        <f>VLOOKUP(D2078,$AB$2:$AC$7,2,FALSE)</f>
        <v/>
      </c>
      <c r="Z2078">
        <f>IF(A2078&lt;Y2078,"Yes","No")</f>
        <v/>
      </c>
    </row>
    <row r="2079">
      <c r="A2079" t="n">
        <v>2017</v>
      </c>
      <c r="B2079" t="inlineStr">
        <is>
          <t>Q2</t>
        </is>
      </c>
      <c r="C2079" t="inlineStr">
        <is>
          <t>North America</t>
        </is>
      </c>
      <c r="D2079" t="inlineStr">
        <is>
          <t>Semi</t>
        </is>
      </c>
      <c r="E2079" t="n">
        <v>4395</v>
      </c>
      <c r="F2079" t="n">
        <v>84958.91</v>
      </c>
      <c r="G2079" t="n">
        <v>24</v>
      </c>
      <c r="H2079" t="inlineStr">
        <is>
          <t>Performance</t>
        </is>
      </c>
      <c r="I2079" t="inlineStr">
        <is>
          <t>RWD</t>
        </is>
      </c>
      <c r="J2079" t="inlineStr">
        <is>
          <t>White</t>
        </is>
      </c>
      <c r="K2079" t="n">
        <v>669</v>
      </c>
      <c r="L2079" t="n">
        <v>66</v>
      </c>
      <c r="M2079" t="n">
        <v>23.77</v>
      </c>
      <c r="N2079" t="n">
        <v>9667.34</v>
      </c>
      <c r="O2079" t="n">
        <v>4.5</v>
      </c>
      <c r="P2079" t="n">
        <v>8</v>
      </c>
      <c r="Q2079" t="n">
        <v>2</v>
      </c>
      <c r="R2079" t="n">
        <v>2022.4</v>
      </c>
      <c r="S2079" t="b">
        <v>1</v>
      </c>
      <c r="T2079" t="n">
        <v>4564766</v>
      </c>
      <c r="U2079" t="n">
        <v>2</v>
      </c>
      <c r="V2079" t="n">
        <v>0.0259</v>
      </c>
      <c r="W2079" t="n">
        <v>1.58</v>
      </c>
      <c r="X2079" t="n">
        <v>76.69</v>
      </c>
      <c r="Y2079">
        <f>VLOOKUP(D2079,$AB$2:$AC$7,2,FALSE)</f>
        <v/>
      </c>
      <c r="Z2079">
        <f>IF(A2079&lt;Y2079,"Yes","No")</f>
        <v/>
      </c>
    </row>
    <row r="2080">
      <c r="A2080" t="n">
        <v>2018</v>
      </c>
      <c r="B2080" t="inlineStr">
        <is>
          <t>Q1</t>
        </is>
      </c>
      <c r="C2080" t="inlineStr">
        <is>
          <t>Asia</t>
        </is>
      </c>
      <c r="D2080" t="inlineStr">
        <is>
          <t>Model X</t>
        </is>
      </c>
      <c r="E2080" t="n">
        <v>2139</v>
      </c>
      <c r="F2080" t="n">
        <v>54027.9</v>
      </c>
      <c r="G2080" t="n">
        <v>45</v>
      </c>
      <c r="H2080" t="inlineStr">
        <is>
          <t>Standard</t>
        </is>
      </c>
      <c r="I2080" t="inlineStr">
        <is>
          <t>RWD</t>
        </is>
      </c>
      <c r="J2080" t="inlineStr">
        <is>
          <t>Black</t>
        </is>
      </c>
      <c r="K2080" t="n">
        <v>543</v>
      </c>
      <c r="L2080" t="n">
        <v>79</v>
      </c>
      <c r="M2080" t="n">
        <v>20.73</v>
      </c>
      <c r="N2080" t="n">
        <v>1227.77</v>
      </c>
      <c r="O2080" t="n">
        <v>4.95</v>
      </c>
      <c r="P2080" t="n">
        <v>4</v>
      </c>
      <c r="Q2080" t="n">
        <v>2</v>
      </c>
      <c r="R2080" t="n">
        <v>2023.6</v>
      </c>
      <c r="S2080" t="b">
        <v>1</v>
      </c>
      <c r="T2080" t="n">
        <v>4024565</v>
      </c>
      <c r="U2080" t="n">
        <v>11</v>
      </c>
      <c r="V2080" t="n">
        <v>0.0375</v>
      </c>
      <c r="W2080" t="n">
        <v>1.28</v>
      </c>
      <c r="X2080" t="n">
        <v>66.48</v>
      </c>
      <c r="Y2080">
        <f>VLOOKUP(D2080,$AB$2:$AC$7,2,FALSE)</f>
        <v/>
      </c>
      <c r="Z2080">
        <f>IF(A2080&lt;Y2080,"Yes","No")</f>
        <v/>
      </c>
    </row>
    <row r="2081">
      <c r="A2081" t="n">
        <v>2020</v>
      </c>
      <c r="B2081" t="inlineStr">
        <is>
          <t>Q2</t>
        </is>
      </c>
      <c r="C2081" t="inlineStr">
        <is>
          <t>Asia</t>
        </is>
      </c>
      <c r="D2081" t="inlineStr">
        <is>
          <t>Model 3</t>
        </is>
      </c>
      <c r="E2081" t="n">
        <v>4739</v>
      </c>
      <c r="F2081" t="n">
        <v>36363.19</v>
      </c>
      <c r="G2081" t="n">
        <v>10</v>
      </c>
      <c r="H2081" t="inlineStr">
        <is>
          <t>Long Range</t>
        </is>
      </c>
      <c r="I2081" t="inlineStr">
        <is>
          <t>AWD</t>
        </is>
      </c>
      <c r="J2081" t="inlineStr">
        <is>
          <t>Green</t>
        </is>
      </c>
      <c r="K2081" t="n">
        <v>599</v>
      </c>
      <c r="L2081" t="n">
        <v>64</v>
      </c>
      <c r="M2081" t="n">
        <v>24.24</v>
      </c>
      <c r="N2081" t="n">
        <v>5609.96</v>
      </c>
      <c r="O2081" t="n">
        <v>4.77</v>
      </c>
      <c r="P2081" t="n">
        <v>6</v>
      </c>
      <c r="Q2081" t="n">
        <v>3</v>
      </c>
      <c r="R2081" t="n">
        <v>2020.6</v>
      </c>
      <c r="S2081" t="b">
        <v>1</v>
      </c>
      <c r="T2081" t="n">
        <v>1439233</v>
      </c>
      <c r="U2081" t="n">
        <v>3</v>
      </c>
      <c r="V2081" t="n">
        <v>0.078</v>
      </c>
      <c r="W2081" t="n">
        <v>1.35</v>
      </c>
      <c r="X2081" t="n">
        <v>72.09999999999999</v>
      </c>
      <c r="Y2081">
        <f>VLOOKUP(D2081,$AB$2:$AC$7,2,FALSE)</f>
        <v/>
      </c>
      <c r="Z2081">
        <f>IF(A2081&lt;Y2081,"Yes","No")</f>
        <v/>
      </c>
    </row>
    <row r="2082">
      <c r="A2082" t="n">
        <v>2012</v>
      </c>
      <c r="B2082" t="inlineStr">
        <is>
          <t>Q4</t>
        </is>
      </c>
      <c r="C2082" t="inlineStr">
        <is>
          <t>North America</t>
        </is>
      </c>
      <c r="D2082" t="inlineStr">
        <is>
          <t>Model S</t>
        </is>
      </c>
      <c r="E2082" t="n">
        <v>211</v>
      </c>
      <c r="F2082" t="n">
        <v>67138.02</v>
      </c>
      <c r="G2082" t="n">
        <v>57</v>
      </c>
      <c r="H2082" t="inlineStr">
        <is>
          <t>Long Range</t>
        </is>
      </c>
      <c r="I2082" t="inlineStr">
        <is>
          <t>RWD</t>
        </is>
      </c>
      <c r="J2082" t="inlineStr">
        <is>
          <t>Silver</t>
        </is>
      </c>
      <c r="K2082" t="n">
        <v>668</v>
      </c>
      <c r="L2082" t="n">
        <v>58</v>
      </c>
      <c r="M2082" t="n">
        <v>19.02</v>
      </c>
      <c r="N2082" t="n">
        <v>173.05</v>
      </c>
      <c r="O2082" t="n">
        <v>3.97</v>
      </c>
      <c r="P2082" t="n">
        <v>6</v>
      </c>
      <c r="Q2082" t="n">
        <v>3</v>
      </c>
      <c r="R2082" t="n">
        <v>2022.9</v>
      </c>
      <c r="S2082" t="b">
        <v>1</v>
      </c>
      <c r="T2082" t="n">
        <v>4937160</v>
      </c>
      <c r="U2082" t="n">
        <v>5</v>
      </c>
      <c r="V2082" t="n">
        <v>0.0601</v>
      </c>
      <c r="W2082" t="n">
        <v>1.16</v>
      </c>
      <c r="X2082" t="n">
        <v>81.06999999999999</v>
      </c>
      <c r="Y2082">
        <f>VLOOKUP(D2082,$AB$2:$AC$7,2,FALSE)</f>
        <v/>
      </c>
      <c r="Z2082">
        <f>IF(A2082&lt;Y2082,"Yes","No")</f>
        <v/>
      </c>
    </row>
    <row r="2083">
      <c r="A2083" t="n">
        <v>2012</v>
      </c>
      <c r="B2083" t="inlineStr">
        <is>
          <t>Q3</t>
        </is>
      </c>
      <c r="C2083" t="inlineStr">
        <is>
          <t>Asia</t>
        </is>
      </c>
      <c r="D2083" t="inlineStr">
        <is>
          <t>Semi</t>
        </is>
      </c>
      <c r="E2083" t="n">
        <v>2808</v>
      </c>
      <c r="F2083" t="n">
        <v>36509.82</v>
      </c>
      <c r="G2083" t="n">
        <v>14</v>
      </c>
      <c r="H2083" t="inlineStr">
        <is>
          <t>Performance</t>
        </is>
      </c>
      <c r="I2083" t="inlineStr">
        <is>
          <t>RWD</t>
        </is>
      </c>
      <c r="J2083" t="inlineStr">
        <is>
          <t>Black</t>
        </is>
      </c>
      <c r="K2083" t="n">
        <v>619</v>
      </c>
      <c r="L2083" t="n">
        <v>86</v>
      </c>
      <c r="M2083" t="n">
        <v>23.86</v>
      </c>
      <c r="N2083" t="n">
        <v>5596.36</v>
      </c>
      <c r="O2083" t="n">
        <v>4.07</v>
      </c>
      <c r="P2083" t="n">
        <v>8</v>
      </c>
      <c r="Q2083" t="n">
        <v>0</v>
      </c>
      <c r="R2083" t="n">
        <v>2024.2</v>
      </c>
      <c r="S2083" t="b">
        <v>0</v>
      </c>
      <c r="T2083" t="n">
        <v>2568041</v>
      </c>
      <c r="U2083" t="n">
        <v>11</v>
      </c>
      <c r="V2083" t="n">
        <v>0.0578</v>
      </c>
      <c r="W2083" t="n">
        <v>2.49</v>
      </c>
      <c r="X2083" t="n">
        <v>64.12</v>
      </c>
      <c r="Y2083">
        <f>VLOOKUP(D2083,$AB$2:$AC$7,2,FALSE)</f>
        <v/>
      </c>
      <c r="Z2083">
        <f>IF(A2083&lt;Y2083,"Yes","No")</f>
        <v/>
      </c>
    </row>
    <row r="2084">
      <c r="A2084" t="n">
        <v>2023</v>
      </c>
      <c r="B2084" t="inlineStr">
        <is>
          <t>Q4</t>
        </is>
      </c>
      <c r="C2084" t="inlineStr">
        <is>
          <t>Asia</t>
        </is>
      </c>
      <c r="D2084" t="inlineStr">
        <is>
          <t>Model 3</t>
        </is>
      </c>
      <c r="E2084" t="n">
        <v>1551</v>
      </c>
      <c r="F2084" t="n">
        <v>93423.19</v>
      </c>
      <c r="G2084" t="n">
        <v>45</v>
      </c>
      <c r="H2084" t="inlineStr">
        <is>
          <t>Standard</t>
        </is>
      </c>
      <c r="I2084" t="inlineStr">
        <is>
          <t>AWD</t>
        </is>
      </c>
      <c r="J2084" t="inlineStr">
        <is>
          <t>White</t>
        </is>
      </c>
      <c r="K2084" t="n">
        <v>689</v>
      </c>
      <c r="L2084" t="n">
        <v>89</v>
      </c>
      <c r="M2084" t="n">
        <v>15.42</v>
      </c>
      <c r="N2084" t="n">
        <v>2262.51</v>
      </c>
      <c r="O2084" t="n">
        <v>4.2</v>
      </c>
      <c r="P2084" t="n">
        <v>4</v>
      </c>
      <c r="Q2084" t="n">
        <v>0</v>
      </c>
      <c r="R2084" t="n">
        <v>2022.12</v>
      </c>
      <c r="S2084" t="b">
        <v>0</v>
      </c>
      <c r="T2084" t="n">
        <v>4431758</v>
      </c>
      <c r="U2084" t="n">
        <v>8</v>
      </c>
      <c r="V2084" t="n">
        <v>0.0949</v>
      </c>
      <c r="W2084" t="n">
        <v>0.65</v>
      </c>
      <c r="X2084" t="n">
        <v>61.86</v>
      </c>
      <c r="Y2084">
        <f>VLOOKUP(D2084,$AB$2:$AC$7,2,FALSE)</f>
        <v/>
      </c>
      <c r="Z2084">
        <f>IF(A2084&lt;Y2084,"Yes","No")</f>
        <v/>
      </c>
    </row>
    <row r="2085">
      <c r="A2085" t="n">
        <v>2023</v>
      </c>
      <c r="B2085" t="inlineStr">
        <is>
          <t>Q2</t>
        </is>
      </c>
      <c r="C2085" t="inlineStr">
        <is>
          <t>Europe</t>
        </is>
      </c>
      <c r="D2085" t="inlineStr">
        <is>
          <t>Model X</t>
        </is>
      </c>
      <c r="E2085" t="n">
        <v>2661</v>
      </c>
      <c r="F2085" t="n">
        <v>40987.34</v>
      </c>
      <c r="G2085" t="n">
        <v>38</v>
      </c>
      <c r="H2085" t="inlineStr">
        <is>
          <t>Performance</t>
        </is>
      </c>
      <c r="I2085" t="inlineStr">
        <is>
          <t>AWD</t>
        </is>
      </c>
      <c r="J2085" t="inlineStr">
        <is>
          <t>Silver</t>
        </is>
      </c>
      <c r="K2085" t="n">
        <v>680</v>
      </c>
      <c r="L2085" t="n">
        <v>77</v>
      </c>
      <c r="M2085" t="n">
        <v>16.02</v>
      </c>
      <c r="N2085" t="n">
        <v>2785.4</v>
      </c>
      <c r="O2085" t="n">
        <v>3.63</v>
      </c>
      <c r="P2085" t="n">
        <v>5</v>
      </c>
      <c r="Q2085" t="n">
        <v>1</v>
      </c>
      <c r="R2085" t="n">
        <v>2023.9</v>
      </c>
      <c r="S2085" t="b">
        <v>1</v>
      </c>
      <c r="T2085" t="n">
        <v>2652816</v>
      </c>
      <c r="U2085" t="n">
        <v>12</v>
      </c>
      <c r="V2085" t="n">
        <v>0.0542</v>
      </c>
      <c r="W2085" t="n">
        <v>2.31</v>
      </c>
      <c r="X2085" t="n">
        <v>69.23</v>
      </c>
      <c r="Y2085">
        <f>VLOOKUP(D2085,$AB$2:$AC$7,2,FALSE)</f>
        <v/>
      </c>
      <c r="Z2085">
        <f>IF(A2085&lt;Y2085,"Yes","No")</f>
        <v/>
      </c>
    </row>
    <row r="2086">
      <c r="A2086" t="n">
        <v>2017</v>
      </c>
      <c r="B2086" t="inlineStr">
        <is>
          <t>Q1</t>
        </is>
      </c>
      <c r="C2086" t="inlineStr">
        <is>
          <t>Australia</t>
        </is>
      </c>
      <c r="D2086" t="inlineStr">
        <is>
          <t>Model X</t>
        </is>
      </c>
      <c r="E2086" t="n">
        <v>1871</v>
      </c>
      <c r="F2086" t="n">
        <v>79740.7</v>
      </c>
      <c r="G2086" t="n">
        <v>8</v>
      </c>
      <c r="H2086" t="inlineStr">
        <is>
          <t>Standard</t>
        </is>
      </c>
      <c r="I2086" t="inlineStr">
        <is>
          <t>AWD</t>
        </is>
      </c>
      <c r="J2086" t="inlineStr">
        <is>
          <t>Silver</t>
        </is>
      </c>
      <c r="K2086" t="n">
        <v>532</v>
      </c>
      <c r="L2086" t="n">
        <v>82</v>
      </c>
      <c r="M2086" t="n">
        <v>21.08</v>
      </c>
      <c r="N2086" t="n">
        <v>3369.17</v>
      </c>
      <c r="O2086" t="n">
        <v>4.7</v>
      </c>
      <c r="P2086" t="n">
        <v>8</v>
      </c>
      <c r="Q2086" t="n">
        <v>3</v>
      </c>
      <c r="R2086" t="n">
        <v>2023.8</v>
      </c>
      <c r="S2086" t="b">
        <v>0</v>
      </c>
      <c r="T2086" t="n">
        <v>2902204</v>
      </c>
      <c r="U2086" t="n">
        <v>2</v>
      </c>
      <c r="V2086" t="n">
        <v>0.0131</v>
      </c>
      <c r="W2086" t="n">
        <v>1.14</v>
      </c>
      <c r="X2086" t="n">
        <v>89.15000000000001</v>
      </c>
      <c r="Y2086">
        <f>VLOOKUP(D2086,$AB$2:$AC$7,2,FALSE)</f>
        <v/>
      </c>
      <c r="Z2086">
        <f>IF(A2086&lt;Y2086,"Yes","No")</f>
        <v/>
      </c>
    </row>
    <row r="2087">
      <c r="A2087" t="n">
        <v>2017</v>
      </c>
      <c r="B2087" t="inlineStr">
        <is>
          <t>Q4</t>
        </is>
      </c>
      <c r="C2087" t="inlineStr">
        <is>
          <t>Australia</t>
        </is>
      </c>
      <c r="D2087" t="inlineStr">
        <is>
          <t>Semi</t>
        </is>
      </c>
      <c r="E2087" t="n">
        <v>538</v>
      </c>
      <c r="F2087" t="n">
        <v>90446.38</v>
      </c>
      <c r="G2087" t="n">
        <v>25</v>
      </c>
      <c r="H2087" t="inlineStr">
        <is>
          <t>Long Range</t>
        </is>
      </c>
      <c r="I2087" t="inlineStr">
        <is>
          <t>AWD</t>
        </is>
      </c>
      <c r="J2087" t="inlineStr">
        <is>
          <t>Black</t>
        </is>
      </c>
      <c r="K2087" t="n">
        <v>549</v>
      </c>
      <c r="L2087" t="n">
        <v>34</v>
      </c>
      <c r="M2087" t="n">
        <v>16.23</v>
      </c>
      <c r="N2087" t="n">
        <v>1314.98</v>
      </c>
      <c r="O2087" t="n">
        <v>4.21</v>
      </c>
      <c r="P2087" t="n">
        <v>4</v>
      </c>
      <c r="Q2087" t="n">
        <v>2</v>
      </c>
      <c r="R2087" t="n">
        <v>2020.7</v>
      </c>
      <c r="S2087" t="b">
        <v>1</v>
      </c>
      <c r="T2087" t="n">
        <v>1356874</v>
      </c>
      <c r="U2087" t="n">
        <v>11</v>
      </c>
      <c r="V2087" t="n">
        <v>0.0384</v>
      </c>
      <c r="W2087" t="n">
        <v>1.33</v>
      </c>
      <c r="X2087" t="n">
        <v>61.93</v>
      </c>
      <c r="Y2087">
        <f>VLOOKUP(D2087,$AB$2:$AC$7,2,FALSE)</f>
        <v/>
      </c>
      <c r="Z2087">
        <f>IF(A2087&lt;Y2087,"Yes","No")</f>
        <v/>
      </c>
    </row>
    <row r="2088">
      <c r="A2088" t="n">
        <v>2016</v>
      </c>
      <c r="B2088" t="inlineStr">
        <is>
          <t>Q2</t>
        </is>
      </c>
      <c r="C2088" t="inlineStr">
        <is>
          <t>Asia</t>
        </is>
      </c>
      <c r="D2088" t="inlineStr">
        <is>
          <t>Semi</t>
        </is>
      </c>
      <c r="E2088" t="n">
        <v>2033</v>
      </c>
      <c r="F2088" t="n">
        <v>70408.92</v>
      </c>
      <c r="G2088" t="n">
        <v>34</v>
      </c>
      <c r="H2088" t="inlineStr">
        <is>
          <t>Long Range</t>
        </is>
      </c>
      <c r="I2088" t="inlineStr">
        <is>
          <t>AWD</t>
        </is>
      </c>
      <c r="J2088" t="inlineStr">
        <is>
          <t>Blue</t>
        </is>
      </c>
      <c r="K2088" t="n">
        <v>620</v>
      </c>
      <c r="L2088" t="n">
        <v>40</v>
      </c>
      <c r="M2088" t="n">
        <v>21.34</v>
      </c>
      <c r="N2088" t="n">
        <v>3786.22</v>
      </c>
      <c r="O2088" t="n">
        <v>4.62</v>
      </c>
      <c r="P2088" t="n">
        <v>8</v>
      </c>
      <c r="Q2088" t="n">
        <v>1</v>
      </c>
      <c r="R2088" t="n">
        <v>2020.7</v>
      </c>
      <c r="S2088" t="b">
        <v>1</v>
      </c>
      <c r="T2088" t="n">
        <v>2284664</v>
      </c>
      <c r="U2088" t="n">
        <v>8</v>
      </c>
      <c r="V2088" t="n">
        <v>0.0127</v>
      </c>
      <c r="W2088" t="n">
        <v>1.49</v>
      </c>
      <c r="X2088" t="n">
        <v>67.65000000000001</v>
      </c>
      <c r="Y2088">
        <f>VLOOKUP(D2088,$AB$2:$AC$7,2,FALSE)</f>
        <v/>
      </c>
      <c r="Z2088">
        <f>IF(A2088&lt;Y2088,"Yes","No")</f>
        <v/>
      </c>
    </row>
    <row r="2089">
      <c r="A2089" t="n">
        <v>2013</v>
      </c>
      <c r="B2089" t="inlineStr">
        <is>
          <t>Q4</t>
        </is>
      </c>
      <c r="C2089" t="inlineStr">
        <is>
          <t>Asia</t>
        </is>
      </c>
      <c r="D2089" t="inlineStr">
        <is>
          <t>Model S</t>
        </is>
      </c>
      <c r="E2089" t="n">
        <v>543</v>
      </c>
      <c r="F2089" t="n">
        <v>40219.18</v>
      </c>
      <c r="G2089" t="n">
        <v>46</v>
      </c>
      <c r="H2089" t="inlineStr">
        <is>
          <t>Performance</t>
        </is>
      </c>
      <c r="I2089" t="inlineStr">
        <is>
          <t>AWD</t>
        </is>
      </c>
      <c r="J2089" t="inlineStr">
        <is>
          <t>White</t>
        </is>
      </c>
      <c r="K2089" t="n">
        <v>561</v>
      </c>
      <c r="L2089" t="n">
        <v>73</v>
      </c>
      <c r="M2089" t="n">
        <v>19.13</v>
      </c>
      <c r="N2089" t="n">
        <v>491.15</v>
      </c>
      <c r="O2089" t="n">
        <v>4.77</v>
      </c>
      <c r="P2089" t="n">
        <v>6</v>
      </c>
      <c r="Q2089" t="n">
        <v>3</v>
      </c>
      <c r="R2089" t="n">
        <v>2021.8</v>
      </c>
      <c r="S2089" t="b">
        <v>1</v>
      </c>
      <c r="T2089" t="n">
        <v>4771283</v>
      </c>
      <c r="U2089" t="n">
        <v>9</v>
      </c>
      <c r="V2089" t="n">
        <v>0.053</v>
      </c>
      <c r="W2089" t="n">
        <v>1.26</v>
      </c>
      <c r="X2089" t="n">
        <v>67.81999999999999</v>
      </c>
      <c r="Y2089">
        <f>VLOOKUP(D2089,$AB$2:$AC$7,2,FALSE)</f>
        <v/>
      </c>
      <c r="Z2089">
        <f>IF(A2089&lt;Y2089,"Yes","No")</f>
        <v/>
      </c>
    </row>
    <row r="2090">
      <c r="A2090" t="n">
        <v>2014</v>
      </c>
      <c r="B2090" t="inlineStr">
        <is>
          <t>Q2</t>
        </is>
      </c>
      <c r="C2090" t="inlineStr">
        <is>
          <t>Asia</t>
        </is>
      </c>
      <c r="D2090" t="inlineStr">
        <is>
          <t>Model Y</t>
        </is>
      </c>
      <c r="E2090" t="n">
        <v>1044</v>
      </c>
      <c r="F2090" t="n">
        <v>59065.2</v>
      </c>
      <c r="G2090" t="n">
        <v>7</v>
      </c>
      <c r="H2090" t="inlineStr">
        <is>
          <t>Standard</t>
        </is>
      </c>
      <c r="I2090" t="inlineStr">
        <is>
          <t>RWD</t>
        </is>
      </c>
      <c r="J2090" t="inlineStr">
        <is>
          <t>White</t>
        </is>
      </c>
      <c r="K2090" t="n">
        <v>687</v>
      </c>
      <c r="L2090" t="n">
        <v>86</v>
      </c>
      <c r="M2090" t="n">
        <v>13.08</v>
      </c>
      <c r="N2090" t="n">
        <v>788.67</v>
      </c>
      <c r="O2090" t="n">
        <v>4.47</v>
      </c>
      <c r="P2090" t="n">
        <v>5</v>
      </c>
      <c r="Q2090" t="n">
        <v>3</v>
      </c>
      <c r="R2090" t="n">
        <v>2022.11</v>
      </c>
      <c r="S2090" t="b">
        <v>0</v>
      </c>
      <c r="T2090" t="n">
        <v>2967516</v>
      </c>
      <c r="U2090" t="n">
        <v>4</v>
      </c>
      <c r="V2090" t="n">
        <v>0.0613</v>
      </c>
      <c r="W2090" t="n">
        <v>2.33</v>
      </c>
      <c r="X2090" t="n">
        <v>71.29000000000001</v>
      </c>
      <c r="Y2090">
        <f>VLOOKUP(D2090,$AB$2:$AC$7,2,FALSE)</f>
        <v/>
      </c>
      <c r="Z2090">
        <f>IF(A2090&lt;Y2090,"Yes","No")</f>
        <v/>
      </c>
    </row>
    <row r="2091">
      <c r="A2091" t="n">
        <v>2017</v>
      </c>
      <c r="B2091" t="inlineStr">
        <is>
          <t>Q4</t>
        </is>
      </c>
      <c r="C2091" t="inlineStr">
        <is>
          <t>Europe</t>
        </is>
      </c>
      <c r="D2091" t="inlineStr">
        <is>
          <t>Model Y</t>
        </is>
      </c>
      <c r="E2091" t="n">
        <v>3079</v>
      </c>
      <c r="F2091" t="n">
        <v>99739.61</v>
      </c>
      <c r="G2091" t="n">
        <v>21</v>
      </c>
      <c r="H2091" t="inlineStr">
        <is>
          <t>Performance</t>
        </is>
      </c>
      <c r="I2091" t="inlineStr">
        <is>
          <t>RWD</t>
        </is>
      </c>
      <c r="J2091" t="inlineStr">
        <is>
          <t>Red</t>
        </is>
      </c>
      <c r="K2091" t="n">
        <v>469</v>
      </c>
      <c r="L2091" t="n">
        <v>79</v>
      </c>
      <c r="M2091" t="n">
        <v>16.66</v>
      </c>
      <c r="N2091" t="n">
        <v>5443.03</v>
      </c>
      <c r="O2091" t="n">
        <v>4.27</v>
      </c>
      <c r="P2091" t="n">
        <v>5</v>
      </c>
      <c r="Q2091" t="n">
        <v>3</v>
      </c>
      <c r="R2091" t="n">
        <v>2022.1</v>
      </c>
      <c r="S2091" t="b">
        <v>0</v>
      </c>
      <c r="T2091" t="n">
        <v>2861824</v>
      </c>
      <c r="U2091" t="n">
        <v>5</v>
      </c>
      <c r="V2091" t="n">
        <v>0.0459</v>
      </c>
      <c r="W2091" t="n">
        <v>1.1</v>
      </c>
      <c r="X2091" t="n">
        <v>88.17</v>
      </c>
      <c r="Y2091">
        <f>VLOOKUP(D2091,$AB$2:$AC$7,2,FALSE)</f>
        <v/>
      </c>
      <c r="Z2091">
        <f>IF(A2091&lt;Y2091,"Yes","No")</f>
        <v/>
      </c>
    </row>
    <row r="2092">
      <c r="A2092" t="n">
        <v>2014</v>
      </c>
      <c r="B2092" t="inlineStr">
        <is>
          <t>Q1</t>
        </is>
      </c>
      <c r="C2092" t="inlineStr">
        <is>
          <t>South America</t>
        </is>
      </c>
      <c r="D2092" t="inlineStr">
        <is>
          <t>Model X</t>
        </is>
      </c>
      <c r="E2092" t="n">
        <v>3638</v>
      </c>
      <c r="F2092" t="n">
        <v>37858.25</v>
      </c>
      <c r="G2092" t="n">
        <v>16</v>
      </c>
      <c r="H2092" t="inlineStr">
        <is>
          <t>Long Range</t>
        </is>
      </c>
      <c r="I2092" t="inlineStr">
        <is>
          <t>RWD</t>
        </is>
      </c>
      <c r="J2092" t="inlineStr">
        <is>
          <t>Blue</t>
        </is>
      </c>
      <c r="K2092" t="n">
        <v>533</v>
      </c>
      <c r="L2092" t="n">
        <v>62</v>
      </c>
      <c r="M2092" t="n">
        <v>23.52</v>
      </c>
      <c r="N2092" t="n">
        <v>6899.84</v>
      </c>
      <c r="O2092" t="n">
        <v>4.42</v>
      </c>
      <c r="P2092" t="n">
        <v>4</v>
      </c>
      <c r="Q2092" t="n">
        <v>0</v>
      </c>
      <c r="R2092" t="n">
        <v>2024.12</v>
      </c>
      <c r="S2092" t="b">
        <v>0</v>
      </c>
      <c r="T2092" t="n">
        <v>3330370</v>
      </c>
      <c r="U2092" t="n">
        <v>11</v>
      </c>
      <c r="V2092" t="n">
        <v>0.0248</v>
      </c>
      <c r="W2092" t="n">
        <v>1.39</v>
      </c>
      <c r="X2092" t="n">
        <v>68.18000000000001</v>
      </c>
      <c r="Y2092">
        <f>VLOOKUP(D2092,$AB$2:$AC$7,2,FALSE)</f>
        <v/>
      </c>
      <c r="Z2092">
        <f>IF(A2092&lt;Y2092,"Yes","No")</f>
        <v/>
      </c>
    </row>
    <row r="2093">
      <c r="A2093" t="n">
        <v>2015</v>
      </c>
      <c r="B2093" t="inlineStr">
        <is>
          <t>Q3</t>
        </is>
      </c>
      <c r="C2093" t="inlineStr">
        <is>
          <t>Europe</t>
        </is>
      </c>
      <c r="D2093" t="inlineStr">
        <is>
          <t>Cybertruck</t>
        </is>
      </c>
      <c r="E2093" t="n">
        <v>3742</v>
      </c>
      <c r="F2093" t="n">
        <v>40336.1</v>
      </c>
      <c r="G2093" t="n">
        <v>56</v>
      </c>
      <c r="H2093" t="inlineStr">
        <is>
          <t>Long Range</t>
        </is>
      </c>
      <c r="I2093" t="inlineStr">
        <is>
          <t>AWD</t>
        </is>
      </c>
      <c r="J2093" t="inlineStr">
        <is>
          <t>White</t>
        </is>
      </c>
      <c r="K2093" t="n">
        <v>683</v>
      </c>
      <c r="L2093" t="n">
        <v>71</v>
      </c>
      <c r="M2093" t="n">
        <v>22.34</v>
      </c>
      <c r="N2093" t="n">
        <v>3552.73</v>
      </c>
      <c r="O2093" t="n">
        <v>3.7</v>
      </c>
      <c r="P2093" t="n">
        <v>8</v>
      </c>
      <c r="Q2093" t="n">
        <v>1</v>
      </c>
      <c r="R2093" t="n">
        <v>2024.6</v>
      </c>
      <c r="S2093" t="b">
        <v>0</v>
      </c>
      <c r="T2093" t="n">
        <v>2367581</v>
      </c>
      <c r="U2093" t="n">
        <v>4</v>
      </c>
      <c r="V2093" t="n">
        <v>0.0823</v>
      </c>
      <c r="W2093" t="n">
        <v>0.62</v>
      </c>
      <c r="X2093" t="n">
        <v>78.45999999999999</v>
      </c>
      <c r="Y2093">
        <f>VLOOKUP(D2093,$AB$2:$AC$7,2,FALSE)</f>
        <v/>
      </c>
      <c r="Z2093">
        <f>IF(A2093&lt;Y2093,"Yes","No")</f>
        <v/>
      </c>
    </row>
    <row r="2094">
      <c r="A2094" t="n">
        <v>2024</v>
      </c>
      <c r="B2094" t="inlineStr">
        <is>
          <t>Q3</t>
        </is>
      </c>
      <c r="C2094" t="inlineStr">
        <is>
          <t>South America</t>
        </is>
      </c>
      <c r="D2094" t="inlineStr">
        <is>
          <t>Model S</t>
        </is>
      </c>
      <c r="E2094" t="n">
        <v>2520</v>
      </c>
      <c r="F2094" t="n">
        <v>94404.77</v>
      </c>
      <c r="G2094" t="n">
        <v>32</v>
      </c>
      <c r="H2094" t="inlineStr">
        <is>
          <t>Performance</t>
        </is>
      </c>
      <c r="I2094" t="inlineStr">
        <is>
          <t>RWD</t>
        </is>
      </c>
      <c r="J2094" t="inlineStr">
        <is>
          <t>Green</t>
        </is>
      </c>
      <c r="K2094" t="n">
        <v>671</v>
      </c>
      <c r="L2094" t="n">
        <v>69</v>
      </c>
      <c r="M2094" t="n">
        <v>21.53</v>
      </c>
      <c r="N2094" t="n">
        <v>4072.17</v>
      </c>
      <c r="O2094" t="n">
        <v>4.43</v>
      </c>
      <c r="P2094" t="n">
        <v>8</v>
      </c>
      <c r="Q2094" t="n">
        <v>3</v>
      </c>
      <c r="R2094" t="n">
        <v>2021.5</v>
      </c>
      <c r="S2094" t="b">
        <v>1</v>
      </c>
      <c r="T2094" t="n">
        <v>4190619</v>
      </c>
      <c r="U2094" t="n">
        <v>4</v>
      </c>
      <c r="V2094" t="n">
        <v>0.0377</v>
      </c>
      <c r="W2094" t="n">
        <v>2.11</v>
      </c>
      <c r="X2094" t="n">
        <v>63.11</v>
      </c>
      <c r="Y2094">
        <f>VLOOKUP(D2094,$AB$2:$AC$7,2,FALSE)</f>
        <v/>
      </c>
      <c r="Z2094">
        <f>IF(A2094&lt;Y2094,"Yes","No")</f>
        <v/>
      </c>
    </row>
    <row r="2095">
      <c r="A2095" t="n">
        <v>2017</v>
      </c>
      <c r="B2095" t="inlineStr">
        <is>
          <t>Q4</t>
        </is>
      </c>
      <c r="C2095" t="inlineStr">
        <is>
          <t>South America</t>
        </is>
      </c>
      <c r="D2095" t="inlineStr">
        <is>
          <t>Model Y</t>
        </is>
      </c>
      <c r="E2095" t="n">
        <v>1635</v>
      </c>
      <c r="F2095" t="n">
        <v>75836.14999999999</v>
      </c>
      <c r="G2095" t="n">
        <v>60</v>
      </c>
      <c r="H2095" t="inlineStr">
        <is>
          <t>Performance</t>
        </is>
      </c>
      <c r="I2095" t="inlineStr">
        <is>
          <t>AWD</t>
        </is>
      </c>
      <c r="J2095" t="inlineStr">
        <is>
          <t>White</t>
        </is>
      </c>
      <c r="K2095" t="n">
        <v>558</v>
      </c>
      <c r="L2095" t="n">
        <v>37</v>
      </c>
      <c r="M2095" t="n">
        <v>23.07</v>
      </c>
      <c r="N2095" t="n">
        <v>2137.46</v>
      </c>
      <c r="O2095" t="n">
        <v>3.6</v>
      </c>
      <c r="P2095" t="n">
        <v>8</v>
      </c>
      <c r="Q2095" t="n">
        <v>1</v>
      </c>
      <c r="R2095" t="n">
        <v>2023.8</v>
      </c>
      <c r="S2095" t="b">
        <v>1</v>
      </c>
      <c r="T2095" t="n">
        <v>2067522</v>
      </c>
      <c r="U2095" t="n">
        <v>10</v>
      </c>
      <c r="V2095" t="n">
        <v>0.075</v>
      </c>
      <c r="W2095" t="n">
        <v>0.89</v>
      </c>
      <c r="X2095" t="n">
        <v>68.75</v>
      </c>
      <c r="Y2095">
        <f>VLOOKUP(D2095,$AB$2:$AC$7,2,FALSE)</f>
        <v/>
      </c>
      <c r="Z2095">
        <f>IF(A2095&lt;Y2095,"Yes","No")</f>
        <v/>
      </c>
    </row>
    <row r="2096">
      <c r="A2096" t="n">
        <v>2023</v>
      </c>
      <c r="B2096" t="inlineStr">
        <is>
          <t>Q2</t>
        </is>
      </c>
      <c r="C2096" t="inlineStr">
        <is>
          <t>North America</t>
        </is>
      </c>
      <c r="D2096" t="inlineStr">
        <is>
          <t>Cybertruck</t>
        </is>
      </c>
      <c r="E2096" t="n">
        <v>1011</v>
      </c>
      <c r="F2096" t="n">
        <v>68813.14</v>
      </c>
      <c r="G2096" t="n">
        <v>26</v>
      </c>
      <c r="H2096" t="inlineStr">
        <is>
          <t>Performance</t>
        </is>
      </c>
      <c r="I2096" t="inlineStr">
        <is>
          <t>AWD</t>
        </is>
      </c>
      <c r="J2096" t="inlineStr">
        <is>
          <t>Blue</t>
        </is>
      </c>
      <c r="K2096" t="n">
        <v>436</v>
      </c>
      <c r="L2096" t="n">
        <v>49</v>
      </c>
      <c r="M2096" t="n">
        <v>21.96</v>
      </c>
      <c r="N2096" t="n">
        <v>1842.05</v>
      </c>
      <c r="O2096" t="n">
        <v>4.43</v>
      </c>
      <c r="P2096" t="n">
        <v>8</v>
      </c>
      <c r="Q2096" t="n">
        <v>3</v>
      </c>
      <c r="R2096" t="n">
        <v>2023.3</v>
      </c>
      <c r="S2096" t="b">
        <v>1</v>
      </c>
      <c r="T2096" t="n">
        <v>4312829</v>
      </c>
      <c r="U2096" t="n">
        <v>4</v>
      </c>
      <c r="V2096" t="n">
        <v>0.0262</v>
      </c>
      <c r="W2096" t="n">
        <v>1.43</v>
      </c>
      <c r="X2096" t="n">
        <v>89.20999999999999</v>
      </c>
      <c r="Y2096">
        <f>VLOOKUP(D2096,$AB$2:$AC$7,2,FALSE)</f>
        <v/>
      </c>
      <c r="Z2096">
        <f>IF(A2096&lt;Y2096,"Yes","No")</f>
        <v/>
      </c>
    </row>
    <row r="2097">
      <c r="A2097" t="n">
        <v>2022</v>
      </c>
      <c r="B2097" t="inlineStr">
        <is>
          <t>Q2</t>
        </is>
      </c>
      <c r="C2097" t="inlineStr">
        <is>
          <t>Europe</t>
        </is>
      </c>
      <c r="D2097" t="inlineStr">
        <is>
          <t>Model X</t>
        </is>
      </c>
      <c r="E2097" t="n">
        <v>4097</v>
      </c>
      <c r="F2097" t="n">
        <v>69409.61</v>
      </c>
      <c r="G2097" t="n">
        <v>56</v>
      </c>
      <c r="H2097" t="inlineStr">
        <is>
          <t>Performance</t>
        </is>
      </c>
      <c r="I2097" t="inlineStr">
        <is>
          <t>RWD</t>
        </is>
      </c>
      <c r="J2097" t="inlineStr">
        <is>
          <t>Blue</t>
        </is>
      </c>
      <c r="K2097" t="n">
        <v>371</v>
      </c>
      <c r="L2097" t="n">
        <v>73</v>
      </c>
      <c r="M2097" t="n">
        <v>18.47</v>
      </c>
      <c r="N2097" t="n">
        <v>5264.01</v>
      </c>
      <c r="O2097" t="n">
        <v>4.16</v>
      </c>
      <c r="P2097" t="n">
        <v>6</v>
      </c>
      <c r="Q2097" t="n">
        <v>2</v>
      </c>
      <c r="R2097" t="n">
        <v>2023.1</v>
      </c>
      <c r="S2097" t="b">
        <v>1</v>
      </c>
      <c r="T2097" t="n">
        <v>2901648</v>
      </c>
      <c r="U2097" t="n">
        <v>9</v>
      </c>
      <c r="V2097" t="n">
        <v>0.0583</v>
      </c>
      <c r="W2097" t="n">
        <v>1.88</v>
      </c>
      <c r="X2097" t="n">
        <v>65.77</v>
      </c>
      <c r="Y2097">
        <f>VLOOKUP(D2097,$AB$2:$AC$7,2,FALSE)</f>
        <v/>
      </c>
      <c r="Z2097">
        <f>IF(A2097&lt;Y2097,"Yes","No")</f>
        <v/>
      </c>
    </row>
    <row r="2098">
      <c r="A2098" t="n">
        <v>2017</v>
      </c>
      <c r="B2098" t="inlineStr">
        <is>
          <t>Q2</t>
        </is>
      </c>
      <c r="C2098" t="inlineStr">
        <is>
          <t>South America</t>
        </is>
      </c>
      <c r="D2098" t="inlineStr">
        <is>
          <t>Cybertruck</t>
        </is>
      </c>
      <c r="E2098" t="n">
        <v>501</v>
      </c>
      <c r="F2098" t="n">
        <v>118392.33</v>
      </c>
      <c r="G2098" t="n">
        <v>1</v>
      </c>
      <c r="H2098" t="inlineStr">
        <is>
          <t>Performance</t>
        </is>
      </c>
      <c r="I2098" t="inlineStr">
        <is>
          <t>AWD</t>
        </is>
      </c>
      <c r="J2098" t="inlineStr">
        <is>
          <t>White</t>
        </is>
      </c>
      <c r="K2098" t="n">
        <v>385</v>
      </c>
      <c r="L2098" t="n">
        <v>44</v>
      </c>
      <c r="M2098" t="n">
        <v>22.33</v>
      </c>
      <c r="N2098" t="n">
        <v>490.16</v>
      </c>
      <c r="O2098" t="n">
        <v>4.01</v>
      </c>
      <c r="P2098" t="n">
        <v>5</v>
      </c>
      <c r="Q2098" t="n">
        <v>2</v>
      </c>
      <c r="R2098" t="n">
        <v>2023.2</v>
      </c>
      <c r="S2098" t="b">
        <v>1</v>
      </c>
      <c r="T2098" t="n">
        <v>3001297</v>
      </c>
      <c r="U2098" t="n">
        <v>7</v>
      </c>
      <c r="V2098" t="n">
        <v>0.0566</v>
      </c>
      <c r="W2098" t="n">
        <v>0.87</v>
      </c>
      <c r="X2098" t="n">
        <v>65.42</v>
      </c>
      <c r="Y2098">
        <f>VLOOKUP(D2098,$AB$2:$AC$7,2,FALSE)</f>
        <v/>
      </c>
      <c r="Z2098">
        <f>IF(A2098&lt;Y2098,"Yes","No")</f>
        <v/>
      </c>
    </row>
    <row r="2099">
      <c r="A2099" t="n">
        <v>2013</v>
      </c>
      <c r="B2099" t="inlineStr">
        <is>
          <t>Q1</t>
        </is>
      </c>
      <c r="C2099" t="inlineStr">
        <is>
          <t>South America</t>
        </is>
      </c>
      <c r="D2099" t="inlineStr">
        <is>
          <t>Model X</t>
        </is>
      </c>
      <c r="E2099" t="n">
        <v>740</v>
      </c>
      <c r="F2099" t="n">
        <v>72792.33</v>
      </c>
      <c r="G2099" t="n">
        <v>50</v>
      </c>
      <c r="H2099" t="inlineStr">
        <is>
          <t>Performance</t>
        </is>
      </c>
      <c r="I2099" t="inlineStr">
        <is>
          <t>AWD</t>
        </is>
      </c>
      <c r="J2099" t="inlineStr">
        <is>
          <t>Blue</t>
        </is>
      </c>
      <c r="K2099" t="n">
        <v>363</v>
      </c>
      <c r="L2099" t="n">
        <v>57</v>
      </c>
      <c r="M2099" t="n">
        <v>18.47</v>
      </c>
      <c r="N2099" t="n">
        <v>1336.68</v>
      </c>
      <c r="O2099" t="n">
        <v>4.96</v>
      </c>
      <c r="P2099" t="n">
        <v>5</v>
      </c>
      <c r="Q2099" t="n">
        <v>0</v>
      </c>
      <c r="R2099" t="n">
        <v>2021.2</v>
      </c>
      <c r="S2099" t="b">
        <v>0</v>
      </c>
      <c r="T2099" t="n">
        <v>2597590</v>
      </c>
      <c r="U2099" t="n">
        <v>7</v>
      </c>
      <c r="V2099" t="n">
        <v>0.0319</v>
      </c>
      <c r="W2099" t="n">
        <v>0.89</v>
      </c>
      <c r="X2099" t="n">
        <v>72.01000000000001</v>
      </c>
      <c r="Y2099">
        <f>VLOOKUP(D2099,$AB$2:$AC$7,2,FALSE)</f>
        <v/>
      </c>
      <c r="Z2099">
        <f>IF(A2099&lt;Y2099,"Yes","No")</f>
        <v/>
      </c>
    </row>
    <row r="2100">
      <c r="A2100" t="n">
        <v>2016</v>
      </c>
      <c r="B2100" t="inlineStr">
        <is>
          <t>Q2</t>
        </is>
      </c>
      <c r="C2100" t="inlineStr">
        <is>
          <t>Asia</t>
        </is>
      </c>
      <c r="D2100" t="inlineStr">
        <is>
          <t>Model X</t>
        </is>
      </c>
      <c r="E2100" t="n">
        <v>116</v>
      </c>
      <c r="F2100" t="n">
        <v>107696.22</v>
      </c>
      <c r="G2100" t="n">
        <v>23</v>
      </c>
      <c r="H2100" t="inlineStr">
        <is>
          <t>Standard</t>
        </is>
      </c>
      <c r="I2100" t="inlineStr">
        <is>
          <t>AWD</t>
        </is>
      </c>
      <c r="J2100" t="inlineStr">
        <is>
          <t>Green</t>
        </is>
      </c>
      <c r="K2100" t="n">
        <v>439</v>
      </c>
      <c r="L2100" t="n">
        <v>82</v>
      </c>
      <c r="M2100" t="n">
        <v>21.79</v>
      </c>
      <c r="N2100" t="n">
        <v>65.67</v>
      </c>
      <c r="O2100" t="n">
        <v>3.74</v>
      </c>
      <c r="P2100" t="n">
        <v>6</v>
      </c>
      <c r="Q2100" t="n">
        <v>3</v>
      </c>
      <c r="R2100" t="n">
        <v>2023.6</v>
      </c>
      <c r="S2100" t="b">
        <v>1</v>
      </c>
      <c r="T2100" t="n">
        <v>2551435</v>
      </c>
      <c r="U2100" t="n">
        <v>11</v>
      </c>
      <c r="V2100" t="n">
        <v>0.063</v>
      </c>
      <c r="W2100" t="n">
        <v>1.71</v>
      </c>
      <c r="X2100" t="n">
        <v>85.47</v>
      </c>
      <c r="Y2100">
        <f>VLOOKUP(D2100,$AB$2:$AC$7,2,FALSE)</f>
        <v/>
      </c>
      <c r="Z2100">
        <f>IF(A2100&lt;Y2100,"Yes","No")</f>
        <v/>
      </c>
    </row>
    <row r="2101">
      <c r="A2101" t="n">
        <v>2024</v>
      </c>
      <c r="B2101" t="inlineStr">
        <is>
          <t>Q4</t>
        </is>
      </c>
      <c r="C2101" t="inlineStr">
        <is>
          <t>Australia</t>
        </is>
      </c>
      <c r="D2101" t="inlineStr">
        <is>
          <t>Model S</t>
        </is>
      </c>
      <c r="E2101" t="n">
        <v>1954</v>
      </c>
      <c r="F2101" t="n">
        <v>43099.88</v>
      </c>
      <c r="G2101" t="n">
        <v>51</v>
      </c>
      <c r="H2101" t="inlineStr">
        <is>
          <t>Long Range</t>
        </is>
      </c>
      <c r="I2101" t="inlineStr">
        <is>
          <t>AWD</t>
        </is>
      </c>
      <c r="J2101" t="inlineStr">
        <is>
          <t>White</t>
        </is>
      </c>
      <c r="K2101" t="n">
        <v>569</v>
      </c>
      <c r="L2101" t="n">
        <v>64</v>
      </c>
      <c r="M2101" t="n">
        <v>20.9</v>
      </c>
      <c r="N2101" t="n">
        <v>1469.2</v>
      </c>
      <c r="O2101" t="n">
        <v>4.33</v>
      </c>
      <c r="P2101" t="n">
        <v>5</v>
      </c>
      <c r="Q2101" t="n">
        <v>0</v>
      </c>
      <c r="R2101" t="n">
        <v>2020.5</v>
      </c>
      <c r="S2101" t="b">
        <v>1</v>
      </c>
      <c r="T2101" t="n">
        <v>2866153</v>
      </c>
      <c r="U2101" t="n">
        <v>6</v>
      </c>
      <c r="V2101" t="n">
        <v>0.0434</v>
      </c>
      <c r="W2101" t="n">
        <v>2.11</v>
      </c>
      <c r="X2101" t="n">
        <v>85.93000000000001</v>
      </c>
      <c r="Y2101">
        <f>VLOOKUP(D2101,$AB$2:$AC$7,2,FALSE)</f>
        <v/>
      </c>
      <c r="Z2101">
        <f>IF(A2101&lt;Y2101,"Yes","No")</f>
        <v/>
      </c>
    </row>
    <row r="2102">
      <c r="A2102" t="n">
        <v>2024</v>
      </c>
      <c r="B2102" t="inlineStr">
        <is>
          <t>Q4</t>
        </is>
      </c>
      <c r="C2102" t="inlineStr">
        <is>
          <t>Australia</t>
        </is>
      </c>
      <c r="D2102" t="inlineStr">
        <is>
          <t>Cybertruck</t>
        </is>
      </c>
      <c r="E2102" t="n">
        <v>4230</v>
      </c>
      <c r="F2102" t="n">
        <v>78827.47</v>
      </c>
      <c r="G2102" t="n">
        <v>51</v>
      </c>
      <c r="H2102" t="inlineStr">
        <is>
          <t>Standard</t>
        </is>
      </c>
      <c r="I2102" t="inlineStr">
        <is>
          <t>RWD</t>
        </is>
      </c>
      <c r="J2102" t="inlineStr">
        <is>
          <t>Silver</t>
        </is>
      </c>
      <c r="K2102" t="n">
        <v>571</v>
      </c>
      <c r="L2102" t="n">
        <v>45</v>
      </c>
      <c r="M2102" t="n">
        <v>18.03</v>
      </c>
      <c r="N2102" t="n">
        <v>9320.549999999999</v>
      </c>
      <c r="O2102" t="n">
        <v>3.95</v>
      </c>
      <c r="P2102" t="n">
        <v>6</v>
      </c>
      <c r="Q2102" t="n">
        <v>2</v>
      </c>
      <c r="R2102" t="n">
        <v>2024.9</v>
      </c>
      <c r="S2102" t="b">
        <v>1</v>
      </c>
      <c r="T2102" t="n">
        <v>354661</v>
      </c>
      <c r="U2102" t="n">
        <v>12</v>
      </c>
      <c r="V2102" t="n">
        <v>0.0463</v>
      </c>
      <c r="W2102" t="n">
        <v>2.41</v>
      </c>
      <c r="X2102" t="n">
        <v>82.55</v>
      </c>
      <c r="Y2102">
        <f>VLOOKUP(D2102,$AB$2:$AC$7,2,FALSE)</f>
        <v/>
      </c>
      <c r="Z2102">
        <f>IF(A2102&lt;Y2102,"Yes","No")</f>
        <v/>
      </c>
    </row>
    <row r="2103">
      <c r="A2103" t="n">
        <v>2024</v>
      </c>
      <c r="B2103" t="inlineStr">
        <is>
          <t>Q4</t>
        </is>
      </c>
      <c r="C2103" t="inlineStr">
        <is>
          <t>Australia</t>
        </is>
      </c>
      <c r="D2103" t="inlineStr">
        <is>
          <t>Model 3</t>
        </is>
      </c>
      <c r="E2103" t="n">
        <v>4674</v>
      </c>
      <c r="F2103" t="n">
        <v>46867.42</v>
      </c>
      <c r="G2103" t="n">
        <v>1</v>
      </c>
      <c r="H2103" t="inlineStr">
        <is>
          <t>Long Range</t>
        </is>
      </c>
      <c r="I2103" t="inlineStr">
        <is>
          <t>AWD</t>
        </is>
      </c>
      <c r="J2103" t="inlineStr">
        <is>
          <t>White</t>
        </is>
      </c>
      <c r="K2103" t="n">
        <v>421</v>
      </c>
      <c r="L2103" t="n">
        <v>85</v>
      </c>
      <c r="M2103" t="n">
        <v>24.91</v>
      </c>
      <c r="N2103" t="n">
        <v>5090.24</v>
      </c>
      <c r="O2103" t="n">
        <v>4.42</v>
      </c>
      <c r="P2103" t="n">
        <v>5</v>
      </c>
      <c r="Q2103" t="n">
        <v>0</v>
      </c>
      <c r="R2103" t="n">
        <v>2020.1</v>
      </c>
      <c r="S2103" t="b">
        <v>1</v>
      </c>
      <c r="T2103" t="n">
        <v>2334358</v>
      </c>
      <c r="U2103" t="n">
        <v>9</v>
      </c>
      <c r="V2103" t="n">
        <v>0.0336</v>
      </c>
      <c r="W2103" t="n">
        <v>0.92</v>
      </c>
      <c r="X2103" t="n">
        <v>82.84</v>
      </c>
      <c r="Y2103">
        <f>VLOOKUP(D2103,$AB$2:$AC$7,2,FALSE)</f>
        <v/>
      </c>
      <c r="Z2103">
        <f>IF(A2103&lt;Y2103,"Yes","No")</f>
        <v/>
      </c>
    </row>
    <row r="2104">
      <c r="A2104" t="n">
        <v>2022</v>
      </c>
      <c r="B2104" t="inlineStr">
        <is>
          <t>Q3</t>
        </is>
      </c>
      <c r="C2104" t="inlineStr">
        <is>
          <t>North America</t>
        </is>
      </c>
      <c r="D2104" t="inlineStr">
        <is>
          <t>Model Y</t>
        </is>
      </c>
      <c r="E2104" t="n">
        <v>4982</v>
      </c>
      <c r="F2104" t="n">
        <v>91414.63</v>
      </c>
      <c r="G2104" t="n">
        <v>34</v>
      </c>
      <c r="H2104" t="inlineStr">
        <is>
          <t>Standard</t>
        </is>
      </c>
      <c r="I2104" t="inlineStr">
        <is>
          <t>AWD</t>
        </is>
      </c>
      <c r="J2104" t="inlineStr">
        <is>
          <t>Silver</t>
        </is>
      </c>
      <c r="K2104" t="n">
        <v>646</v>
      </c>
      <c r="L2104" t="n">
        <v>77</v>
      </c>
      <c r="M2104" t="n">
        <v>15.48</v>
      </c>
      <c r="N2104" t="n">
        <v>7275.02</v>
      </c>
      <c r="O2104" t="n">
        <v>4.81</v>
      </c>
      <c r="P2104" t="n">
        <v>4</v>
      </c>
      <c r="Q2104" t="n">
        <v>1</v>
      </c>
      <c r="R2104" t="n">
        <v>2020.4</v>
      </c>
      <c r="S2104" t="b">
        <v>1</v>
      </c>
      <c r="T2104" t="n">
        <v>4338592</v>
      </c>
      <c r="U2104" t="n">
        <v>5</v>
      </c>
      <c r="V2104" t="n">
        <v>0.0629</v>
      </c>
      <c r="W2104" t="n">
        <v>2.14</v>
      </c>
      <c r="X2104" t="n">
        <v>77.87</v>
      </c>
      <c r="Y2104">
        <f>VLOOKUP(D2104,$AB$2:$AC$7,2,FALSE)</f>
        <v/>
      </c>
      <c r="Z2104">
        <f>IF(A2104&lt;Y2104,"Yes","No")</f>
        <v/>
      </c>
    </row>
    <row r="2105">
      <c r="A2105" t="n">
        <v>2012</v>
      </c>
      <c r="B2105" t="inlineStr">
        <is>
          <t>Q1</t>
        </is>
      </c>
      <c r="C2105" t="inlineStr">
        <is>
          <t>Asia</t>
        </is>
      </c>
      <c r="D2105" t="inlineStr">
        <is>
          <t>Model S</t>
        </is>
      </c>
      <c r="E2105" t="n">
        <v>3060</v>
      </c>
      <c r="F2105" t="n">
        <v>87842.69</v>
      </c>
      <c r="G2105" t="n">
        <v>60</v>
      </c>
      <c r="H2105" t="inlineStr">
        <is>
          <t>Long Range</t>
        </is>
      </c>
      <c r="I2105" t="inlineStr">
        <is>
          <t>RWD</t>
        </is>
      </c>
      <c r="J2105" t="inlineStr">
        <is>
          <t>Blue</t>
        </is>
      </c>
      <c r="K2105" t="n">
        <v>390</v>
      </c>
      <c r="L2105" t="n">
        <v>57</v>
      </c>
      <c r="M2105" t="n">
        <v>19.71</v>
      </c>
      <c r="N2105" t="n">
        <v>6132.12</v>
      </c>
      <c r="O2105" t="n">
        <v>4.58</v>
      </c>
      <c r="P2105" t="n">
        <v>8</v>
      </c>
      <c r="Q2105" t="n">
        <v>0</v>
      </c>
      <c r="R2105" t="n">
        <v>2021.1</v>
      </c>
      <c r="S2105" t="b">
        <v>0</v>
      </c>
      <c r="T2105" t="n">
        <v>358400</v>
      </c>
      <c r="U2105" t="n">
        <v>2</v>
      </c>
      <c r="V2105" t="n">
        <v>0.0878</v>
      </c>
      <c r="W2105" t="n">
        <v>1.15</v>
      </c>
      <c r="X2105" t="n">
        <v>89.48999999999999</v>
      </c>
      <c r="Y2105">
        <f>VLOOKUP(D2105,$AB$2:$AC$7,2,FALSE)</f>
        <v/>
      </c>
      <c r="Z2105">
        <f>IF(A2105&lt;Y2105,"Yes","No")</f>
        <v/>
      </c>
    </row>
    <row r="2106">
      <c r="A2106" t="n">
        <v>2016</v>
      </c>
      <c r="B2106" t="inlineStr">
        <is>
          <t>Q4</t>
        </is>
      </c>
      <c r="C2106" t="inlineStr">
        <is>
          <t>South America</t>
        </is>
      </c>
      <c r="D2106" t="inlineStr">
        <is>
          <t>Model S</t>
        </is>
      </c>
      <c r="E2106" t="n">
        <v>699</v>
      </c>
      <c r="F2106" t="n">
        <v>103327.6</v>
      </c>
      <c r="G2106" t="n">
        <v>49</v>
      </c>
      <c r="H2106" t="inlineStr">
        <is>
          <t>Standard</t>
        </is>
      </c>
      <c r="I2106" t="inlineStr">
        <is>
          <t>AWD</t>
        </is>
      </c>
      <c r="J2106" t="inlineStr">
        <is>
          <t>White</t>
        </is>
      </c>
      <c r="K2106" t="n">
        <v>458</v>
      </c>
      <c r="L2106" t="n">
        <v>88</v>
      </c>
      <c r="M2106" t="n">
        <v>15.88</v>
      </c>
      <c r="N2106" t="n">
        <v>350.86</v>
      </c>
      <c r="O2106" t="n">
        <v>4.04</v>
      </c>
      <c r="P2106" t="n">
        <v>6</v>
      </c>
      <c r="Q2106" t="n">
        <v>1</v>
      </c>
      <c r="R2106" t="n">
        <v>2021.2</v>
      </c>
      <c r="S2106" t="b">
        <v>1</v>
      </c>
      <c r="T2106" t="n">
        <v>1104257</v>
      </c>
      <c r="U2106" t="n">
        <v>7</v>
      </c>
      <c r="V2106" t="n">
        <v>0.0339</v>
      </c>
      <c r="W2106" t="n">
        <v>1.16</v>
      </c>
      <c r="X2106" t="n">
        <v>78.94</v>
      </c>
      <c r="Y2106">
        <f>VLOOKUP(D2106,$AB$2:$AC$7,2,FALSE)</f>
        <v/>
      </c>
      <c r="Z2106">
        <f>IF(A2106&lt;Y2106,"Yes","No")</f>
        <v/>
      </c>
    </row>
    <row r="2107">
      <c r="A2107" t="n">
        <v>2022</v>
      </c>
      <c r="B2107" t="inlineStr">
        <is>
          <t>Q2</t>
        </is>
      </c>
      <c r="C2107" t="inlineStr">
        <is>
          <t>South America</t>
        </is>
      </c>
      <c r="D2107" t="inlineStr">
        <is>
          <t>Model S</t>
        </is>
      </c>
      <c r="E2107" t="n">
        <v>3932</v>
      </c>
      <c r="F2107" t="n">
        <v>85594.97</v>
      </c>
      <c r="G2107" t="n">
        <v>6</v>
      </c>
      <c r="H2107" t="inlineStr">
        <is>
          <t>Performance</t>
        </is>
      </c>
      <c r="I2107" t="inlineStr">
        <is>
          <t>RWD</t>
        </is>
      </c>
      <c r="J2107" t="inlineStr">
        <is>
          <t>Silver</t>
        </is>
      </c>
      <c r="K2107" t="n">
        <v>686</v>
      </c>
      <c r="L2107" t="n">
        <v>33</v>
      </c>
      <c r="M2107" t="n">
        <v>20.23</v>
      </c>
      <c r="N2107" t="n">
        <v>2488.64</v>
      </c>
      <c r="O2107" t="n">
        <v>4.07</v>
      </c>
      <c r="P2107" t="n">
        <v>4</v>
      </c>
      <c r="Q2107" t="n">
        <v>3</v>
      </c>
      <c r="R2107" t="n">
        <v>2023.6</v>
      </c>
      <c r="S2107" t="b">
        <v>1</v>
      </c>
      <c r="T2107" t="n">
        <v>251571</v>
      </c>
      <c r="U2107" t="n">
        <v>7</v>
      </c>
      <c r="V2107" t="n">
        <v>0.098</v>
      </c>
      <c r="W2107" t="n">
        <v>1.11</v>
      </c>
      <c r="X2107" t="n">
        <v>79.03</v>
      </c>
      <c r="Y2107">
        <f>VLOOKUP(D2107,$AB$2:$AC$7,2,FALSE)</f>
        <v/>
      </c>
      <c r="Z2107">
        <f>IF(A2107&lt;Y2107,"Yes","No")</f>
        <v/>
      </c>
    </row>
    <row r="2108">
      <c r="A2108" t="n">
        <v>2024</v>
      </c>
      <c r="B2108" t="inlineStr">
        <is>
          <t>Q4</t>
        </is>
      </c>
      <c r="C2108" t="inlineStr">
        <is>
          <t>North America</t>
        </is>
      </c>
      <c r="D2108" t="inlineStr">
        <is>
          <t>Cybertruck</t>
        </is>
      </c>
      <c r="E2108" t="n">
        <v>273</v>
      </c>
      <c r="F2108" t="n">
        <v>110637.55</v>
      </c>
      <c r="G2108" t="n">
        <v>4</v>
      </c>
      <c r="H2108" t="inlineStr">
        <is>
          <t>Long Range</t>
        </is>
      </c>
      <c r="I2108" t="inlineStr">
        <is>
          <t>AWD</t>
        </is>
      </c>
      <c r="J2108" t="inlineStr">
        <is>
          <t>Red</t>
        </is>
      </c>
      <c r="K2108" t="n">
        <v>392</v>
      </c>
      <c r="L2108" t="n">
        <v>51</v>
      </c>
      <c r="M2108" t="n">
        <v>23.73</v>
      </c>
      <c r="N2108" t="n">
        <v>586.5</v>
      </c>
      <c r="O2108" t="n">
        <v>3.83</v>
      </c>
      <c r="P2108" t="n">
        <v>8</v>
      </c>
      <c r="Q2108" t="n">
        <v>0</v>
      </c>
      <c r="R2108" t="n">
        <v>2024.7</v>
      </c>
      <c r="S2108" t="b">
        <v>0</v>
      </c>
      <c r="T2108" t="n">
        <v>1863386</v>
      </c>
      <c r="U2108" t="n">
        <v>11</v>
      </c>
      <c r="V2108" t="n">
        <v>0.0369</v>
      </c>
      <c r="W2108" t="n">
        <v>1.76</v>
      </c>
      <c r="X2108" t="n">
        <v>89.48999999999999</v>
      </c>
      <c r="Y2108">
        <f>VLOOKUP(D2108,$AB$2:$AC$7,2,FALSE)</f>
        <v/>
      </c>
      <c r="Z2108">
        <f>IF(A2108&lt;Y2108,"Yes","No")</f>
        <v/>
      </c>
    </row>
    <row r="2109">
      <c r="A2109" t="n">
        <v>2022</v>
      </c>
      <c r="B2109" t="inlineStr">
        <is>
          <t>Q3</t>
        </is>
      </c>
      <c r="C2109" t="inlineStr">
        <is>
          <t>South America</t>
        </is>
      </c>
      <c r="D2109" t="inlineStr">
        <is>
          <t>Model Y</t>
        </is>
      </c>
      <c r="E2109" t="n">
        <v>1750</v>
      </c>
      <c r="F2109" t="n">
        <v>45718.39</v>
      </c>
      <c r="G2109" t="n">
        <v>0</v>
      </c>
      <c r="H2109" t="inlineStr">
        <is>
          <t>Performance</t>
        </is>
      </c>
      <c r="I2109" t="inlineStr">
        <is>
          <t>RWD</t>
        </is>
      </c>
      <c r="J2109" t="inlineStr">
        <is>
          <t>Red</t>
        </is>
      </c>
      <c r="K2109" t="n">
        <v>409</v>
      </c>
      <c r="L2109" t="n">
        <v>53</v>
      </c>
      <c r="M2109" t="n">
        <v>15.36</v>
      </c>
      <c r="N2109" t="n">
        <v>1580.11</v>
      </c>
      <c r="O2109" t="n">
        <v>4.45</v>
      </c>
      <c r="P2109" t="n">
        <v>4</v>
      </c>
      <c r="Q2109" t="n">
        <v>2</v>
      </c>
      <c r="R2109" t="n">
        <v>2021.3</v>
      </c>
      <c r="S2109" t="b">
        <v>0</v>
      </c>
      <c r="T2109" t="n">
        <v>3724280</v>
      </c>
      <c r="U2109" t="n">
        <v>4</v>
      </c>
      <c r="V2109" t="n">
        <v>0.0934</v>
      </c>
      <c r="W2109" t="n">
        <v>1.85</v>
      </c>
      <c r="X2109" t="n">
        <v>89.93000000000001</v>
      </c>
      <c r="Y2109">
        <f>VLOOKUP(D2109,$AB$2:$AC$7,2,FALSE)</f>
        <v/>
      </c>
      <c r="Z2109">
        <f>IF(A2109&lt;Y2109,"Yes","No")</f>
        <v/>
      </c>
    </row>
    <row r="2110">
      <c r="A2110" t="n">
        <v>2020</v>
      </c>
      <c r="B2110" t="inlineStr">
        <is>
          <t>Q1</t>
        </is>
      </c>
      <c r="C2110" t="inlineStr">
        <is>
          <t>Asia</t>
        </is>
      </c>
      <c r="D2110" t="inlineStr">
        <is>
          <t>Cybertruck</t>
        </is>
      </c>
      <c r="E2110" t="n">
        <v>4108</v>
      </c>
      <c r="F2110" t="n">
        <v>38673.01</v>
      </c>
      <c r="G2110" t="n">
        <v>26</v>
      </c>
      <c r="H2110" t="inlineStr">
        <is>
          <t>Long Range</t>
        </is>
      </c>
      <c r="I2110" t="inlineStr">
        <is>
          <t>RWD</t>
        </is>
      </c>
      <c r="J2110" t="inlineStr">
        <is>
          <t>White</t>
        </is>
      </c>
      <c r="K2110" t="n">
        <v>532</v>
      </c>
      <c r="L2110" t="n">
        <v>36</v>
      </c>
      <c r="M2110" t="n">
        <v>21.2</v>
      </c>
      <c r="N2110" t="n">
        <v>6738.52</v>
      </c>
      <c r="O2110" t="n">
        <v>3.82</v>
      </c>
      <c r="P2110" t="n">
        <v>6</v>
      </c>
      <c r="Q2110" t="n">
        <v>0</v>
      </c>
      <c r="R2110" t="n">
        <v>2022.11</v>
      </c>
      <c r="S2110" t="b">
        <v>0</v>
      </c>
      <c r="T2110" t="n">
        <v>2526037</v>
      </c>
      <c r="U2110" t="n">
        <v>3</v>
      </c>
      <c r="V2110" t="n">
        <v>0.0172</v>
      </c>
      <c r="W2110" t="n">
        <v>1.78</v>
      </c>
      <c r="X2110" t="n">
        <v>66.15000000000001</v>
      </c>
      <c r="Y2110">
        <f>VLOOKUP(D2110,$AB$2:$AC$7,2,FALSE)</f>
        <v/>
      </c>
      <c r="Z2110">
        <f>IF(A2110&lt;Y2110,"Yes","No")</f>
        <v/>
      </c>
    </row>
    <row r="2111">
      <c r="A2111" t="n">
        <v>2015</v>
      </c>
      <c r="B2111" t="inlineStr">
        <is>
          <t>Q1</t>
        </is>
      </c>
      <c r="C2111" t="inlineStr">
        <is>
          <t>North America</t>
        </is>
      </c>
      <c r="D2111" t="inlineStr">
        <is>
          <t>Model 3</t>
        </is>
      </c>
      <c r="E2111" t="n">
        <v>4253</v>
      </c>
      <c r="F2111" t="n">
        <v>89735.47</v>
      </c>
      <c r="G2111" t="n">
        <v>37</v>
      </c>
      <c r="H2111" t="inlineStr">
        <is>
          <t>Standard</t>
        </is>
      </c>
      <c r="I2111" t="inlineStr">
        <is>
          <t>RWD</t>
        </is>
      </c>
      <c r="J2111" t="inlineStr">
        <is>
          <t>Blue</t>
        </is>
      </c>
      <c r="K2111" t="n">
        <v>604</v>
      </c>
      <c r="L2111" t="n">
        <v>58</v>
      </c>
      <c r="M2111" t="n">
        <v>21.25</v>
      </c>
      <c r="N2111" t="n">
        <v>7438.24</v>
      </c>
      <c r="O2111" t="n">
        <v>4.52</v>
      </c>
      <c r="P2111" t="n">
        <v>6</v>
      </c>
      <c r="Q2111" t="n">
        <v>1</v>
      </c>
      <c r="R2111" t="n">
        <v>2020.9</v>
      </c>
      <c r="S2111" t="b">
        <v>0</v>
      </c>
      <c r="T2111" t="n">
        <v>4330281</v>
      </c>
      <c r="U2111" t="n">
        <v>8</v>
      </c>
      <c r="V2111" t="n">
        <v>0.0578</v>
      </c>
      <c r="W2111" t="n">
        <v>1.93</v>
      </c>
      <c r="X2111" t="n">
        <v>67.83</v>
      </c>
      <c r="Y2111">
        <f>VLOOKUP(D2111,$AB$2:$AC$7,2,FALSE)</f>
        <v/>
      </c>
      <c r="Z2111">
        <f>IF(A2111&lt;Y2111,"Yes","No")</f>
        <v/>
      </c>
    </row>
    <row r="2112">
      <c r="A2112" t="n">
        <v>2015</v>
      </c>
      <c r="B2112" t="inlineStr">
        <is>
          <t>Q3</t>
        </is>
      </c>
      <c r="C2112" t="inlineStr">
        <is>
          <t>Europe</t>
        </is>
      </c>
      <c r="D2112" t="inlineStr">
        <is>
          <t>Cybertruck</t>
        </is>
      </c>
      <c r="E2112" t="n">
        <v>164</v>
      </c>
      <c r="F2112" t="n">
        <v>37780.33</v>
      </c>
      <c r="G2112" t="n">
        <v>50</v>
      </c>
      <c r="H2112" t="inlineStr">
        <is>
          <t>Performance</t>
        </is>
      </c>
      <c r="I2112" t="inlineStr">
        <is>
          <t>AWD</t>
        </is>
      </c>
      <c r="J2112" t="inlineStr">
        <is>
          <t>White</t>
        </is>
      </c>
      <c r="K2112" t="n">
        <v>626</v>
      </c>
      <c r="L2112" t="n">
        <v>83</v>
      </c>
      <c r="M2112" t="n">
        <v>20.61</v>
      </c>
      <c r="N2112" t="n">
        <v>240.77</v>
      </c>
      <c r="O2112" t="n">
        <v>4.69</v>
      </c>
      <c r="P2112" t="n">
        <v>4</v>
      </c>
      <c r="Q2112" t="n">
        <v>1</v>
      </c>
      <c r="R2112" t="n">
        <v>2023.1</v>
      </c>
      <c r="S2112" t="b">
        <v>1</v>
      </c>
      <c r="T2112" t="n">
        <v>3893287</v>
      </c>
      <c r="U2112" t="n">
        <v>9</v>
      </c>
      <c r="V2112" t="n">
        <v>0.0286</v>
      </c>
      <c r="W2112" t="n">
        <v>0.67</v>
      </c>
      <c r="X2112" t="n">
        <v>61.55</v>
      </c>
      <c r="Y2112">
        <f>VLOOKUP(D2112,$AB$2:$AC$7,2,FALSE)</f>
        <v/>
      </c>
      <c r="Z2112">
        <f>IF(A2112&lt;Y2112,"Yes","No")</f>
        <v/>
      </c>
    </row>
    <row r="2113">
      <c r="A2113" t="n">
        <v>2020</v>
      </c>
      <c r="B2113" t="inlineStr">
        <is>
          <t>Q4</t>
        </is>
      </c>
      <c r="C2113" t="inlineStr">
        <is>
          <t>South America</t>
        </is>
      </c>
      <c r="D2113" t="inlineStr">
        <is>
          <t>Semi</t>
        </is>
      </c>
      <c r="E2113" t="n">
        <v>2555</v>
      </c>
      <c r="F2113" t="n">
        <v>79145.75999999999</v>
      </c>
      <c r="G2113" t="n">
        <v>13</v>
      </c>
      <c r="H2113" t="inlineStr">
        <is>
          <t>Performance</t>
        </is>
      </c>
      <c r="I2113" t="inlineStr">
        <is>
          <t>AWD</t>
        </is>
      </c>
      <c r="J2113" t="inlineStr">
        <is>
          <t>Blue</t>
        </is>
      </c>
      <c r="K2113" t="n">
        <v>479</v>
      </c>
      <c r="L2113" t="n">
        <v>63</v>
      </c>
      <c r="M2113" t="n">
        <v>18.51</v>
      </c>
      <c r="N2113" t="n">
        <v>4094.22</v>
      </c>
      <c r="O2113" t="n">
        <v>4.71</v>
      </c>
      <c r="P2113" t="n">
        <v>6</v>
      </c>
      <c r="Q2113" t="n">
        <v>0</v>
      </c>
      <c r="R2113" t="n">
        <v>2024.6</v>
      </c>
      <c r="S2113" t="b">
        <v>1</v>
      </c>
      <c r="T2113" t="n">
        <v>2396802</v>
      </c>
      <c r="U2113" t="n">
        <v>2</v>
      </c>
      <c r="V2113" t="n">
        <v>0.0387</v>
      </c>
      <c r="W2113" t="n">
        <v>1.99</v>
      </c>
      <c r="X2113" t="n">
        <v>76.61</v>
      </c>
      <c r="Y2113">
        <f>VLOOKUP(D2113,$AB$2:$AC$7,2,FALSE)</f>
        <v/>
      </c>
      <c r="Z2113">
        <f>IF(A2113&lt;Y2113,"Yes","No")</f>
        <v/>
      </c>
    </row>
    <row r="2114">
      <c r="A2114" t="n">
        <v>2015</v>
      </c>
      <c r="B2114" t="inlineStr">
        <is>
          <t>Q4</t>
        </is>
      </c>
      <c r="C2114" t="inlineStr">
        <is>
          <t>North America</t>
        </is>
      </c>
      <c r="D2114" t="inlineStr">
        <is>
          <t>Model Y</t>
        </is>
      </c>
      <c r="E2114" t="n">
        <v>324</v>
      </c>
      <c r="F2114" t="n">
        <v>35200.19</v>
      </c>
      <c r="G2114" t="n">
        <v>17</v>
      </c>
      <c r="H2114" t="inlineStr">
        <is>
          <t>Performance</t>
        </is>
      </c>
      <c r="I2114" t="inlineStr">
        <is>
          <t>RWD</t>
        </is>
      </c>
      <c r="J2114" t="inlineStr">
        <is>
          <t>White</t>
        </is>
      </c>
      <c r="K2114" t="n">
        <v>686</v>
      </c>
      <c r="L2114" t="n">
        <v>36</v>
      </c>
      <c r="M2114" t="n">
        <v>21.68</v>
      </c>
      <c r="N2114" t="n">
        <v>661.58</v>
      </c>
      <c r="O2114" t="n">
        <v>4.61</v>
      </c>
      <c r="P2114" t="n">
        <v>5</v>
      </c>
      <c r="Q2114" t="n">
        <v>2</v>
      </c>
      <c r="R2114" t="n">
        <v>2024.2</v>
      </c>
      <c r="S2114" t="b">
        <v>1</v>
      </c>
      <c r="T2114" t="n">
        <v>4987747</v>
      </c>
      <c r="U2114" t="n">
        <v>6</v>
      </c>
      <c r="V2114" t="n">
        <v>0.0711</v>
      </c>
      <c r="W2114" t="n">
        <v>0.83</v>
      </c>
      <c r="X2114" t="n">
        <v>69.8</v>
      </c>
      <c r="Y2114">
        <f>VLOOKUP(D2114,$AB$2:$AC$7,2,FALSE)</f>
        <v/>
      </c>
      <c r="Z2114">
        <f>IF(A2114&lt;Y2114,"Yes","No")</f>
        <v/>
      </c>
    </row>
    <row r="2115">
      <c r="A2115" t="n">
        <v>2015</v>
      </c>
      <c r="B2115" t="inlineStr">
        <is>
          <t>Q4</t>
        </is>
      </c>
      <c r="C2115" t="inlineStr">
        <is>
          <t>Europe</t>
        </is>
      </c>
      <c r="D2115" t="inlineStr">
        <is>
          <t>Model X</t>
        </is>
      </c>
      <c r="E2115" t="n">
        <v>3008</v>
      </c>
      <c r="F2115" t="n">
        <v>71665.89</v>
      </c>
      <c r="G2115" t="n">
        <v>17</v>
      </c>
      <c r="H2115" t="inlineStr">
        <is>
          <t>Long Range</t>
        </is>
      </c>
      <c r="I2115" t="inlineStr">
        <is>
          <t>AWD</t>
        </is>
      </c>
      <c r="J2115" t="inlineStr">
        <is>
          <t>Black</t>
        </is>
      </c>
      <c r="K2115" t="n">
        <v>689</v>
      </c>
      <c r="L2115" t="n">
        <v>75</v>
      </c>
      <c r="M2115" t="n">
        <v>22.16</v>
      </c>
      <c r="N2115" t="n">
        <v>6193.92</v>
      </c>
      <c r="O2115" t="n">
        <v>4.97</v>
      </c>
      <c r="P2115" t="n">
        <v>8</v>
      </c>
      <c r="Q2115" t="n">
        <v>0</v>
      </c>
      <c r="R2115" t="n">
        <v>2020.1</v>
      </c>
      <c r="S2115" t="b">
        <v>1</v>
      </c>
      <c r="T2115" t="n">
        <v>1183830</v>
      </c>
      <c r="U2115" t="n">
        <v>3</v>
      </c>
      <c r="V2115" t="n">
        <v>0.04</v>
      </c>
      <c r="W2115" t="n">
        <v>1.68</v>
      </c>
      <c r="X2115" t="n">
        <v>63.24</v>
      </c>
      <c r="Y2115">
        <f>VLOOKUP(D2115,$AB$2:$AC$7,2,FALSE)</f>
        <v/>
      </c>
      <c r="Z2115">
        <f>IF(A2115&lt;Y2115,"Yes","No")</f>
        <v/>
      </c>
    </row>
    <row r="2116">
      <c r="A2116" t="n">
        <v>2024</v>
      </c>
      <c r="B2116" t="inlineStr">
        <is>
          <t>Q4</t>
        </is>
      </c>
      <c r="C2116" t="inlineStr">
        <is>
          <t>North America</t>
        </is>
      </c>
      <c r="D2116" t="inlineStr">
        <is>
          <t>Model S</t>
        </is>
      </c>
      <c r="E2116" t="n">
        <v>838</v>
      </c>
      <c r="F2116" t="n">
        <v>110209.82</v>
      </c>
      <c r="G2116" t="n">
        <v>19</v>
      </c>
      <c r="H2116" t="inlineStr">
        <is>
          <t>Performance</t>
        </is>
      </c>
      <c r="I2116" t="inlineStr">
        <is>
          <t>AWD</t>
        </is>
      </c>
      <c r="J2116" t="inlineStr">
        <is>
          <t>Black</t>
        </is>
      </c>
      <c r="K2116" t="n">
        <v>478</v>
      </c>
      <c r="L2116" t="n">
        <v>78</v>
      </c>
      <c r="M2116" t="n">
        <v>21.44</v>
      </c>
      <c r="N2116" t="n">
        <v>1422.78</v>
      </c>
      <c r="O2116" t="n">
        <v>4.62</v>
      </c>
      <c r="P2116" t="n">
        <v>5</v>
      </c>
      <c r="Q2116" t="n">
        <v>3</v>
      </c>
      <c r="R2116" t="n">
        <v>2020.3</v>
      </c>
      <c r="S2116" t="b">
        <v>1</v>
      </c>
      <c r="T2116" t="n">
        <v>3354854</v>
      </c>
      <c r="U2116" t="n">
        <v>8</v>
      </c>
      <c r="V2116" t="n">
        <v>0.0997</v>
      </c>
      <c r="W2116" t="n">
        <v>1.63</v>
      </c>
      <c r="X2116" t="n">
        <v>75.48999999999999</v>
      </c>
      <c r="Y2116">
        <f>VLOOKUP(D2116,$AB$2:$AC$7,2,FALSE)</f>
        <v/>
      </c>
      <c r="Z2116">
        <f>IF(A2116&lt;Y2116,"Yes","No")</f>
        <v/>
      </c>
    </row>
    <row r="2117">
      <c r="A2117" t="n">
        <v>2023</v>
      </c>
      <c r="B2117" t="inlineStr">
        <is>
          <t>Q1</t>
        </is>
      </c>
      <c r="C2117" t="inlineStr">
        <is>
          <t>North America</t>
        </is>
      </c>
      <c r="D2117" t="inlineStr">
        <is>
          <t>Model S</t>
        </is>
      </c>
      <c r="E2117" t="n">
        <v>576</v>
      </c>
      <c r="F2117" t="n">
        <v>48999.24</v>
      </c>
      <c r="G2117" t="n">
        <v>13</v>
      </c>
      <c r="H2117" t="inlineStr">
        <is>
          <t>Standard</t>
        </is>
      </c>
      <c r="I2117" t="inlineStr">
        <is>
          <t>AWD</t>
        </is>
      </c>
      <c r="J2117" t="inlineStr">
        <is>
          <t>Red</t>
        </is>
      </c>
      <c r="K2117" t="n">
        <v>564</v>
      </c>
      <c r="L2117" t="n">
        <v>59</v>
      </c>
      <c r="M2117" t="n">
        <v>19.96</v>
      </c>
      <c r="N2117" t="n">
        <v>727.54</v>
      </c>
      <c r="O2117" t="n">
        <v>4.97</v>
      </c>
      <c r="P2117" t="n">
        <v>8</v>
      </c>
      <c r="Q2117" t="n">
        <v>3</v>
      </c>
      <c r="R2117" t="n">
        <v>2021.3</v>
      </c>
      <c r="S2117" t="b">
        <v>1</v>
      </c>
      <c r="T2117" t="n">
        <v>4699912</v>
      </c>
      <c r="U2117" t="n">
        <v>12</v>
      </c>
      <c r="V2117" t="n">
        <v>0.0819</v>
      </c>
      <c r="W2117" t="n">
        <v>2.47</v>
      </c>
      <c r="X2117" t="n">
        <v>71.65000000000001</v>
      </c>
      <c r="Y2117">
        <f>VLOOKUP(D2117,$AB$2:$AC$7,2,FALSE)</f>
        <v/>
      </c>
      <c r="Z2117">
        <f>IF(A2117&lt;Y2117,"Yes","No")</f>
        <v/>
      </c>
    </row>
    <row r="2118">
      <c r="A2118" t="n">
        <v>2016</v>
      </c>
      <c r="B2118" t="inlineStr">
        <is>
          <t>Q1</t>
        </is>
      </c>
      <c r="C2118" t="inlineStr">
        <is>
          <t>Asia</t>
        </is>
      </c>
      <c r="D2118" t="inlineStr">
        <is>
          <t>Model 3</t>
        </is>
      </c>
      <c r="E2118" t="n">
        <v>2567</v>
      </c>
      <c r="F2118" t="n">
        <v>58931.83</v>
      </c>
      <c r="G2118" t="n">
        <v>57</v>
      </c>
      <c r="H2118" t="inlineStr">
        <is>
          <t>Standard</t>
        </is>
      </c>
      <c r="I2118" t="inlineStr">
        <is>
          <t>AWD</t>
        </is>
      </c>
      <c r="J2118" t="inlineStr">
        <is>
          <t>Silver</t>
        </is>
      </c>
      <c r="K2118" t="n">
        <v>361</v>
      </c>
      <c r="L2118" t="n">
        <v>77</v>
      </c>
      <c r="M2118" t="n">
        <v>18.84</v>
      </c>
      <c r="N2118" t="n">
        <v>4684.57</v>
      </c>
      <c r="O2118" t="n">
        <v>4.46</v>
      </c>
      <c r="P2118" t="n">
        <v>6</v>
      </c>
      <c r="Q2118" t="n">
        <v>1</v>
      </c>
      <c r="R2118" t="n">
        <v>2024.11</v>
      </c>
      <c r="S2118" t="b">
        <v>1</v>
      </c>
      <c r="T2118" t="n">
        <v>2975103</v>
      </c>
      <c r="U2118" t="n">
        <v>11</v>
      </c>
      <c r="V2118" t="n">
        <v>0.043</v>
      </c>
      <c r="W2118" t="n">
        <v>1.73</v>
      </c>
      <c r="X2118" t="n">
        <v>87.11</v>
      </c>
      <c r="Y2118">
        <f>VLOOKUP(D2118,$AB$2:$AC$7,2,FALSE)</f>
        <v/>
      </c>
      <c r="Z2118">
        <f>IF(A2118&lt;Y2118,"Yes","No")</f>
        <v/>
      </c>
    </row>
    <row r="2119">
      <c r="A2119" t="n">
        <v>2023</v>
      </c>
      <c r="B2119" t="inlineStr">
        <is>
          <t>Q3</t>
        </is>
      </c>
      <c r="C2119" t="inlineStr">
        <is>
          <t>Europe</t>
        </is>
      </c>
      <c r="D2119" t="inlineStr">
        <is>
          <t>Cybertruck</t>
        </is>
      </c>
      <c r="E2119" t="n">
        <v>612</v>
      </c>
      <c r="F2119" t="n">
        <v>72059.42</v>
      </c>
      <c r="G2119" t="n">
        <v>14</v>
      </c>
      <c r="H2119" t="inlineStr">
        <is>
          <t>Long Range</t>
        </is>
      </c>
      <c r="I2119" t="inlineStr">
        <is>
          <t>AWD</t>
        </is>
      </c>
      <c r="J2119" t="inlineStr">
        <is>
          <t>White</t>
        </is>
      </c>
      <c r="K2119" t="n">
        <v>578</v>
      </c>
      <c r="L2119" t="n">
        <v>61</v>
      </c>
      <c r="M2119" t="n">
        <v>15.15</v>
      </c>
      <c r="N2119" t="n">
        <v>338.17</v>
      </c>
      <c r="O2119" t="n">
        <v>4.25</v>
      </c>
      <c r="P2119" t="n">
        <v>5</v>
      </c>
      <c r="Q2119" t="n">
        <v>3</v>
      </c>
      <c r="R2119" t="n">
        <v>2022.2</v>
      </c>
      <c r="S2119" t="b">
        <v>1</v>
      </c>
      <c r="T2119" t="n">
        <v>3226278</v>
      </c>
      <c r="U2119" t="n">
        <v>11</v>
      </c>
      <c r="V2119" t="n">
        <v>0.0172</v>
      </c>
      <c r="W2119" t="n">
        <v>2.41</v>
      </c>
      <c r="X2119" t="n">
        <v>70.48999999999999</v>
      </c>
      <c r="Y2119">
        <f>VLOOKUP(D2119,$AB$2:$AC$7,2,FALSE)</f>
        <v/>
      </c>
      <c r="Z2119">
        <f>IF(A2119&lt;Y2119,"Yes","No")</f>
        <v/>
      </c>
    </row>
    <row r="2120">
      <c r="A2120" t="n">
        <v>2019</v>
      </c>
      <c r="B2120" t="inlineStr">
        <is>
          <t>Q1</t>
        </is>
      </c>
      <c r="C2120" t="inlineStr">
        <is>
          <t>Asia</t>
        </is>
      </c>
      <c r="D2120" t="inlineStr">
        <is>
          <t>Model X</t>
        </is>
      </c>
      <c r="E2120" t="n">
        <v>2803</v>
      </c>
      <c r="F2120" t="n">
        <v>42741.45</v>
      </c>
      <c r="G2120" t="n">
        <v>19</v>
      </c>
      <c r="H2120" t="inlineStr">
        <is>
          <t>Performance</t>
        </is>
      </c>
      <c r="I2120" t="inlineStr">
        <is>
          <t>RWD</t>
        </is>
      </c>
      <c r="J2120" t="inlineStr">
        <is>
          <t>Green</t>
        </is>
      </c>
      <c r="K2120" t="n">
        <v>538</v>
      </c>
      <c r="L2120" t="n">
        <v>40</v>
      </c>
      <c r="M2120" t="n">
        <v>20.47</v>
      </c>
      <c r="N2120" t="n">
        <v>2836.55</v>
      </c>
      <c r="O2120" t="n">
        <v>4.44</v>
      </c>
      <c r="P2120" t="n">
        <v>5</v>
      </c>
      <c r="Q2120" t="n">
        <v>1</v>
      </c>
      <c r="R2120" t="n">
        <v>2020.8</v>
      </c>
      <c r="S2120" t="b">
        <v>1</v>
      </c>
      <c r="T2120" t="n">
        <v>1175545</v>
      </c>
      <c r="U2120" t="n">
        <v>10</v>
      </c>
      <c r="V2120" t="n">
        <v>0.0375</v>
      </c>
      <c r="W2120" t="n">
        <v>1.03</v>
      </c>
      <c r="X2120" t="n">
        <v>75.73</v>
      </c>
      <c r="Y2120">
        <f>VLOOKUP(D2120,$AB$2:$AC$7,2,FALSE)</f>
        <v/>
      </c>
      <c r="Z2120">
        <f>IF(A2120&lt;Y2120,"Yes","No")</f>
        <v/>
      </c>
    </row>
    <row r="2121">
      <c r="A2121" t="n">
        <v>2022</v>
      </c>
      <c r="B2121" t="inlineStr">
        <is>
          <t>Q2</t>
        </is>
      </c>
      <c r="C2121" t="inlineStr">
        <is>
          <t>South America</t>
        </is>
      </c>
      <c r="D2121" t="inlineStr">
        <is>
          <t>Cybertruck</t>
        </is>
      </c>
      <c r="E2121" t="n">
        <v>539</v>
      </c>
      <c r="F2121" t="n">
        <v>91368.14</v>
      </c>
      <c r="G2121" t="n">
        <v>1</v>
      </c>
      <c r="H2121" t="inlineStr">
        <is>
          <t>Standard</t>
        </is>
      </c>
      <c r="I2121" t="inlineStr">
        <is>
          <t>AWD</t>
        </is>
      </c>
      <c r="J2121" t="inlineStr">
        <is>
          <t>Green</t>
        </is>
      </c>
      <c r="K2121" t="n">
        <v>584</v>
      </c>
      <c r="L2121" t="n">
        <v>41</v>
      </c>
      <c r="M2121" t="n">
        <v>17.61</v>
      </c>
      <c r="N2121" t="n">
        <v>1104.88</v>
      </c>
      <c r="O2121" t="n">
        <v>4.48</v>
      </c>
      <c r="P2121" t="n">
        <v>5</v>
      </c>
      <c r="Q2121" t="n">
        <v>2</v>
      </c>
      <c r="R2121" t="n">
        <v>2021.1</v>
      </c>
      <c r="S2121" t="b">
        <v>0</v>
      </c>
      <c r="T2121" t="n">
        <v>2915258</v>
      </c>
      <c r="U2121" t="n">
        <v>9</v>
      </c>
      <c r="V2121" t="n">
        <v>0.0564</v>
      </c>
      <c r="W2121" t="n">
        <v>0.72</v>
      </c>
      <c r="X2121" t="n">
        <v>89.66</v>
      </c>
      <c r="Y2121">
        <f>VLOOKUP(D2121,$AB$2:$AC$7,2,FALSE)</f>
        <v/>
      </c>
      <c r="Z2121">
        <f>IF(A2121&lt;Y2121,"Yes","No")</f>
        <v/>
      </c>
    </row>
    <row r="2122">
      <c r="A2122" t="n">
        <v>2013</v>
      </c>
      <c r="B2122" t="inlineStr">
        <is>
          <t>Q3</t>
        </is>
      </c>
      <c r="C2122" t="inlineStr">
        <is>
          <t>Asia</t>
        </is>
      </c>
      <c r="D2122" t="inlineStr">
        <is>
          <t>Model Y</t>
        </is>
      </c>
      <c r="E2122" t="n">
        <v>1173</v>
      </c>
      <c r="F2122" t="n">
        <v>96341.66</v>
      </c>
      <c r="G2122" t="n">
        <v>14</v>
      </c>
      <c r="H2122" t="inlineStr">
        <is>
          <t>Standard</t>
        </is>
      </c>
      <c r="I2122" t="inlineStr">
        <is>
          <t>AWD</t>
        </is>
      </c>
      <c r="J2122" t="inlineStr">
        <is>
          <t>Red</t>
        </is>
      </c>
      <c r="K2122" t="n">
        <v>420</v>
      </c>
      <c r="L2122" t="n">
        <v>47</v>
      </c>
      <c r="M2122" t="n">
        <v>23.2</v>
      </c>
      <c r="N2122" t="n">
        <v>1101.69</v>
      </c>
      <c r="O2122" t="n">
        <v>3.52</v>
      </c>
      <c r="P2122" t="n">
        <v>4</v>
      </c>
      <c r="Q2122" t="n">
        <v>1</v>
      </c>
      <c r="R2122" t="n">
        <v>2020.5</v>
      </c>
      <c r="S2122" t="b">
        <v>0</v>
      </c>
      <c r="T2122" t="n">
        <v>2636442</v>
      </c>
      <c r="U2122" t="n">
        <v>6</v>
      </c>
      <c r="V2122" t="n">
        <v>0.0266</v>
      </c>
      <c r="W2122" t="n">
        <v>1.06</v>
      </c>
      <c r="X2122" t="n">
        <v>73.95</v>
      </c>
      <c r="Y2122">
        <f>VLOOKUP(D2122,$AB$2:$AC$7,2,FALSE)</f>
        <v/>
      </c>
      <c r="Z2122">
        <f>IF(A2122&lt;Y2122,"Yes","No")</f>
        <v/>
      </c>
    </row>
    <row r="2123">
      <c r="A2123" t="n">
        <v>2019</v>
      </c>
      <c r="B2123" t="inlineStr">
        <is>
          <t>Q1</t>
        </is>
      </c>
      <c r="C2123" t="inlineStr">
        <is>
          <t>Asia</t>
        </is>
      </c>
      <c r="D2123" t="inlineStr">
        <is>
          <t>Model X</t>
        </is>
      </c>
      <c r="E2123" t="n">
        <v>1181</v>
      </c>
      <c r="F2123" t="n">
        <v>97813.75</v>
      </c>
      <c r="G2123" t="n">
        <v>57</v>
      </c>
      <c r="H2123" t="inlineStr">
        <is>
          <t>Long Range</t>
        </is>
      </c>
      <c r="I2123" t="inlineStr">
        <is>
          <t>RWD</t>
        </is>
      </c>
      <c r="J2123" t="inlineStr">
        <is>
          <t>Red</t>
        </is>
      </c>
      <c r="K2123" t="n">
        <v>688</v>
      </c>
      <c r="L2123" t="n">
        <v>38</v>
      </c>
      <c r="M2123" t="n">
        <v>18.13</v>
      </c>
      <c r="N2123" t="n">
        <v>2339.53</v>
      </c>
      <c r="O2123" t="n">
        <v>4.35</v>
      </c>
      <c r="P2123" t="n">
        <v>8</v>
      </c>
      <c r="Q2123" t="n">
        <v>3</v>
      </c>
      <c r="R2123" t="n">
        <v>2024.1</v>
      </c>
      <c r="S2123" t="b">
        <v>0</v>
      </c>
      <c r="T2123" t="n">
        <v>1642090</v>
      </c>
      <c r="U2123" t="n">
        <v>7</v>
      </c>
      <c r="V2123" t="n">
        <v>0.0463</v>
      </c>
      <c r="W2123" t="n">
        <v>1.68</v>
      </c>
      <c r="X2123" t="n">
        <v>79.44</v>
      </c>
      <c r="Y2123">
        <f>VLOOKUP(D2123,$AB$2:$AC$7,2,FALSE)</f>
        <v/>
      </c>
      <c r="Z2123">
        <f>IF(A2123&lt;Y2123,"Yes","No")</f>
        <v/>
      </c>
    </row>
    <row r="2124">
      <c r="A2124" t="n">
        <v>2016</v>
      </c>
      <c r="B2124" t="inlineStr">
        <is>
          <t>Q1</t>
        </is>
      </c>
      <c r="C2124" t="inlineStr">
        <is>
          <t>North America</t>
        </is>
      </c>
      <c r="D2124" t="inlineStr">
        <is>
          <t>Model 3</t>
        </is>
      </c>
      <c r="E2124" t="n">
        <v>2898</v>
      </c>
      <c r="F2124" t="n">
        <v>36310.49</v>
      </c>
      <c r="G2124" t="n">
        <v>28</v>
      </c>
      <c r="H2124" t="inlineStr">
        <is>
          <t>Performance</t>
        </is>
      </c>
      <c r="I2124" t="inlineStr">
        <is>
          <t>RWD</t>
        </is>
      </c>
      <c r="J2124" t="inlineStr">
        <is>
          <t>White</t>
        </is>
      </c>
      <c r="K2124" t="n">
        <v>666</v>
      </c>
      <c r="L2124" t="n">
        <v>69</v>
      </c>
      <c r="M2124" t="n">
        <v>17.56</v>
      </c>
      <c r="N2124" t="n">
        <v>2422.11</v>
      </c>
      <c r="O2124" t="n">
        <v>4.17</v>
      </c>
      <c r="P2124" t="n">
        <v>8</v>
      </c>
      <c r="Q2124" t="n">
        <v>1</v>
      </c>
      <c r="R2124" t="n">
        <v>2021.1</v>
      </c>
      <c r="S2124" t="b">
        <v>0</v>
      </c>
      <c r="T2124" t="n">
        <v>4344883</v>
      </c>
      <c r="U2124" t="n">
        <v>2</v>
      </c>
      <c r="V2124" t="n">
        <v>0.0951</v>
      </c>
      <c r="W2124" t="n">
        <v>1.39</v>
      </c>
      <c r="X2124" t="n">
        <v>87.31999999999999</v>
      </c>
      <c r="Y2124">
        <f>VLOOKUP(D2124,$AB$2:$AC$7,2,FALSE)</f>
        <v/>
      </c>
      <c r="Z2124">
        <f>IF(A2124&lt;Y2124,"Yes","No")</f>
        <v/>
      </c>
    </row>
    <row r="2125">
      <c r="A2125" t="n">
        <v>2021</v>
      </c>
      <c r="B2125" t="inlineStr">
        <is>
          <t>Q3</t>
        </is>
      </c>
      <c r="C2125" t="inlineStr">
        <is>
          <t>Australia</t>
        </is>
      </c>
      <c r="D2125" t="inlineStr">
        <is>
          <t>Model X</t>
        </is>
      </c>
      <c r="E2125" t="n">
        <v>440</v>
      </c>
      <c r="F2125" t="n">
        <v>90943.81</v>
      </c>
      <c r="G2125" t="n">
        <v>49</v>
      </c>
      <c r="H2125" t="inlineStr">
        <is>
          <t>Long Range</t>
        </is>
      </c>
      <c r="I2125" t="inlineStr">
        <is>
          <t>AWD</t>
        </is>
      </c>
      <c r="J2125" t="inlineStr">
        <is>
          <t>Black</t>
        </is>
      </c>
      <c r="K2125" t="n">
        <v>373</v>
      </c>
      <c r="L2125" t="n">
        <v>36</v>
      </c>
      <c r="M2125" t="n">
        <v>13.79</v>
      </c>
      <c r="N2125" t="n">
        <v>998.24</v>
      </c>
      <c r="O2125" t="n">
        <v>4.68</v>
      </c>
      <c r="P2125" t="n">
        <v>8</v>
      </c>
      <c r="Q2125" t="n">
        <v>0</v>
      </c>
      <c r="R2125" t="n">
        <v>2022.3</v>
      </c>
      <c r="S2125" t="b">
        <v>1</v>
      </c>
      <c r="T2125" t="n">
        <v>3198235</v>
      </c>
      <c r="U2125" t="n">
        <v>11</v>
      </c>
      <c r="V2125" t="n">
        <v>0.0752</v>
      </c>
      <c r="W2125" t="n">
        <v>0.97</v>
      </c>
      <c r="X2125" t="n">
        <v>81.53</v>
      </c>
      <c r="Y2125">
        <f>VLOOKUP(D2125,$AB$2:$AC$7,2,FALSE)</f>
        <v/>
      </c>
      <c r="Z2125">
        <f>IF(A2125&lt;Y2125,"Yes","No")</f>
        <v/>
      </c>
    </row>
    <row r="2126">
      <c r="A2126" t="n">
        <v>2014</v>
      </c>
      <c r="B2126" t="inlineStr">
        <is>
          <t>Q2</t>
        </is>
      </c>
      <c r="C2126" t="inlineStr">
        <is>
          <t>South America</t>
        </is>
      </c>
      <c r="D2126" t="inlineStr">
        <is>
          <t>Model S</t>
        </is>
      </c>
      <c r="E2126" t="n">
        <v>2544</v>
      </c>
      <c r="F2126" t="n">
        <v>54745.44</v>
      </c>
      <c r="G2126" t="n">
        <v>7</v>
      </c>
      <c r="H2126" t="inlineStr">
        <is>
          <t>Long Range</t>
        </is>
      </c>
      <c r="I2126" t="inlineStr">
        <is>
          <t>AWD</t>
        </is>
      </c>
      <c r="J2126" t="inlineStr">
        <is>
          <t>Blue</t>
        </is>
      </c>
      <c r="K2126" t="n">
        <v>557</v>
      </c>
      <c r="L2126" t="n">
        <v>77</v>
      </c>
      <c r="M2126" t="n">
        <v>23.35</v>
      </c>
      <c r="N2126" t="n">
        <v>5747.93</v>
      </c>
      <c r="O2126" t="n">
        <v>4.21</v>
      </c>
      <c r="P2126" t="n">
        <v>6</v>
      </c>
      <c r="Q2126" t="n">
        <v>3</v>
      </c>
      <c r="R2126" t="n">
        <v>2024.8</v>
      </c>
      <c r="S2126" t="b">
        <v>1</v>
      </c>
      <c r="T2126" t="n">
        <v>4191442</v>
      </c>
      <c r="U2126" t="n">
        <v>3</v>
      </c>
      <c r="V2126" t="n">
        <v>0.0201</v>
      </c>
      <c r="W2126" t="n">
        <v>2.49</v>
      </c>
      <c r="X2126" t="n">
        <v>84.20999999999999</v>
      </c>
      <c r="Y2126">
        <f>VLOOKUP(D2126,$AB$2:$AC$7,2,FALSE)</f>
        <v/>
      </c>
      <c r="Z2126">
        <f>IF(A2126&lt;Y2126,"Yes","No")</f>
        <v/>
      </c>
    </row>
    <row r="2127">
      <c r="A2127" t="n">
        <v>2021</v>
      </c>
      <c r="B2127" t="inlineStr">
        <is>
          <t>Q3</t>
        </is>
      </c>
      <c r="C2127" t="inlineStr">
        <is>
          <t>North America</t>
        </is>
      </c>
      <c r="D2127" t="inlineStr">
        <is>
          <t>Model S</t>
        </is>
      </c>
      <c r="E2127" t="n">
        <v>1014</v>
      </c>
      <c r="F2127" t="n">
        <v>66456.17</v>
      </c>
      <c r="G2127" t="n">
        <v>34</v>
      </c>
      <c r="H2127" t="inlineStr">
        <is>
          <t>Long Range</t>
        </is>
      </c>
      <c r="I2127" t="inlineStr">
        <is>
          <t>AWD</t>
        </is>
      </c>
      <c r="J2127" t="inlineStr">
        <is>
          <t>Black</t>
        </is>
      </c>
      <c r="K2127" t="n">
        <v>648</v>
      </c>
      <c r="L2127" t="n">
        <v>33</v>
      </c>
      <c r="M2127" t="n">
        <v>23.96</v>
      </c>
      <c r="N2127" t="n">
        <v>1510.29</v>
      </c>
      <c r="O2127" t="n">
        <v>3.98</v>
      </c>
      <c r="P2127" t="n">
        <v>6</v>
      </c>
      <c r="Q2127" t="n">
        <v>3</v>
      </c>
      <c r="R2127" t="n">
        <v>2020.3</v>
      </c>
      <c r="S2127" t="b">
        <v>0</v>
      </c>
      <c r="T2127" t="n">
        <v>2628533</v>
      </c>
      <c r="U2127" t="n">
        <v>4</v>
      </c>
      <c r="V2127" t="n">
        <v>0.0289</v>
      </c>
      <c r="W2127" t="n">
        <v>2.24</v>
      </c>
      <c r="X2127" t="n">
        <v>81.72</v>
      </c>
      <c r="Y2127">
        <f>VLOOKUP(D2127,$AB$2:$AC$7,2,FALSE)</f>
        <v/>
      </c>
      <c r="Z2127">
        <f>IF(A2127&lt;Y2127,"Yes","No")</f>
        <v/>
      </c>
    </row>
    <row r="2128">
      <c r="A2128" t="n">
        <v>2016</v>
      </c>
      <c r="B2128" t="inlineStr">
        <is>
          <t>Q3</t>
        </is>
      </c>
      <c r="C2128" t="inlineStr">
        <is>
          <t>South America</t>
        </is>
      </c>
      <c r="D2128" t="inlineStr">
        <is>
          <t>Cybertruck</t>
        </is>
      </c>
      <c r="E2128" t="n">
        <v>2389</v>
      </c>
      <c r="F2128" t="n">
        <v>95457.17</v>
      </c>
      <c r="G2128" t="n">
        <v>47</v>
      </c>
      <c r="H2128" t="inlineStr">
        <is>
          <t>Performance</t>
        </is>
      </c>
      <c r="I2128" t="inlineStr">
        <is>
          <t>AWD</t>
        </is>
      </c>
      <c r="J2128" t="inlineStr">
        <is>
          <t>Blue</t>
        </is>
      </c>
      <c r="K2128" t="n">
        <v>385</v>
      </c>
      <c r="L2128" t="n">
        <v>81</v>
      </c>
      <c r="M2128" t="n">
        <v>16.37</v>
      </c>
      <c r="N2128" t="n">
        <v>4285.63</v>
      </c>
      <c r="O2128" t="n">
        <v>4.25</v>
      </c>
      <c r="P2128" t="n">
        <v>4</v>
      </c>
      <c r="Q2128" t="n">
        <v>0</v>
      </c>
      <c r="R2128" t="n">
        <v>2022.11</v>
      </c>
      <c r="S2128" t="b">
        <v>0</v>
      </c>
      <c r="T2128" t="n">
        <v>649268</v>
      </c>
      <c r="U2128" t="n">
        <v>3</v>
      </c>
      <c r="V2128" t="n">
        <v>0.09</v>
      </c>
      <c r="W2128" t="n">
        <v>2.14</v>
      </c>
      <c r="X2128" t="n">
        <v>74.93000000000001</v>
      </c>
      <c r="Y2128">
        <f>VLOOKUP(D2128,$AB$2:$AC$7,2,FALSE)</f>
        <v/>
      </c>
      <c r="Z2128">
        <f>IF(A2128&lt;Y2128,"Yes","No")</f>
        <v/>
      </c>
    </row>
    <row r="2129">
      <c r="A2129" t="n">
        <v>2016</v>
      </c>
      <c r="B2129" t="inlineStr">
        <is>
          <t>Q3</t>
        </is>
      </c>
      <c r="C2129" t="inlineStr">
        <is>
          <t>Asia</t>
        </is>
      </c>
      <c r="D2129" t="inlineStr">
        <is>
          <t>Model S</t>
        </is>
      </c>
      <c r="E2129" t="n">
        <v>545</v>
      </c>
      <c r="F2129" t="n">
        <v>48272.63</v>
      </c>
      <c r="G2129" t="n">
        <v>31</v>
      </c>
      <c r="H2129" t="inlineStr">
        <is>
          <t>Long Range</t>
        </is>
      </c>
      <c r="I2129" t="inlineStr">
        <is>
          <t>RWD</t>
        </is>
      </c>
      <c r="J2129" t="inlineStr">
        <is>
          <t>Black</t>
        </is>
      </c>
      <c r="K2129" t="n">
        <v>491</v>
      </c>
      <c r="L2129" t="n">
        <v>49</v>
      </c>
      <c r="M2129" t="n">
        <v>24.25</v>
      </c>
      <c r="N2129" t="n">
        <v>753.8</v>
      </c>
      <c r="O2129" t="n">
        <v>4.74</v>
      </c>
      <c r="P2129" t="n">
        <v>8</v>
      </c>
      <c r="Q2129" t="n">
        <v>3</v>
      </c>
      <c r="R2129" t="n">
        <v>2023.1</v>
      </c>
      <c r="S2129" t="b">
        <v>0</v>
      </c>
      <c r="T2129" t="n">
        <v>2696763</v>
      </c>
      <c r="U2129" t="n">
        <v>10</v>
      </c>
      <c r="V2129" t="n">
        <v>0.078</v>
      </c>
      <c r="W2129" t="n">
        <v>2.07</v>
      </c>
      <c r="X2129" t="n">
        <v>82.04000000000001</v>
      </c>
      <c r="Y2129">
        <f>VLOOKUP(D2129,$AB$2:$AC$7,2,FALSE)</f>
        <v/>
      </c>
      <c r="Z2129">
        <f>IF(A2129&lt;Y2129,"Yes","No")</f>
        <v/>
      </c>
    </row>
    <row r="2130">
      <c r="A2130" t="n">
        <v>2013</v>
      </c>
      <c r="B2130" t="inlineStr">
        <is>
          <t>Q1</t>
        </is>
      </c>
      <c r="C2130" t="inlineStr">
        <is>
          <t>South America</t>
        </is>
      </c>
      <c r="D2130" t="inlineStr">
        <is>
          <t>Cybertruck</t>
        </is>
      </c>
      <c r="E2130" t="n">
        <v>672</v>
      </c>
      <c r="F2130" t="n">
        <v>69605</v>
      </c>
      <c r="G2130" t="n">
        <v>33</v>
      </c>
      <c r="H2130" t="inlineStr">
        <is>
          <t>Standard</t>
        </is>
      </c>
      <c r="I2130" t="inlineStr">
        <is>
          <t>RWD</t>
        </is>
      </c>
      <c r="J2130" t="inlineStr">
        <is>
          <t>Green</t>
        </is>
      </c>
      <c r="K2130" t="n">
        <v>575</v>
      </c>
      <c r="L2130" t="n">
        <v>71</v>
      </c>
      <c r="M2130" t="n">
        <v>15.64</v>
      </c>
      <c r="N2130" t="n">
        <v>1442.96</v>
      </c>
      <c r="O2130" t="n">
        <v>4.2</v>
      </c>
      <c r="P2130" t="n">
        <v>8</v>
      </c>
      <c r="Q2130" t="n">
        <v>3</v>
      </c>
      <c r="R2130" t="n">
        <v>2024.12</v>
      </c>
      <c r="S2130" t="b">
        <v>0</v>
      </c>
      <c r="T2130" t="n">
        <v>3244869</v>
      </c>
      <c r="U2130" t="n">
        <v>4</v>
      </c>
      <c r="V2130" t="n">
        <v>0.0517</v>
      </c>
      <c r="W2130" t="n">
        <v>0.97</v>
      </c>
      <c r="X2130" t="n">
        <v>89.63</v>
      </c>
      <c r="Y2130">
        <f>VLOOKUP(D2130,$AB$2:$AC$7,2,FALSE)</f>
        <v/>
      </c>
      <c r="Z2130">
        <f>IF(A2130&lt;Y2130,"Yes","No")</f>
        <v/>
      </c>
    </row>
    <row r="2131">
      <c r="A2131" t="n">
        <v>2022</v>
      </c>
      <c r="B2131" t="inlineStr">
        <is>
          <t>Q1</t>
        </is>
      </c>
      <c r="C2131" t="inlineStr">
        <is>
          <t>South America</t>
        </is>
      </c>
      <c r="D2131" t="inlineStr">
        <is>
          <t>Cybertruck</t>
        </is>
      </c>
      <c r="E2131" t="n">
        <v>906</v>
      </c>
      <c r="F2131" t="n">
        <v>62000.05</v>
      </c>
      <c r="G2131" t="n">
        <v>31</v>
      </c>
      <c r="H2131" t="inlineStr">
        <is>
          <t>Long Range</t>
        </is>
      </c>
      <c r="I2131" t="inlineStr">
        <is>
          <t>RWD</t>
        </is>
      </c>
      <c r="J2131" t="inlineStr">
        <is>
          <t>Red</t>
        </is>
      </c>
      <c r="K2131" t="n">
        <v>459</v>
      </c>
      <c r="L2131" t="n">
        <v>80</v>
      </c>
      <c r="M2131" t="n">
        <v>17.02</v>
      </c>
      <c r="N2131" t="n">
        <v>1590.7</v>
      </c>
      <c r="O2131" t="n">
        <v>4.81</v>
      </c>
      <c r="P2131" t="n">
        <v>6</v>
      </c>
      <c r="Q2131" t="n">
        <v>2</v>
      </c>
      <c r="R2131" t="n">
        <v>2023.1</v>
      </c>
      <c r="S2131" t="b">
        <v>0</v>
      </c>
      <c r="T2131" t="n">
        <v>350799</v>
      </c>
      <c r="U2131" t="n">
        <v>9</v>
      </c>
      <c r="V2131" t="n">
        <v>0.0641</v>
      </c>
      <c r="W2131" t="n">
        <v>1.94</v>
      </c>
      <c r="X2131" t="n">
        <v>74.29000000000001</v>
      </c>
      <c r="Y2131">
        <f>VLOOKUP(D2131,$AB$2:$AC$7,2,FALSE)</f>
        <v/>
      </c>
      <c r="Z2131">
        <f>IF(A2131&lt;Y2131,"Yes","No")</f>
        <v/>
      </c>
    </row>
    <row r="2132">
      <c r="A2132" t="n">
        <v>2019</v>
      </c>
      <c r="B2132" t="inlineStr">
        <is>
          <t>Q1</t>
        </is>
      </c>
      <c r="C2132" t="inlineStr">
        <is>
          <t>Asia</t>
        </is>
      </c>
      <c r="D2132" t="inlineStr">
        <is>
          <t>Semi</t>
        </is>
      </c>
      <c r="E2132" t="n">
        <v>3107</v>
      </c>
      <c r="F2132" t="n">
        <v>63678.18</v>
      </c>
      <c r="G2132" t="n">
        <v>13</v>
      </c>
      <c r="H2132" t="inlineStr">
        <is>
          <t>Standard</t>
        </is>
      </c>
      <c r="I2132" t="inlineStr">
        <is>
          <t>AWD</t>
        </is>
      </c>
      <c r="J2132" t="inlineStr">
        <is>
          <t>Red</t>
        </is>
      </c>
      <c r="K2132" t="n">
        <v>598</v>
      </c>
      <c r="L2132" t="n">
        <v>42</v>
      </c>
      <c r="M2132" t="n">
        <v>14.25</v>
      </c>
      <c r="N2132" t="n">
        <v>7320.75</v>
      </c>
      <c r="O2132" t="n">
        <v>3.66</v>
      </c>
      <c r="P2132" t="n">
        <v>8</v>
      </c>
      <c r="Q2132" t="n">
        <v>1</v>
      </c>
      <c r="R2132" t="n">
        <v>2022.1</v>
      </c>
      <c r="S2132" t="b">
        <v>1</v>
      </c>
      <c r="T2132" t="n">
        <v>1009686</v>
      </c>
      <c r="U2132" t="n">
        <v>12</v>
      </c>
      <c r="V2132" t="n">
        <v>0.0265</v>
      </c>
      <c r="W2132" t="n">
        <v>1.75</v>
      </c>
      <c r="X2132" t="n">
        <v>70.72</v>
      </c>
      <c r="Y2132">
        <f>VLOOKUP(D2132,$AB$2:$AC$7,2,FALSE)</f>
        <v/>
      </c>
      <c r="Z2132">
        <f>IF(A2132&lt;Y2132,"Yes","No")</f>
        <v/>
      </c>
    </row>
    <row r="2133">
      <c r="A2133" t="n">
        <v>2019</v>
      </c>
      <c r="B2133" t="inlineStr">
        <is>
          <t>Q2</t>
        </is>
      </c>
      <c r="C2133" t="inlineStr">
        <is>
          <t>Asia</t>
        </is>
      </c>
      <c r="D2133" t="inlineStr">
        <is>
          <t>Model S</t>
        </is>
      </c>
      <c r="E2133" t="n">
        <v>3054</v>
      </c>
      <c r="F2133" t="n">
        <v>66112.32000000001</v>
      </c>
      <c r="G2133" t="n">
        <v>50</v>
      </c>
      <c r="H2133" t="inlineStr">
        <is>
          <t>Performance</t>
        </is>
      </c>
      <c r="I2133" t="inlineStr">
        <is>
          <t>AWD</t>
        </is>
      </c>
      <c r="J2133" t="inlineStr">
        <is>
          <t>White</t>
        </is>
      </c>
      <c r="K2133" t="n">
        <v>403</v>
      </c>
      <c r="L2133" t="n">
        <v>61</v>
      </c>
      <c r="M2133" t="n">
        <v>18.63</v>
      </c>
      <c r="N2133" t="n">
        <v>5403.47</v>
      </c>
      <c r="O2133" t="n">
        <v>4.03</v>
      </c>
      <c r="P2133" t="n">
        <v>6</v>
      </c>
      <c r="Q2133" t="n">
        <v>1</v>
      </c>
      <c r="R2133" t="n">
        <v>2023.5</v>
      </c>
      <c r="S2133" t="b">
        <v>1</v>
      </c>
      <c r="T2133" t="n">
        <v>2362083</v>
      </c>
      <c r="U2133" t="n">
        <v>5</v>
      </c>
      <c r="V2133" t="n">
        <v>0.0494</v>
      </c>
      <c r="W2133" t="n">
        <v>0.8100000000000001</v>
      </c>
      <c r="X2133" t="n">
        <v>82.33</v>
      </c>
      <c r="Y2133">
        <f>VLOOKUP(D2133,$AB$2:$AC$7,2,FALSE)</f>
        <v/>
      </c>
      <c r="Z2133">
        <f>IF(A2133&lt;Y2133,"Yes","No")</f>
        <v/>
      </c>
    </row>
    <row r="2134">
      <c r="A2134" t="n">
        <v>2024</v>
      </c>
      <c r="B2134" t="inlineStr">
        <is>
          <t>Q2</t>
        </is>
      </c>
      <c r="C2134" t="inlineStr">
        <is>
          <t>North America</t>
        </is>
      </c>
      <c r="D2134" t="inlineStr">
        <is>
          <t>Model 3</t>
        </is>
      </c>
      <c r="E2134" t="n">
        <v>1091</v>
      </c>
      <c r="F2134" t="n">
        <v>39359.49</v>
      </c>
      <c r="G2134" t="n">
        <v>4</v>
      </c>
      <c r="H2134" t="inlineStr">
        <is>
          <t>Standard</t>
        </is>
      </c>
      <c r="I2134" t="inlineStr">
        <is>
          <t>RWD</t>
        </is>
      </c>
      <c r="J2134" t="inlineStr">
        <is>
          <t>White</t>
        </is>
      </c>
      <c r="K2134" t="n">
        <v>642</v>
      </c>
      <c r="L2134" t="n">
        <v>55</v>
      </c>
      <c r="M2134" t="n">
        <v>13.5</v>
      </c>
      <c r="N2134" t="n">
        <v>898.84</v>
      </c>
      <c r="O2134" t="n">
        <v>4.01</v>
      </c>
      <c r="P2134" t="n">
        <v>4</v>
      </c>
      <c r="Q2134" t="n">
        <v>0</v>
      </c>
      <c r="R2134" t="n">
        <v>2022.9</v>
      </c>
      <c r="S2134" t="b">
        <v>0</v>
      </c>
      <c r="T2134" t="n">
        <v>3617957</v>
      </c>
      <c r="U2134" t="n">
        <v>2</v>
      </c>
      <c r="V2134" t="n">
        <v>0.06610000000000001</v>
      </c>
      <c r="W2134" t="n">
        <v>1.4</v>
      </c>
      <c r="X2134" t="n">
        <v>66.95999999999999</v>
      </c>
      <c r="Y2134">
        <f>VLOOKUP(D2134,$AB$2:$AC$7,2,FALSE)</f>
        <v/>
      </c>
      <c r="Z2134">
        <f>IF(A2134&lt;Y2134,"Yes","No")</f>
        <v/>
      </c>
    </row>
    <row r="2135">
      <c r="A2135" t="n">
        <v>2014</v>
      </c>
      <c r="B2135" t="inlineStr">
        <is>
          <t>Q3</t>
        </is>
      </c>
      <c r="C2135" t="inlineStr">
        <is>
          <t>North America</t>
        </is>
      </c>
      <c r="D2135" t="inlineStr">
        <is>
          <t>Model S</t>
        </is>
      </c>
      <c r="E2135" t="n">
        <v>4748</v>
      </c>
      <c r="F2135" t="n">
        <v>55282.97</v>
      </c>
      <c r="G2135" t="n">
        <v>10</v>
      </c>
      <c r="H2135" t="inlineStr">
        <is>
          <t>Standard</t>
        </is>
      </c>
      <c r="I2135" t="inlineStr">
        <is>
          <t>RWD</t>
        </is>
      </c>
      <c r="J2135" t="inlineStr">
        <is>
          <t>Blue</t>
        </is>
      </c>
      <c r="K2135" t="n">
        <v>668</v>
      </c>
      <c r="L2135" t="n">
        <v>42</v>
      </c>
      <c r="M2135" t="n">
        <v>22.47</v>
      </c>
      <c r="N2135" t="n">
        <v>2936.25</v>
      </c>
      <c r="O2135" t="n">
        <v>4.6</v>
      </c>
      <c r="P2135" t="n">
        <v>8</v>
      </c>
      <c r="Q2135" t="n">
        <v>2</v>
      </c>
      <c r="R2135" t="n">
        <v>2020.7</v>
      </c>
      <c r="S2135" t="b">
        <v>0</v>
      </c>
      <c r="T2135" t="n">
        <v>1052227</v>
      </c>
      <c r="U2135" t="n">
        <v>12</v>
      </c>
      <c r="V2135" t="n">
        <v>0.07489999999999999</v>
      </c>
      <c r="W2135" t="n">
        <v>2.46</v>
      </c>
      <c r="X2135" t="n">
        <v>87.45999999999999</v>
      </c>
      <c r="Y2135">
        <f>VLOOKUP(D2135,$AB$2:$AC$7,2,FALSE)</f>
        <v/>
      </c>
      <c r="Z2135">
        <f>IF(A2135&lt;Y2135,"Yes","No")</f>
        <v/>
      </c>
    </row>
    <row r="2136">
      <c r="A2136" t="n">
        <v>2020</v>
      </c>
      <c r="B2136" t="inlineStr">
        <is>
          <t>Q3</t>
        </is>
      </c>
      <c r="C2136" t="inlineStr">
        <is>
          <t>Asia</t>
        </is>
      </c>
      <c r="D2136" t="inlineStr">
        <is>
          <t>Semi</t>
        </is>
      </c>
      <c r="E2136" t="n">
        <v>2927</v>
      </c>
      <c r="F2136" t="n">
        <v>45761.5</v>
      </c>
      <c r="G2136" t="n">
        <v>25</v>
      </c>
      <c r="H2136" t="inlineStr">
        <is>
          <t>Long Range</t>
        </is>
      </c>
      <c r="I2136" t="inlineStr">
        <is>
          <t>RWD</t>
        </is>
      </c>
      <c r="J2136" t="inlineStr">
        <is>
          <t>Red</t>
        </is>
      </c>
      <c r="K2136" t="n">
        <v>402</v>
      </c>
      <c r="L2136" t="n">
        <v>87</v>
      </c>
      <c r="M2136" t="n">
        <v>21.91</v>
      </c>
      <c r="N2136" t="n">
        <v>6148.94</v>
      </c>
      <c r="O2136" t="n">
        <v>4.69</v>
      </c>
      <c r="P2136" t="n">
        <v>5</v>
      </c>
      <c r="Q2136" t="n">
        <v>0</v>
      </c>
      <c r="R2136" t="n">
        <v>2024.1</v>
      </c>
      <c r="S2136" t="b">
        <v>0</v>
      </c>
      <c r="T2136" t="n">
        <v>4224467</v>
      </c>
      <c r="U2136" t="n">
        <v>8</v>
      </c>
      <c r="V2136" t="n">
        <v>0.0772</v>
      </c>
      <c r="W2136" t="n">
        <v>1.09</v>
      </c>
      <c r="X2136" t="n">
        <v>88.43000000000001</v>
      </c>
      <c r="Y2136">
        <f>VLOOKUP(D2136,$AB$2:$AC$7,2,FALSE)</f>
        <v/>
      </c>
      <c r="Z2136">
        <f>IF(A2136&lt;Y2136,"Yes","No")</f>
        <v/>
      </c>
    </row>
    <row r="2137">
      <c r="A2137" t="n">
        <v>2018</v>
      </c>
      <c r="B2137" t="inlineStr">
        <is>
          <t>Q2</t>
        </is>
      </c>
      <c r="C2137" t="inlineStr">
        <is>
          <t>Europe</t>
        </is>
      </c>
      <c r="D2137" t="inlineStr">
        <is>
          <t>Model 3</t>
        </is>
      </c>
      <c r="E2137" t="n">
        <v>841</v>
      </c>
      <c r="F2137" t="n">
        <v>106103.1</v>
      </c>
      <c r="G2137" t="n">
        <v>7</v>
      </c>
      <c r="H2137" t="inlineStr">
        <is>
          <t>Performance</t>
        </is>
      </c>
      <c r="I2137" t="inlineStr">
        <is>
          <t>RWD</t>
        </is>
      </c>
      <c r="J2137" t="inlineStr">
        <is>
          <t>White</t>
        </is>
      </c>
      <c r="K2137" t="n">
        <v>413</v>
      </c>
      <c r="L2137" t="n">
        <v>68</v>
      </c>
      <c r="M2137" t="n">
        <v>17.52</v>
      </c>
      <c r="N2137" t="n">
        <v>1413.28</v>
      </c>
      <c r="O2137" t="n">
        <v>3.77</v>
      </c>
      <c r="P2137" t="n">
        <v>8</v>
      </c>
      <c r="Q2137" t="n">
        <v>0</v>
      </c>
      <c r="R2137" t="n">
        <v>2022.9</v>
      </c>
      <c r="S2137" t="b">
        <v>0</v>
      </c>
      <c r="T2137" t="n">
        <v>3066594</v>
      </c>
      <c r="U2137" t="n">
        <v>5</v>
      </c>
      <c r="V2137" t="n">
        <v>0.0173</v>
      </c>
      <c r="W2137" t="n">
        <v>1.04</v>
      </c>
      <c r="X2137" t="n">
        <v>83.90000000000001</v>
      </c>
      <c r="Y2137">
        <f>VLOOKUP(D2137,$AB$2:$AC$7,2,FALSE)</f>
        <v/>
      </c>
      <c r="Z2137">
        <f>IF(A2137&lt;Y2137,"Yes","No")</f>
        <v/>
      </c>
    </row>
    <row r="2138">
      <c r="A2138" t="n">
        <v>2016</v>
      </c>
      <c r="B2138" t="inlineStr">
        <is>
          <t>Q2</t>
        </is>
      </c>
      <c r="C2138" t="inlineStr">
        <is>
          <t>Europe</t>
        </is>
      </c>
      <c r="D2138" t="inlineStr">
        <is>
          <t>Model S</t>
        </is>
      </c>
      <c r="E2138" t="n">
        <v>4107</v>
      </c>
      <c r="F2138" t="n">
        <v>105278.73</v>
      </c>
      <c r="G2138" t="n">
        <v>57</v>
      </c>
      <c r="H2138" t="inlineStr">
        <is>
          <t>Long Range</t>
        </is>
      </c>
      <c r="I2138" t="inlineStr">
        <is>
          <t>AWD</t>
        </is>
      </c>
      <c r="J2138" t="inlineStr">
        <is>
          <t>Red</t>
        </is>
      </c>
      <c r="K2138" t="n">
        <v>700</v>
      </c>
      <c r="L2138" t="n">
        <v>32</v>
      </c>
      <c r="M2138" t="n">
        <v>24.18</v>
      </c>
      <c r="N2138" t="n">
        <v>5810.69</v>
      </c>
      <c r="O2138" t="n">
        <v>3.75</v>
      </c>
      <c r="P2138" t="n">
        <v>8</v>
      </c>
      <c r="Q2138" t="n">
        <v>2</v>
      </c>
      <c r="R2138" t="n">
        <v>2024.1</v>
      </c>
      <c r="S2138" t="b">
        <v>0</v>
      </c>
      <c r="T2138" t="n">
        <v>4350185</v>
      </c>
      <c r="U2138" t="n">
        <v>11</v>
      </c>
      <c r="V2138" t="n">
        <v>0.0273</v>
      </c>
      <c r="W2138" t="n">
        <v>1.3</v>
      </c>
      <c r="X2138" t="n">
        <v>87.97</v>
      </c>
      <c r="Y2138">
        <f>VLOOKUP(D2138,$AB$2:$AC$7,2,FALSE)</f>
        <v/>
      </c>
      <c r="Z2138">
        <f>IF(A2138&lt;Y2138,"Yes","No")</f>
        <v/>
      </c>
    </row>
    <row r="2139">
      <c r="A2139" t="n">
        <v>2014</v>
      </c>
      <c r="B2139" t="inlineStr">
        <is>
          <t>Q4</t>
        </is>
      </c>
      <c r="C2139" t="inlineStr">
        <is>
          <t>North America</t>
        </is>
      </c>
      <c r="D2139" t="inlineStr">
        <is>
          <t>Model S</t>
        </is>
      </c>
      <c r="E2139" t="n">
        <v>4032</v>
      </c>
      <c r="F2139" t="n">
        <v>100769</v>
      </c>
      <c r="G2139" t="n">
        <v>56</v>
      </c>
      <c r="H2139" t="inlineStr">
        <is>
          <t>Performance</t>
        </is>
      </c>
      <c r="I2139" t="inlineStr">
        <is>
          <t>RWD</t>
        </is>
      </c>
      <c r="J2139" t="inlineStr">
        <is>
          <t>Green</t>
        </is>
      </c>
      <c r="K2139" t="n">
        <v>621</v>
      </c>
      <c r="L2139" t="n">
        <v>58</v>
      </c>
      <c r="M2139" t="n">
        <v>24.47</v>
      </c>
      <c r="N2139" t="n">
        <v>9318.43</v>
      </c>
      <c r="O2139" t="n">
        <v>4.64</v>
      </c>
      <c r="P2139" t="n">
        <v>4</v>
      </c>
      <c r="Q2139" t="n">
        <v>0</v>
      </c>
      <c r="R2139" t="n">
        <v>2020.2</v>
      </c>
      <c r="S2139" t="b">
        <v>1</v>
      </c>
      <c r="T2139" t="n">
        <v>377545</v>
      </c>
      <c r="U2139" t="n">
        <v>12</v>
      </c>
      <c r="V2139" t="n">
        <v>0.0415</v>
      </c>
      <c r="W2139" t="n">
        <v>1.87</v>
      </c>
      <c r="X2139" t="n">
        <v>77.42</v>
      </c>
      <c r="Y2139">
        <f>VLOOKUP(D2139,$AB$2:$AC$7,2,FALSE)</f>
        <v/>
      </c>
      <c r="Z2139">
        <f>IF(A2139&lt;Y2139,"Yes","No")</f>
        <v/>
      </c>
    </row>
    <row r="2140">
      <c r="A2140" t="n">
        <v>2015</v>
      </c>
      <c r="B2140" t="inlineStr">
        <is>
          <t>Q2</t>
        </is>
      </c>
      <c r="C2140" t="inlineStr">
        <is>
          <t>Asia</t>
        </is>
      </c>
      <c r="D2140" t="inlineStr">
        <is>
          <t>Model 3</t>
        </is>
      </c>
      <c r="E2140" t="n">
        <v>1261</v>
      </c>
      <c r="F2140" t="n">
        <v>52881.79</v>
      </c>
      <c r="G2140" t="n">
        <v>31</v>
      </c>
      <c r="H2140" t="inlineStr">
        <is>
          <t>Long Range</t>
        </is>
      </c>
      <c r="I2140" t="inlineStr">
        <is>
          <t>AWD</t>
        </is>
      </c>
      <c r="J2140" t="inlineStr">
        <is>
          <t>White</t>
        </is>
      </c>
      <c r="K2140" t="n">
        <v>496</v>
      </c>
      <c r="L2140" t="n">
        <v>80</v>
      </c>
      <c r="M2140" t="n">
        <v>19.29</v>
      </c>
      <c r="N2140" t="n">
        <v>706.09</v>
      </c>
      <c r="O2140" t="n">
        <v>4.48</v>
      </c>
      <c r="P2140" t="n">
        <v>5</v>
      </c>
      <c r="Q2140" t="n">
        <v>2</v>
      </c>
      <c r="R2140" t="n">
        <v>2022.9</v>
      </c>
      <c r="S2140" t="b">
        <v>0</v>
      </c>
      <c r="T2140" t="n">
        <v>4704409</v>
      </c>
      <c r="U2140" t="n">
        <v>6</v>
      </c>
      <c r="V2140" t="n">
        <v>0.0469</v>
      </c>
      <c r="W2140" t="n">
        <v>1.06</v>
      </c>
      <c r="X2140" t="n">
        <v>63.29</v>
      </c>
      <c r="Y2140">
        <f>VLOOKUP(D2140,$AB$2:$AC$7,2,FALSE)</f>
        <v/>
      </c>
      <c r="Z2140">
        <f>IF(A2140&lt;Y2140,"Yes","No")</f>
        <v/>
      </c>
    </row>
    <row r="2141">
      <c r="A2141" t="n">
        <v>2023</v>
      </c>
      <c r="B2141" t="inlineStr">
        <is>
          <t>Q2</t>
        </is>
      </c>
      <c r="C2141" t="inlineStr">
        <is>
          <t>Australia</t>
        </is>
      </c>
      <c r="D2141" t="inlineStr">
        <is>
          <t>Model S</t>
        </is>
      </c>
      <c r="E2141" t="n">
        <v>3294</v>
      </c>
      <c r="F2141" t="n">
        <v>96536.78999999999</v>
      </c>
      <c r="G2141" t="n">
        <v>23</v>
      </c>
      <c r="H2141" t="inlineStr">
        <is>
          <t>Long Range</t>
        </is>
      </c>
      <c r="I2141" t="inlineStr">
        <is>
          <t>RWD</t>
        </is>
      </c>
      <c r="J2141" t="inlineStr">
        <is>
          <t>Black</t>
        </is>
      </c>
      <c r="K2141" t="n">
        <v>589</v>
      </c>
      <c r="L2141" t="n">
        <v>67</v>
      </c>
      <c r="M2141" t="n">
        <v>15.97</v>
      </c>
      <c r="N2141" t="n">
        <v>5986.44</v>
      </c>
      <c r="O2141" t="n">
        <v>4.36</v>
      </c>
      <c r="P2141" t="n">
        <v>4</v>
      </c>
      <c r="Q2141" t="n">
        <v>1</v>
      </c>
      <c r="R2141" t="n">
        <v>2020.5</v>
      </c>
      <c r="S2141" t="b">
        <v>0</v>
      </c>
      <c r="T2141" t="n">
        <v>749272</v>
      </c>
      <c r="U2141" t="n">
        <v>8</v>
      </c>
      <c r="V2141" t="n">
        <v>0.06510000000000001</v>
      </c>
      <c r="W2141" t="n">
        <v>1.99</v>
      </c>
      <c r="X2141" t="n">
        <v>61.04</v>
      </c>
      <c r="Y2141">
        <f>VLOOKUP(D2141,$AB$2:$AC$7,2,FALSE)</f>
        <v/>
      </c>
      <c r="Z2141">
        <f>IF(A2141&lt;Y2141,"Yes","No")</f>
        <v/>
      </c>
    </row>
    <row r="2142">
      <c r="A2142" t="n">
        <v>2019</v>
      </c>
      <c r="B2142" t="inlineStr">
        <is>
          <t>Q4</t>
        </is>
      </c>
      <c r="C2142" t="inlineStr">
        <is>
          <t>North America</t>
        </is>
      </c>
      <c r="D2142" t="inlineStr">
        <is>
          <t>Model S</t>
        </is>
      </c>
      <c r="E2142" t="n">
        <v>1269</v>
      </c>
      <c r="F2142" t="n">
        <v>117038.25</v>
      </c>
      <c r="G2142" t="n">
        <v>54</v>
      </c>
      <c r="H2142" t="inlineStr">
        <is>
          <t>Long Range</t>
        </is>
      </c>
      <c r="I2142" t="inlineStr">
        <is>
          <t>RWD</t>
        </is>
      </c>
      <c r="J2142" t="inlineStr">
        <is>
          <t>White</t>
        </is>
      </c>
      <c r="K2142" t="n">
        <v>500</v>
      </c>
      <c r="L2142" t="n">
        <v>35</v>
      </c>
      <c r="M2142" t="n">
        <v>20.04</v>
      </c>
      <c r="N2142" t="n">
        <v>747.4400000000001</v>
      </c>
      <c r="O2142" t="n">
        <v>4.69</v>
      </c>
      <c r="P2142" t="n">
        <v>5</v>
      </c>
      <c r="Q2142" t="n">
        <v>3</v>
      </c>
      <c r="R2142" t="n">
        <v>2023.1</v>
      </c>
      <c r="S2142" t="b">
        <v>1</v>
      </c>
      <c r="T2142" t="n">
        <v>3576545</v>
      </c>
      <c r="U2142" t="n">
        <v>9</v>
      </c>
      <c r="V2142" t="n">
        <v>0.09320000000000001</v>
      </c>
      <c r="W2142" t="n">
        <v>0.57</v>
      </c>
      <c r="X2142" t="n">
        <v>60.32</v>
      </c>
      <c r="Y2142">
        <f>VLOOKUP(D2142,$AB$2:$AC$7,2,FALSE)</f>
        <v/>
      </c>
      <c r="Z2142">
        <f>IF(A2142&lt;Y2142,"Yes","No")</f>
        <v/>
      </c>
    </row>
    <row r="2143">
      <c r="A2143" t="n">
        <v>2017</v>
      </c>
      <c r="B2143" t="inlineStr">
        <is>
          <t>Q4</t>
        </is>
      </c>
      <c r="C2143" t="inlineStr">
        <is>
          <t>Europe</t>
        </is>
      </c>
      <c r="D2143" t="inlineStr">
        <is>
          <t>Model 3</t>
        </is>
      </c>
      <c r="E2143" t="n">
        <v>3745</v>
      </c>
      <c r="F2143" t="n">
        <v>104489.34</v>
      </c>
      <c r="G2143" t="n">
        <v>48</v>
      </c>
      <c r="H2143" t="inlineStr">
        <is>
          <t>Long Range</t>
        </is>
      </c>
      <c r="I2143" t="inlineStr">
        <is>
          <t>RWD</t>
        </is>
      </c>
      <c r="J2143" t="inlineStr">
        <is>
          <t>Green</t>
        </is>
      </c>
      <c r="K2143" t="n">
        <v>487</v>
      </c>
      <c r="L2143" t="n">
        <v>79</v>
      </c>
      <c r="M2143" t="n">
        <v>16.91</v>
      </c>
      <c r="N2143" t="n">
        <v>9293.459999999999</v>
      </c>
      <c r="O2143" t="n">
        <v>4.1</v>
      </c>
      <c r="P2143" t="n">
        <v>6</v>
      </c>
      <c r="Q2143" t="n">
        <v>2</v>
      </c>
      <c r="R2143" t="n">
        <v>2020.2</v>
      </c>
      <c r="S2143" t="b">
        <v>1</v>
      </c>
      <c r="T2143" t="n">
        <v>3494028</v>
      </c>
      <c r="U2143" t="n">
        <v>7</v>
      </c>
      <c r="V2143" t="n">
        <v>0.07770000000000001</v>
      </c>
      <c r="W2143" t="n">
        <v>1.96</v>
      </c>
      <c r="X2143" t="n">
        <v>65.28</v>
      </c>
      <c r="Y2143">
        <f>VLOOKUP(D2143,$AB$2:$AC$7,2,FALSE)</f>
        <v/>
      </c>
      <c r="Z2143">
        <f>IF(A2143&lt;Y2143,"Yes","No")</f>
        <v/>
      </c>
    </row>
    <row r="2144">
      <c r="A2144" t="n">
        <v>2014</v>
      </c>
      <c r="B2144" t="inlineStr">
        <is>
          <t>Q4</t>
        </is>
      </c>
      <c r="C2144" t="inlineStr">
        <is>
          <t>Australia</t>
        </is>
      </c>
      <c r="D2144" t="inlineStr">
        <is>
          <t>Cybertruck</t>
        </is>
      </c>
      <c r="E2144" t="n">
        <v>633</v>
      </c>
      <c r="F2144" t="n">
        <v>99643.53</v>
      </c>
      <c r="G2144" t="n">
        <v>4</v>
      </c>
      <c r="H2144" t="inlineStr">
        <is>
          <t>Long Range</t>
        </is>
      </c>
      <c r="I2144" t="inlineStr">
        <is>
          <t>RWD</t>
        </is>
      </c>
      <c r="J2144" t="inlineStr">
        <is>
          <t>Red</t>
        </is>
      </c>
      <c r="K2144" t="n">
        <v>442</v>
      </c>
      <c r="L2144" t="n">
        <v>52</v>
      </c>
      <c r="M2144" t="n">
        <v>20.23</v>
      </c>
      <c r="N2144" t="n">
        <v>533.45</v>
      </c>
      <c r="O2144" t="n">
        <v>4.18</v>
      </c>
      <c r="P2144" t="n">
        <v>4</v>
      </c>
      <c r="Q2144" t="n">
        <v>3</v>
      </c>
      <c r="R2144" t="n">
        <v>2024.5</v>
      </c>
      <c r="S2144" t="b">
        <v>1</v>
      </c>
      <c r="T2144" t="n">
        <v>1323341</v>
      </c>
      <c r="U2144" t="n">
        <v>4</v>
      </c>
      <c r="V2144" t="n">
        <v>0.0892</v>
      </c>
      <c r="W2144" t="n">
        <v>1.71</v>
      </c>
      <c r="X2144" t="n">
        <v>87.72</v>
      </c>
      <c r="Y2144">
        <f>VLOOKUP(D2144,$AB$2:$AC$7,2,FALSE)</f>
        <v/>
      </c>
      <c r="Z2144">
        <f>IF(A2144&lt;Y2144,"Yes","No")</f>
        <v/>
      </c>
    </row>
    <row r="2145">
      <c r="A2145" t="n">
        <v>2015</v>
      </c>
      <c r="B2145" t="inlineStr">
        <is>
          <t>Q3</t>
        </is>
      </c>
      <c r="C2145" t="inlineStr">
        <is>
          <t>North America</t>
        </is>
      </c>
      <c r="D2145" t="inlineStr">
        <is>
          <t>Cybertruck</t>
        </is>
      </c>
      <c r="E2145" t="n">
        <v>3679</v>
      </c>
      <c r="F2145" t="n">
        <v>63079.67</v>
      </c>
      <c r="G2145" t="n">
        <v>55</v>
      </c>
      <c r="H2145" t="inlineStr">
        <is>
          <t>Long Range</t>
        </is>
      </c>
      <c r="I2145" t="inlineStr">
        <is>
          <t>RWD</t>
        </is>
      </c>
      <c r="J2145" t="inlineStr">
        <is>
          <t>Red</t>
        </is>
      </c>
      <c r="K2145" t="n">
        <v>600</v>
      </c>
      <c r="L2145" t="n">
        <v>55</v>
      </c>
      <c r="M2145" t="n">
        <v>17.49</v>
      </c>
      <c r="N2145" t="n">
        <v>5404.91</v>
      </c>
      <c r="O2145" t="n">
        <v>3.74</v>
      </c>
      <c r="P2145" t="n">
        <v>6</v>
      </c>
      <c r="Q2145" t="n">
        <v>2</v>
      </c>
      <c r="R2145" t="n">
        <v>2024.9</v>
      </c>
      <c r="S2145" t="b">
        <v>1</v>
      </c>
      <c r="T2145" t="n">
        <v>3757412</v>
      </c>
      <c r="U2145" t="n">
        <v>8</v>
      </c>
      <c r="V2145" t="n">
        <v>0.0113</v>
      </c>
      <c r="W2145" t="n">
        <v>1.67</v>
      </c>
      <c r="X2145" t="n">
        <v>66.48999999999999</v>
      </c>
      <c r="Y2145">
        <f>VLOOKUP(D2145,$AB$2:$AC$7,2,FALSE)</f>
        <v/>
      </c>
      <c r="Z2145">
        <f>IF(A2145&lt;Y2145,"Yes","No")</f>
        <v/>
      </c>
    </row>
    <row r="2146">
      <c r="A2146" t="n">
        <v>2022</v>
      </c>
      <c r="B2146" t="inlineStr">
        <is>
          <t>Q3</t>
        </is>
      </c>
      <c r="C2146" t="inlineStr">
        <is>
          <t>North America</t>
        </is>
      </c>
      <c r="D2146" t="inlineStr">
        <is>
          <t>Cybertruck</t>
        </is>
      </c>
      <c r="E2146" t="n">
        <v>1696</v>
      </c>
      <c r="F2146" t="n">
        <v>97311.72</v>
      </c>
      <c r="G2146" t="n">
        <v>51</v>
      </c>
      <c r="H2146" t="inlineStr">
        <is>
          <t>Standard</t>
        </is>
      </c>
      <c r="I2146" t="inlineStr">
        <is>
          <t>RWD</t>
        </is>
      </c>
      <c r="J2146" t="inlineStr">
        <is>
          <t>Silver</t>
        </is>
      </c>
      <c r="K2146" t="n">
        <v>461</v>
      </c>
      <c r="L2146" t="n">
        <v>55</v>
      </c>
      <c r="M2146" t="n">
        <v>23.2</v>
      </c>
      <c r="N2146" t="n">
        <v>1229.21</v>
      </c>
      <c r="O2146" t="n">
        <v>4.75</v>
      </c>
      <c r="P2146" t="n">
        <v>5</v>
      </c>
      <c r="Q2146" t="n">
        <v>3</v>
      </c>
      <c r="R2146" t="n">
        <v>2023.9</v>
      </c>
      <c r="S2146" t="b">
        <v>0</v>
      </c>
      <c r="T2146" t="n">
        <v>3309006</v>
      </c>
      <c r="U2146" t="n">
        <v>12</v>
      </c>
      <c r="V2146" t="n">
        <v>0.0566</v>
      </c>
      <c r="W2146" t="n">
        <v>1.58</v>
      </c>
      <c r="X2146" t="n">
        <v>60.66</v>
      </c>
      <c r="Y2146">
        <f>VLOOKUP(D2146,$AB$2:$AC$7,2,FALSE)</f>
        <v/>
      </c>
      <c r="Z2146">
        <f>IF(A2146&lt;Y2146,"Yes","No")</f>
        <v/>
      </c>
    </row>
    <row r="2147">
      <c r="A2147" t="n">
        <v>2021</v>
      </c>
      <c r="B2147" t="inlineStr">
        <is>
          <t>Q3</t>
        </is>
      </c>
      <c r="C2147" t="inlineStr">
        <is>
          <t>Australia</t>
        </is>
      </c>
      <c r="D2147" t="inlineStr">
        <is>
          <t>Model X</t>
        </is>
      </c>
      <c r="E2147" t="n">
        <v>2004</v>
      </c>
      <c r="F2147" t="n">
        <v>39322.36</v>
      </c>
      <c r="G2147" t="n">
        <v>3</v>
      </c>
      <c r="H2147" t="inlineStr">
        <is>
          <t>Standard</t>
        </is>
      </c>
      <c r="I2147" t="inlineStr">
        <is>
          <t>AWD</t>
        </is>
      </c>
      <c r="J2147" t="inlineStr">
        <is>
          <t>Blue</t>
        </is>
      </c>
      <c r="K2147" t="n">
        <v>536</v>
      </c>
      <c r="L2147" t="n">
        <v>30</v>
      </c>
      <c r="M2147" t="n">
        <v>20.39</v>
      </c>
      <c r="N2147" t="n">
        <v>3775.23</v>
      </c>
      <c r="O2147" t="n">
        <v>4.49</v>
      </c>
      <c r="P2147" t="n">
        <v>4</v>
      </c>
      <c r="Q2147" t="n">
        <v>2</v>
      </c>
      <c r="R2147" t="n">
        <v>2023.1</v>
      </c>
      <c r="S2147" t="b">
        <v>1</v>
      </c>
      <c r="T2147" t="n">
        <v>4800258</v>
      </c>
      <c r="U2147" t="n">
        <v>2</v>
      </c>
      <c r="V2147" t="n">
        <v>0.0311</v>
      </c>
      <c r="W2147" t="n">
        <v>0.9399999999999999</v>
      </c>
      <c r="X2147" t="n">
        <v>84.05</v>
      </c>
      <c r="Y2147">
        <f>VLOOKUP(D2147,$AB$2:$AC$7,2,FALSE)</f>
        <v/>
      </c>
      <c r="Z2147">
        <f>IF(A2147&lt;Y2147,"Yes","No")</f>
        <v/>
      </c>
    </row>
    <row r="2148">
      <c r="A2148" t="n">
        <v>2016</v>
      </c>
      <c r="B2148" t="inlineStr">
        <is>
          <t>Q2</t>
        </is>
      </c>
      <c r="C2148" t="inlineStr">
        <is>
          <t>North America</t>
        </is>
      </c>
      <c r="D2148" t="inlineStr">
        <is>
          <t>Model 3</t>
        </is>
      </c>
      <c r="E2148" t="n">
        <v>3918</v>
      </c>
      <c r="F2148" t="n">
        <v>59538.14</v>
      </c>
      <c r="G2148" t="n">
        <v>52</v>
      </c>
      <c r="H2148" t="inlineStr">
        <is>
          <t>Standard</t>
        </is>
      </c>
      <c r="I2148" t="inlineStr">
        <is>
          <t>RWD</t>
        </is>
      </c>
      <c r="J2148" t="inlineStr">
        <is>
          <t>Silver</t>
        </is>
      </c>
      <c r="K2148" t="n">
        <v>466</v>
      </c>
      <c r="L2148" t="n">
        <v>67</v>
      </c>
      <c r="M2148" t="n">
        <v>15.11</v>
      </c>
      <c r="N2148" t="n">
        <v>3086.45</v>
      </c>
      <c r="O2148" t="n">
        <v>4.11</v>
      </c>
      <c r="P2148" t="n">
        <v>6</v>
      </c>
      <c r="Q2148" t="n">
        <v>2</v>
      </c>
      <c r="R2148" t="n">
        <v>2022.3</v>
      </c>
      <c r="S2148" t="b">
        <v>0</v>
      </c>
      <c r="T2148" t="n">
        <v>3594591</v>
      </c>
      <c r="U2148" t="n">
        <v>4</v>
      </c>
      <c r="V2148" t="n">
        <v>0.065</v>
      </c>
      <c r="W2148" t="n">
        <v>1.96</v>
      </c>
      <c r="X2148" t="n">
        <v>82.83</v>
      </c>
      <c r="Y2148">
        <f>VLOOKUP(D2148,$AB$2:$AC$7,2,FALSE)</f>
        <v/>
      </c>
      <c r="Z2148">
        <f>IF(A2148&lt;Y2148,"Yes","No")</f>
        <v/>
      </c>
    </row>
    <row r="2149">
      <c r="A2149" t="n">
        <v>2018</v>
      </c>
      <c r="B2149" t="inlineStr">
        <is>
          <t>Q2</t>
        </is>
      </c>
      <c r="C2149" t="inlineStr">
        <is>
          <t>Europe</t>
        </is>
      </c>
      <c r="D2149" t="inlineStr">
        <is>
          <t>Model X</t>
        </is>
      </c>
      <c r="E2149" t="n">
        <v>293</v>
      </c>
      <c r="F2149" t="n">
        <v>92718.94</v>
      </c>
      <c r="G2149" t="n">
        <v>11</v>
      </c>
      <c r="H2149" t="inlineStr">
        <is>
          <t>Performance</t>
        </is>
      </c>
      <c r="I2149" t="inlineStr">
        <is>
          <t>AWD</t>
        </is>
      </c>
      <c r="J2149" t="inlineStr">
        <is>
          <t>Silver</t>
        </is>
      </c>
      <c r="K2149" t="n">
        <v>526</v>
      </c>
      <c r="L2149" t="n">
        <v>69</v>
      </c>
      <c r="M2149" t="n">
        <v>19.03</v>
      </c>
      <c r="N2149" t="n">
        <v>516.05</v>
      </c>
      <c r="O2149" t="n">
        <v>4.5</v>
      </c>
      <c r="P2149" t="n">
        <v>4</v>
      </c>
      <c r="Q2149" t="n">
        <v>0</v>
      </c>
      <c r="R2149" t="n">
        <v>2024.9</v>
      </c>
      <c r="S2149" t="b">
        <v>1</v>
      </c>
      <c r="T2149" t="n">
        <v>4581696</v>
      </c>
      <c r="U2149" t="n">
        <v>10</v>
      </c>
      <c r="V2149" t="n">
        <v>0.0751</v>
      </c>
      <c r="W2149" t="n">
        <v>1.03</v>
      </c>
      <c r="X2149" t="n">
        <v>78.75</v>
      </c>
      <c r="Y2149">
        <f>VLOOKUP(D2149,$AB$2:$AC$7,2,FALSE)</f>
        <v/>
      </c>
      <c r="Z2149">
        <f>IF(A2149&lt;Y2149,"Yes","No")</f>
        <v/>
      </c>
    </row>
    <row r="2150">
      <c r="A2150" t="n">
        <v>2015</v>
      </c>
      <c r="B2150" t="inlineStr">
        <is>
          <t>Q4</t>
        </is>
      </c>
      <c r="C2150" t="inlineStr">
        <is>
          <t>Europe</t>
        </is>
      </c>
      <c r="D2150" t="inlineStr">
        <is>
          <t>Model Y</t>
        </is>
      </c>
      <c r="E2150" t="n">
        <v>1250</v>
      </c>
      <c r="F2150" t="n">
        <v>119598.58</v>
      </c>
      <c r="G2150" t="n">
        <v>49</v>
      </c>
      <c r="H2150" t="inlineStr">
        <is>
          <t>Long Range</t>
        </is>
      </c>
      <c r="I2150" t="inlineStr">
        <is>
          <t>RWD</t>
        </is>
      </c>
      <c r="J2150" t="inlineStr">
        <is>
          <t>Black</t>
        </is>
      </c>
      <c r="K2150" t="n">
        <v>445</v>
      </c>
      <c r="L2150" t="n">
        <v>60</v>
      </c>
      <c r="M2150" t="n">
        <v>17.31</v>
      </c>
      <c r="N2150" t="n">
        <v>1272.48</v>
      </c>
      <c r="O2150" t="n">
        <v>4.08</v>
      </c>
      <c r="P2150" t="n">
        <v>5</v>
      </c>
      <c r="Q2150" t="n">
        <v>1</v>
      </c>
      <c r="R2150" t="n">
        <v>2023.3</v>
      </c>
      <c r="S2150" t="b">
        <v>1</v>
      </c>
      <c r="T2150" t="n">
        <v>1339031</v>
      </c>
      <c r="U2150" t="n">
        <v>3</v>
      </c>
      <c r="V2150" t="n">
        <v>0.082</v>
      </c>
      <c r="W2150" t="n">
        <v>2.49</v>
      </c>
      <c r="X2150" t="n">
        <v>67.14</v>
      </c>
      <c r="Y2150">
        <f>VLOOKUP(D2150,$AB$2:$AC$7,2,FALSE)</f>
        <v/>
      </c>
      <c r="Z2150">
        <f>IF(A2150&lt;Y2150,"Yes","No")</f>
        <v/>
      </c>
    </row>
    <row r="2151">
      <c r="A2151" t="n">
        <v>2017</v>
      </c>
      <c r="B2151" t="inlineStr">
        <is>
          <t>Q1</t>
        </is>
      </c>
      <c r="C2151" t="inlineStr">
        <is>
          <t>North America</t>
        </is>
      </c>
      <c r="D2151" t="inlineStr">
        <is>
          <t>Model Y</t>
        </is>
      </c>
      <c r="E2151" t="n">
        <v>4788</v>
      </c>
      <c r="F2151" t="n">
        <v>50945.73</v>
      </c>
      <c r="G2151" t="n">
        <v>55</v>
      </c>
      <c r="H2151" t="inlineStr">
        <is>
          <t>Standard</t>
        </is>
      </c>
      <c r="I2151" t="inlineStr">
        <is>
          <t>RWD</t>
        </is>
      </c>
      <c r="J2151" t="inlineStr">
        <is>
          <t>White</t>
        </is>
      </c>
      <c r="K2151" t="n">
        <v>535</v>
      </c>
      <c r="L2151" t="n">
        <v>36</v>
      </c>
      <c r="M2151" t="n">
        <v>14.02</v>
      </c>
      <c r="N2151" t="n">
        <v>8763.01</v>
      </c>
      <c r="O2151" t="n">
        <v>4.01</v>
      </c>
      <c r="P2151" t="n">
        <v>4</v>
      </c>
      <c r="Q2151" t="n">
        <v>3</v>
      </c>
      <c r="R2151" t="n">
        <v>2020.9</v>
      </c>
      <c r="S2151" t="b">
        <v>0</v>
      </c>
      <c r="T2151" t="n">
        <v>1555341</v>
      </c>
      <c r="U2151" t="n">
        <v>6</v>
      </c>
      <c r="V2151" t="n">
        <v>0.08500000000000001</v>
      </c>
      <c r="W2151" t="n">
        <v>2.07</v>
      </c>
      <c r="X2151" t="n">
        <v>86.36</v>
      </c>
      <c r="Y2151">
        <f>VLOOKUP(D2151,$AB$2:$AC$7,2,FALSE)</f>
        <v/>
      </c>
      <c r="Z2151">
        <f>IF(A2151&lt;Y2151,"Yes","No")</f>
        <v/>
      </c>
    </row>
    <row r="2152">
      <c r="A2152" t="n">
        <v>2015</v>
      </c>
      <c r="B2152" t="inlineStr">
        <is>
          <t>Q2</t>
        </is>
      </c>
      <c r="C2152" t="inlineStr">
        <is>
          <t>South America</t>
        </is>
      </c>
      <c r="D2152" t="inlineStr">
        <is>
          <t>Model Y</t>
        </is>
      </c>
      <c r="E2152" t="n">
        <v>3540</v>
      </c>
      <c r="F2152" t="n">
        <v>104134.46</v>
      </c>
      <c r="G2152" t="n">
        <v>0</v>
      </c>
      <c r="H2152" t="inlineStr">
        <is>
          <t>Performance</t>
        </is>
      </c>
      <c r="I2152" t="inlineStr">
        <is>
          <t>RWD</t>
        </is>
      </c>
      <c r="J2152" t="inlineStr">
        <is>
          <t>Blue</t>
        </is>
      </c>
      <c r="K2152" t="n">
        <v>515</v>
      </c>
      <c r="L2152" t="n">
        <v>84</v>
      </c>
      <c r="M2152" t="n">
        <v>14.79</v>
      </c>
      <c r="N2152" t="n">
        <v>5840.73</v>
      </c>
      <c r="O2152" t="n">
        <v>4.09</v>
      </c>
      <c r="P2152" t="n">
        <v>6</v>
      </c>
      <c r="Q2152" t="n">
        <v>3</v>
      </c>
      <c r="R2152" t="n">
        <v>2020.11</v>
      </c>
      <c r="S2152" t="b">
        <v>1</v>
      </c>
      <c r="T2152" t="n">
        <v>4395271</v>
      </c>
      <c r="U2152" t="n">
        <v>3</v>
      </c>
      <c r="V2152" t="n">
        <v>0.0291</v>
      </c>
      <c r="W2152" t="n">
        <v>2.29</v>
      </c>
      <c r="X2152" t="n">
        <v>79.75</v>
      </c>
      <c r="Y2152">
        <f>VLOOKUP(D2152,$AB$2:$AC$7,2,FALSE)</f>
        <v/>
      </c>
      <c r="Z2152">
        <f>IF(A2152&lt;Y2152,"Yes","No")</f>
        <v/>
      </c>
    </row>
    <row r="2153">
      <c r="A2153" t="n">
        <v>2019</v>
      </c>
      <c r="B2153" t="inlineStr">
        <is>
          <t>Q2</t>
        </is>
      </c>
      <c r="C2153" t="inlineStr">
        <is>
          <t>Europe</t>
        </is>
      </c>
      <c r="D2153" t="inlineStr">
        <is>
          <t>Semi</t>
        </is>
      </c>
      <c r="E2153" t="n">
        <v>4746</v>
      </c>
      <c r="F2153" t="n">
        <v>45087.81</v>
      </c>
      <c r="G2153" t="n">
        <v>45</v>
      </c>
      <c r="H2153" t="inlineStr">
        <is>
          <t>Standard</t>
        </is>
      </c>
      <c r="I2153" t="inlineStr">
        <is>
          <t>RWD</t>
        </is>
      </c>
      <c r="J2153" t="inlineStr">
        <is>
          <t>Blue</t>
        </is>
      </c>
      <c r="K2153" t="n">
        <v>518</v>
      </c>
      <c r="L2153" t="n">
        <v>89</v>
      </c>
      <c r="M2153" t="n">
        <v>17.38</v>
      </c>
      <c r="N2153" t="n">
        <v>2887.65</v>
      </c>
      <c r="O2153" t="n">
        <v>4.12</v>
      </c>
      <c r="P2153" t="n">
        <v>5</v>
      </c>
      <c r="Q2153" t="n">
        <v>3</v>
      </c>
      <c r="R2153" t="n">
        <v>2024.12</v>
      </c>
      <c r="S2153" t="b">
        <v>0</v>
      </c>
      <c r="T2153" t="n">
        <v>631426</v>
      </c>
      <c r="U2153" t="n">
        <v>8</v>
      </c>
      <c r="V2153" t="n">
        <v>0.0512</v>
      </c>
      <c r="W2153" t="n">
        <v>1.97</v>
      </c>
      <c r="X2153" t="n">
        <v>72.62</v>
      </c>
      <c r="Y2153">
        <f>VLOOKUP(D2153,$AB$2:$AC$7,2,FALSE)</f>
        <v/>
      </c>
      <c r="Z2153">
        <f>IF(A2153&lt;Y2153,"Yes","No")</f>
        <v/>
      </c>
    </row>
    <row r="2154">
      <c r="A2154" t="n">
        <v>2017</v>
      </c>
      <c r="B2154" t="inlineStr">
        <is>
          <t>Q3</t>
        </is>
      </c>
      <c r="C2154" t="inlineStr">
        <is>
          <t>South America</t>
        </is>
      </c>
      <c r="D2154" t="inlineStr">
        <is>
          <t>Cybertruck</t>
        </is>
      </c>
      <c r="E2154" t="n">
        <v>4805</v>
      </c>
      <c r="F2154" t="n">
        <v>41394.36</v>
      </c>
      <c r="G2154" t="n">
        <v>38</v>
      </c>
      <c r="H2154" t="inlineStr">
        <is>
          <t>Long Range</t>
        </is>
      </c>
      <c r="I2154" t="inlineStr">
        <is>
          <t>RWD</t>
        </is>
      </c>
      <c r="J2154" t="inlineStr">
        <is>
          <t>Silver</t>
        </is>
      </c>
      <c r="K2154" t="n">
        <v>576</v>
      </c>
      <c r="L2154" t="n">
        <v>55</v>
      </c>
      <c r="M2154" t="n">
        <v>13.74</v>
      </c>
      <c r="N2154" t="n">
        <v>4168.66</v>
      </c>
      <c r="O2154" t="n">
        <v>3.8</v>
      </c>
      <c r="P2154" t="n">
        <v>6</v>
      </c>
      <c r="Q2154" t="n">
        <v>2</v>
      </c>
      <c r="R2154" t="n">
        <v>2024.12</v>
      </c>
      <c r="S2154" t="b">
        <v>0</v>
      </c>
      <c r="T2154" t="n">
        <v>973598</v>
      </c>
      <c r="U2154" t="n">
        <v>6</v>
      </c>
      <c r="V2154" t="n">
        <v>0.0311</v>
      </c>
      <c r="W2154" t="n">
        <v>1.83</v>
      </c>
      <c r="X2154" t="n">
        <v>82.14</v>
      </c>
      <c r="Y2154">
        <f>VLOOKUP(D2154,$AB$2:$AC$7,2,FALSE)</f>
        <v/>
      </c>
      <c r="Z2154">
        <f>IF(A2154&lt;Y2154,"Yes","No")</f>
        <v/>
      </c>
    </row>
    <row r="2155">
      <c r="A2155" t="n">
        <v>2015</v>
      </c>
      <c r="B2155" t="inlineStr">
        <is>
          <t>Q3</t>
        </is>
      </c>
      <c r="C2155" t="inlineStr">
        <is>
          <t>Europe</t>
        </is>
      </c>
      <c r="D2155" t="inlineStr">
        <is>
          <t>Model X</t>
        </is>
      </c>
      <c r="E2155" t="n">
        <v>898</v>
      </c>
      <c r="F2155" t="n">
        <v>107382.88</v>
      </c>
      <c r="G2155" t="n">
        <v>9</v>
      </c>
      <c r="H2155" t="inlineStr">
        <is>
          <t>Long Range</t>
        </is>
      </c>
      <c r="I2155" t="inlineStr">
        <is>
          <t>AWD</t>
        </is>
      </c>
      <c r="J2155" t="inlineStr">
        <is>
          <t>Red</t>
        </is>
      </c>
      <c r="K2155" t="n">
        <v>604</v>
      </c>
      <c r="L2155" t="n">
        <v>59</v>
      </c>
      <c r="M2155" t="n">
        <v>18.63</v>
      </c>
      <c r="N2155" t="n">
        <v>936.75</v>
      </c>
      <c r="O2155" t="n">
        <v>4.85</v>
      </c>
      <c r="P2155" t="n">
        <v>5</v>
      </c>
      <c r="Q2155" t="n">
        <v>1</v>
      </c>
      <c r="R2155" t="n">
        <v>2021.2</v>
      </c>
      <c r="S2155" t="b">
        <v>1</v>
      </c>
      <c r="T2155" t="n">
        <v>2629321</v>
      </c>
      <c r="U2155" t="n">
        <v>4</v>
      </c>
      <c r="V2155" t="n">
        <v>0.097</v>
      </c>
      <c r="W2155" t="n">
        <v>0.72</v>
      </c>
      <c r="X2155" t="n">
        <v>81.5</v>
      </c>
      <c r="Y2155">
        <f>VLOOKUP(D2155,$AB$2:$AC$7,2,FALSE)</f>
        <v/>
      </c>
      <c r="Z2155">
        <f>IF(A2155&lt;Y2155,"Yes","No")</f>
        <v/>
      </c>
    </row>
    <row r="2156">
      <c r="A2156" t="n">
        <v>2021</v>
      </c>
      <c r="B2156" t="inlineStr">
        <is>
          <t>Q4</t>
        </is>
      </c>
      <c r="C2156" t="inlineStr">
        <is>
          <t>Europe</t>
        </is>
      </c>
      <c r="D2156" t="inlineStr">
        <is>
          <t>Cybertruck</t>
        </is>
      </c>
      <c r="E2156" t="n">
        <v>808</v>
      </c>
      <c r="F2156" t="n">
        <v>91793</v>
      </c>
      <c r="G2156" t="n">
        <v>55</v>
      </c>
      <c r="H2156" t="inlineStr">
        <is>
          <t>Performance</t>
        </is>
      </c>
      <c r="I2156" t="inlineStr">
        <is>
          <t>AWD</t>
        </is>
      </c>
      <c r="J2156" t="inlineStr">
        <is>
          <t>Black</t>
        </is>
      </c>
      <c r="K2156" t="n">
        <v>481</v>
      </c>
      <c r="L2156" t="n">
        <v>58</v>
      </c>
      <c r="M2156" t="n">
        <v>15.45</v>
      </c>
      <c r="N2156" t="n">
        <v>1137.18</v>
      </c>
      <c r="O2156" t="n">
        <v>3.65</v>
      </c>
      <c r="P2156" t="n">
        <v>5</v>
      </c>
      <c r="Q2156" t="n">
        <v>2</v>
      </c>
      <c r="R2156" t="n">
        <v>2024.4</v>
      </c>
      <c r="S2156" t="b">
        <v>0</v>
      </c>
      <c r="T2156" t="n">
        <v>223663</v>
      </c>
      <c r="U2156" t="n">
        <v>10</v>
      </c>
      <c r="V2156" t="n">
        <v>0.0762</v>
      </c>
      <c r="W2156" t="n">
        <v>0.97</v>
      </c>
      <c r="X2156" t="n">
        <v>74.22</v>
      </c>
      <c r="Y2156">
        <f>VLOOKUP(D2156,$AB$2:$AC$7,2,FALSE)</f>
        <v/>
      </c>
      <c r="Z2156">
        <f>IF(A2156&lt;Y2156,"Yes","No")</f>
        <v/>
      </c>
    </row>
    <row r="2157">
      <c r="A2157" t="n">
        <v>2012</v>
      </c>
      <c r="B2157" t="inlineStr">
        <is>
          <t>Q3</t>
        </is>
      </c>
      <c r="C2157" t="inlineStr">
        <is>
          <t>Asia</t>
        </is>
      </c>
      <c r="D2157" t="inlineStr">
        <is>
          <t>Model 3</t>
        </is>
      </c>
      <c r="E2157" t="n">
        <v>2692</v>
      </c>
      <c r="F2157" t="n">
        <v>42444.03</v>
      </c>
      <c r="G2157" t="n">
        <v>13</v>
      </c>
      <c r="H2157" t="inlineStr">
        <is>
          <t>Long Range</t>
        </is>
      </c>
      <c r="I2157" t="inlineStr">
        <is>
          <t>RWD</t>
        </is>
      </c>
      <c r="J2157" t="inlineStr">
        <is>
          <t>Green</t>
        </is>
      </c>
      <c r="K2157" t="n">
        <v>453</v>
      </c>
      <c r="L2157" t="n">
        <v>73</v>
      </c>
      <c r="M2157" t="n">
        <v>21.51</v>
      </c>
      <c r="N2157" t="n">
        <v>6709.68</v>
      </c>
      <c r="O2157" t="n">
        <v>3.6</v>
      </c>
      <c r="P2157" t="n">
        <v>8</v>
      </c>
      <c r="Q2157" t="n">
        <v>0</v>
      </c>
      <c r="R2157" t="n">
        <v>2024.11</v>
      </c>
      <c r="S2157" t="b">
        <v>1</v>
      </c>
      <c r="T2157" t="n">
        <v>3293686</v>
      </c>
      <c r="U2157" t="n">
        <v>5</v>
      </c>
      <c r="V2157" t="n">
        <v>0.09370000000000001</v>
      </c>
      <c r="W2157" t="n">
        <v>0.89</v>
      </c>
      <c r="X2157" t="n">
        <v>70.45</v>
      </c>
      <c r="Y2157">
        <f>VLOOKUP(D2157,$AB$2:$AC$7,2,FALSE)</f>
        <v/>
      </c>
      <c r="Z2157">
        <f>IF(A2157&lt;Y2157,"Yes","No")</f>
        <v/>
      </c>
    </row>
    <row r="2158">
      <c r="A2158" t="n">
        <v>2019</v>
      </c>
      <c r="B2158" t="inlineStr">
        <is>
          <t>Q1</t>
        </is>
      </c>
      <c r="C2158" t="inlineStr">
        <is>
          <t>Asia</t>
        </is>
      </c>
      <c r="D2158" t="inlineStr">
        <is>
          <t>Model X</t>
        </is>
      </c>
      <c r="E2158" t="n">
        <v>1779</v>
      </c>
      <c r="F2158" t="n">
        <v>55664.19</v>
      </c>
      <c r="G2158" t="n">
        <v>40</v>
      </c>
      <c r="H2158" t="inlineStr">
        <is>
          <t>Performance</t>
        </is>
      </c>
      <c r="I2158" t="inlineStr">
        <is>
          <t>AWD</t>
        </is>
      </c>
      <c r="J2158" t="inlineStr">
        <is>
          <t>White</t>
        </is>
      </c>
      <c r="K2158" t="n">
        <v>504</v>
      </c>
      <c r="L2158" t="n">
        <v>36</v>
      </c>
      <c r="M2158" t="n">
        <v>18.82</v>
      </c>
      <c r="N2158" t="n">
        <v>2348.87</v>
      </c>
      <c r="O2158" t="n">
        <v>4.36</v>
      </c>
      <c r="P2158" t="n">
        <v>5</v>
      </c>
      <c r="Q2158" t="n">
        <v>1</v>
      </c>
      <c r="R2158" t="n">
        <v>2020.7</v>
      </c>
      <c r="S2158" t="b">
        <v>1</v>
      </c>
      <c r="T2158" t="n">
        <v>4878250</v>
      </c>
      <c r="U2158" t="n">
        <v>12</v>
      </c>
      <c r="V2158" t="n">
        <v>0.0633</v>
      </c>
      <c r="W2158" t="n">
        <v>1.95</v>
      </c>
      <c r="X2158" t="n">
        <v>70.23</v>
      </c>
      <c r="Y2158">
        <f>VLOOKUP(D2158,$AB$2:$AC$7,2,FALSE)</f>
        <v/>
      </c>
      <c r="Z2158">
        <f>IF(A2158&lt;Y2158,"Yes","No")</f>
        <v/>
      </c>
    </row>
    <row r="2159">
      <c r="A2159" t="n">
        <v>2020</v>
      </c>
      <c r="B2159" t="inlineStr">
        <is>
          <t>Q1</t>
        </is>
      </c>
      <c r="C2159" t="inlineStr">
        <is>
          <t>Europe</t>
        </is>
      </c>
      <c r="D2159" t="inlineStr">
        <is>
          <t>Cybertruck</t>
        </is>
      </c>
      <c r="E2159" t="n">
        <v>2537</v>
      </c>
      <c r="F2159" t="n">
        <v>64458.59</v>
      </c>
      <c r="G2159" t="n">
        <v>7</v>
      </c>
      <c r="H2159" t="inlineStr">
        <is>
          <t>Performance</t>
        </is>
      </c>
      <c r="I2159" t="inlineStr">
        <is>
          <t>RWD</t>
        </is>
      </c>
      <c r="J2159" t="inlineStr">
        <is>
          <t>Silver</t>
        </is>
      </c>
      <c r="K2159" t="n">
        <v>401</v>
      </c>
      <c r="L2159" t="n">
        <v>78</v>
      </c>
      <c r="M2159" t="n">
        <v>19.77</v>
      </c>
      <c r="N2159" t="n">
        <v>4538.21</v>
      </c>
      <c r="O2159" t="n">
        <v>4.96</v>
      </c>
      <c r="P2159" t="n">
        <v>8</v>
      </c>
      <c r="Q2159" t="n">
        <v>1</v>
      </c>
      <c r="R2159" t="n">
        <v>2022.5</v>
      </c>
      <c r="S2159" t="b">
        <v>1</v>
      </c>
      <c r="T2159" t="n">
        <v>995721</v>
      </c>
      <c r="U2159" t="n">
        <v>6</v>
      </c>
      <c r="V2159" t="n">
        <v>0.039</v>
      </c>
      <c r="W2159" t="n">
        <v>1.96</v>
      </c>
      <c r="X2159" t="n">
        <v>70.16</v>
      </c>
      <c r="Y2159">
        <f>VLOOKUP(D2159,$AB$2:$AC$7,2,FALSE)</f>
        <v/>
      </c>
      <c r="Z2159">
        <f>IF(A2159&lt;Y2159,"Yes","No")</f>
        <v/>
      </c>
    </row>
    <row r="2160">
      <c r="A2160" t="n">
        <v>2015</v>
      </c>
      <c r="B2160" t="inlineStr">
        <is>
          <t>Q2</t>
        </is>
      </c>
      <c r="C2160" t="inlineStr">
        <is>
          <t>South America</t>
        </is>
      </c>
      <c r="D2160" t="inlineStr">
        <is>
          <t>Model Y</t>
        </is>
      </c>
      <c r="E2160" t="n">
        <v>959</v>
      </c>
      <c r="F2160" t="n">
        <v>101868.84</v>
      </c>
      <c r="G2160" t="n">
        <v>26</v>
      </c>
      <c r="H2160" t="inlineStr">
        <is>
          <t>Long Range</t>
        </is>
      </c>
      <c r="I2160" t="inlineStr">
        <is>
          <t>RWD</t>
        </is>
      </c>
      <c r="J2160" t="inlineStr">
        <is>
          <t>Blue</t>
        </is>
      </c>
      <c r="K2160" t="n">
        <v>391</v>
      </c>
      <c r="L2160" t="n">
        <v>57</v>
      </c>
      <c r="M2160" t="n">
        <v>14.21</v>
      </c>
      <c r="N2160" t="n">
        <v>2063.83</v>
      </c>
      <c r="O2160" t="n">
        <v>3.98</v>
      </c>
      <c r="P2160" t="n">
        <v>5</v>
      </c>
      <c r="Q2160" t="n">
        <v>1</v>
      </c>
      <c r="R2160" t="n">
        <v>2023.11</v>
      </c>
      <c r="S2160" t="b">
        <v>1</v>
      </c>
      <c r="T2160" t="n">
        <v>4160923</v>
      </c>
      <c r="U2160" t="n">
        <v>12</v>
      </c>
      <c r="V2160" t="n">
        <v>0.0814</v>
      </c>
      <c r="W2160" t="n">
        <v>2.16</v>
      </c>
      <c r="X2160" t="n">
        <v>71.48</v>
      </c>
      <c r="Y2160">
        <f>VLOOKUP(D2160,$AB$2:$AC$7,2,FALSE)</f>
        <v/>
      </c>
      <c r="Z2160">
        <f>IF(A2160&lt;Y2160,"Yes","No")</f>
        <v/>
      </c>
    </row>
    <row r="2161">
      <c r="A2161" t="n">
        <v>2013</v>
      </c>
      <c r="B2161" t="inlineStr">
        <is>
          <t>Q2</t>
        </is>
      </c>
      <c r="C2161" t="inlineStr">
        <is>
          <t>Australia</t>
        </is>
      </c>
      <c r="D2161" t="inlineStr">
        <is>
          <t>Semi</t>
        </is>
      </c>
      <c r="E2161" t="n">
        <v>2177</v>
      </c>
      <c r="F2161" t="n">
        <v>76130.03999999999</v>
      </c>
      <c r="G2161" t="n">
        <v>26</v>
      </c>
      <c r="H2161" t="inlineStr">
        <is>
          <t>Performance</t>
        </is>
      </c>
      <c r="I2161" t="inlineStr">
        <is>
          <t>RWD</t>
        </is>
      </c>
      <c r="J2161" t="inlineStr">
        <is>
          <t>Black</t>
        </is>
      </c>
      <c r="K2161" t="n">
        <v>389</v>
      </c>
      <c r="L2161" t="n">
        <v>41</v>
      </c>
      <c r="M2161" t="n">
        <v>14.3</v>
      </c>
      <c r="N2161" t="n">
        <v>4525.7</v>
      </c>
      <c r="O2161" t="n">
        <v>4.72</v>
      </c>
      <c r="P2161" t="n">
        <v>6</v>
      </c>
      <c r="Q2161" t="n">
        <v>0</v>
      </c>
      <c r="R2161" t="n">
        <v>2023.1</v>
      </c>
      <c r="S2161" t="b">
        <v>0</v>
      </c>
      <c r="T2161" t="n">
        <v>1277985</v>
      </c>
      <c r="U2161" t="n">
        <v>11</v>
      </c>
      <c r="V2161" t="n">
        <v>0.0484</v>
      </c>
      <c r="W2161" t="n">
        <v>2.47</v>
      </c>
      <c r="X2161" t="n">
        <v>85.62</v>
      </c>
      <c r="Y2161">
        <f>VLOOKUP(D2161,$AB$2:$AC$7,2,FALSE)</f>
        <v/>
      </c>
      <c r="Z2161">
        <f>IF(A2161&lt;Y2161,"Yes","No")</f>
        <v/>
      </c>
    </row>
    <row r="2162">
      <c r="A2162" t="n">
        <v>2016</v>
      </c>
      <c r="B2162" t="inlineStr">
        <is>
          <t>Q1</t>
        </is>
      </c>
      <c r="C2162" t="inlineStr">
        <is>
          <t>South America</t>
        </is>
      </c>
      <c r="D2162" t="inlineStr">
        <is>
          <t>Model Y</t>
        </is>
      </c>
      <c r="E2162" t="n">
        <v>1440</v>
      </c>
      <c r="F2162" t="n">
        <v>87092.85000000001</v>
      </c>
      <c r="G2162" t="n">
        <v>4</v>
      </c>
      <c r="H2162" t="inlineStr">
        <is>
          <t>Performance</t>
        </is>
      </c>
      <c r="I2162" t="inlineStr">
        <is>
          <t>AWD</t>
        </is>
      </c>
      <c r="J2162" t="inlineStr">
        <is>
          <t>Green</t>
        </is>
      </c>
      <c r="K2162" t="n">
        <v>543</v>
      </c>
      <c r="L2162" t="n">
        <v>86</v>
      </c>
      <c r="M2162" t="n">
        <v>18.33</v>
      </c>
      <c r="N2162" t="n">
        <v>3385.76</v>
      </c>
      <c r="O2162" t="n">
        <v>4.45</v>
      </c>
      <c r="P2162" t="n">
        <v>6</v>
      </c>
      <c r="Q2162" t="n">
        <v>3</v>
      </c>
      <c r="R2162" t="n">
        <v>2022.8</v>
      </c>
      <c r="S2162" t="b">
        <v>0</v>
      </c>
      <c r="T2162" t="n">
        <v>219736</v>
      </c>
      <c r="U2162" t="n">
        <v>3</v>
      </c>
      <c r="V2162" t="n">
        <v>0.06469999999999999</v>
      </c>
      <c r="W2162" t="n">
        <v>0.79</v>
      </c>
      <c r="X2162" t="n">
        <v>70.91</v>
      </c>
      <c r="Y2162">
        <f>VLOOKUP(D2162,$AB$2:$AC$7,2,FALSE)</f>
        <v/>
      </c>
      <c r="Z2162">
        <f>IF(A2162&lt;Y2162,"Yes","No")</f>
        <v/>
      </c>
    </row>
    <row r="2163">
      <c r="A2163" t="n">
        <v>2015</v>
      </c>
      <c r="B2163" t="inlineStr">
        <is>
          <t>Q1</t>
        </is>
      </c>
      <c r="C2163" t="inlineStr">
        <is>
          <t>Australia</t>
        </is>
      </c>
      <c r="D2163" t="inlineStr">
        <is>
          <t>Model X</t>
        </is>
      </c>
      <c r="E2163" t="n">
        <v>2722</v>
      </c>
      <c r="F2163" t="n">
        <v>102936.81</v>
      </c>
      <c r="G2163" t="n">
        <v>16</v>
      </c>
      <c r="H2163" t="inlineStr">
        <is>
          <t>Long Range</t>
        </is>
      </c>
      <c r="I2163" t="inlineStr">
        <is>
          <t>AWD</t>
        </is>
      </c>
      <c r="J2163" t="inlineStr">
        <is>
          <t>Blue</t>
        </is>
      </c>
      <c r="K2163" t="n">
        <v>407</v>
      </c>
      <c r="L2163" t="n">
        <v>48</v>
      </c>
      <c r="M2163" t="n">
        <v>21.47</v>
      </c>
      <c r="N2163" t="n">
        <v>4308.94</v>
      </c>
      <c r="O2163" t="n">
        <v>4.6</v>
      </c>
      <c r="P2163" t="n">
        <v>6</v>
      </c>
      <c r="Q2163" t="n">
        <v>0</v>
      </c>
      <c r="R2163" t="n">
        <v>2021.1</v>
      </c>
      <c r="S2163" t="b">
        <v>0</v>
      </c>
      <c r="T2163" t="n">
        <v>1154450</v>
      </c>
      <c r="U2163" t="n">
        <v>8</v>
      </c>
      <c r="V2163" t="n">
        <v>0.0529</v>
      </c>
      <c r="W2163" t="n">
        <v>1.06</v>
      </c>
      <c r="X2163" t="n">
        <v>73.2</v>
      </c>
      <c r="Y2163">
        <f>VLOOKUP(D2163,$AB$2:$AC$7,2,FALSE)</f>
        <v/>
      </c>
      <c r="Z2163">
        <f>IF(A2163&lt;Y2163,"Yes","No")</f>
        <v/>
      </c>
    </row>
    <row r="2164">
      <c r="A2164" t="n">
        <v>2021</v>
      </c>
      <c r="B2164" t="inlineStr">
        <is>
          <t>Q1</t>
        </is>
      </c>
      <c r="C2164" t="inlineStr">
        <is>
          <t>South America</t>
        </is>
      </c>
      <c r="D2164" t="inlineStr">
        <is>
          <t>Model X</t>
        </is>
      </c>
      <c r="E2164" t="n">
        <v>779</v>
      </c>
      <c r="F2164" t="n">
        <v>56929.89</v>
      </c>
      <c r="G2164" t="n">
        <v>22</v>
      </c>
      <c r="H2164" t="inlineStr">
        <is>
          <t>Performance</t>
        </is>
      </c>
      <c r="I2164" t="inlineStr">
        <is>
          <t>AWD</t>
        </is>
      </c>
      <c r="J2164" t="inlineStr">
        <is>
          <t>Silver</t>
        </is>
      </c>
      <c r="K2164" t="n">
        <v>530</v>
      </c>
      <c r="L2164" t="n">
        <v>55</v>
      </c>
      <c r="M2164" t="n">
        <v>15.36</v>
      </c>
      <c r="N2164" t="n">
        <v>1444.61</v>
      </c>
      <c r="O2164" t="n">
        <v>3.58</v>
      </c>
      <c r="P2164" t="n">
        <v>6</v>
      </c>
      <c r="Q2164" t="n">
        <v>2</v>
      </c>
      <c r="R2164" t="n">
        <v>2021.9</v>
      </c>
      <c r="S2164" t="b">
        <v>1</v>
      </c>
      <c r="T2164" t="n">
        <v>1692402</v>
      </c>
      <c r="U2164" t="n">
        <v>3</v>
      </c>
      <c r="V2164" t="n">
        <v>0.0946</v>
      </c>
      <c r="W2164" t="n">
        <v>0.8</v>
      </c>
      <c r="X2164" t="n">
        <v>78.59</v>
      </c>
      <c r="Y2164">
        <f>VLOOKUP(D2164,$AB$2:$AC$7,2,FALSE)</f>
        <v/>
      </c>
      <c r="Z2164">
        <f>IF(A2164&lt;Y2164,"Yes","No")</f>
        <v/>
      </c>
    </row>
    <row r="2165">
      <c r="A2165" t="n">
        <v>2018</v>
      </c>
      <c r="B2165" t="inlineStr">
        <is>
          <t>Q4</t>
        </is>
      </c>
      <c r="C2165" t="inlineStr">
        <is>
          <t>South America</t>
        </is>
      </c>
      <c r="D2165" t="inlineStr">
        <is>
          <t>Model 3</t>
        </is>
      </c>
      <c r="E2165" t="n">
        <v>2578</v>
      </c>
      <c r="F2165" t="n">
        <v>52227.2</v>
      </c>
      <c r="G2165" t="n">
        <v>22</v>
      </c>
      <c r="H2165" t="inlineStr">
        <is>
          <t>Performance</t>
        </is>
      </c>
      <c r="I2165" t="inlineStr">
        <is>
          <t>RWD</t>
        </is>
      </c>
      <c r="J2165" t="inlineStr">
        <is>
          <t>Silver</t>
        </is>
      </c>
      <c r="K2165" t="n">
        <v>646</v>
      </c>
      <c r="L2165" t="n">
        <v>36</v>
      </c>
      <c r="M2165" t="n">
        <v>23.46</v>
      </c>
      <c r="N2165" t="n">
        <v>3677.47</v>
      </c>
      <c r="O2165" t="n">
        <v>4.66</v>
      </c>
      <c r="P2165" t="n">
        <v>8</v>
      </c>
      <c r="Q2165" t="n">
        <v>1</v>
      </c>
      <c r="R2165" t="n">
        <v>2024.6</v>
      </c>
      <c r="S2165" t="b">
        <v>0</v>
      </c>
      <c r="T2165" t="n">
        <v>4928283</v>
      </c>
      <c r="U2165" t="n">
        <v>4</v>
      </c>
      <c r="V2165" t="n">
        <v>0.0228</v>
      </c>
      <c r="W2165" t="n">
        <v>1.93</v>
      </c>
      <c r="X2165" t="n">
        <v>80.93000000000001</v>
      </c>
      <c r="Y2165">
        <f>VLOOKUP(D2165,$AB$2:$AC$7,2,FALSE)</f>
        <v/>
      </c>
      <c r="Z2165">
        <f>IF(A2165&lt;Y2165,"Yes","No")</f>
        <v/>
      </c>
    </row>
    <row r="2166">
      <c r="A2166" t="n">
        <v>2016</v>
      </c>
      <c r="B2166" t="inlineStr">
        <is>
          <t>Q2</t>
        </is>
      </c>
      <c r="C2166" t="inlineStr">
        <is>
          <t>Australia</t>
        </is>
      </c>
      <c r="D2166" t="inlineStr">
        <is>
          <t>Semi</t>
        </is>
      </c>
      <c r="E2166" t="n">
        <v>3384</v>
      </c>
      <c r="F2166" t="n">
        <v>51672.59</v>
      </c>
      <c r="G2166" t="n">
        <v>25</v>
      </c>
      <c r="H2166" t="inlineStr">
        <is>
          <t>Standard</t>
        </is>
      </c>
      <c r="I2166" t="inlineStr">
        <is>
          <t>RWD</t>
        </is>
      </c>
      <c r="J2166" t="inlineStr">
        <is>
          <t>Red</t>
        </is>
      </c>
      <c r="K2166" t="n">
        <v>389</v>
      </c>
      <c r="L2166" t="n">
        <v>59</v>
      </c>
      <c r="M2166" t="n">
        <v>22.75</v>
      </c>
      <c r="N2166" t="n">
        <v>8223.6</v>
      </c>
      <c r="O2166" t="n">
        <v>4.16</v>
      </c>
      <c r="P2166" t="n">
        <v>5</v>
      </c>
      <c r="Q2166" t="n">
        <v>2</v>
      </c>
      <c r="R2166" t="n">
        <v>2024.6</v>
      </c>
      <c r="S2166" t="b">
        <v>0</v>
      </c>
      <c r="T2166" t="n">
        <v>1738060</v>
      </c>
      <c r="U2166" t="n">
        <v>11</v>
      </c>
      <c r="V2166" t="n">
        <v>0.0342</v>
      </c>
      <c r="W2166" t="n">
        <v>1.24</v>
      </c>
      <c r="X2166" t="n">
        <v>61.43</v>
      </c>
      <c r="Y2166">
        <f>VLOOKUP(D2166,$AB$2:$AC$7,2,FALSE)</f>
        <v/>
      </c>
      <c r="Z2166">
        <f>IF(A2166&lt;Y2166,"Yes","No")</f>
        <v/>
      </c>
    </row>
    <row r="2167">
      <c r="A2167" t="n">
        <v>2022</v>
      </c>
      <c r="B2167" t="inlineStr">
        <is>
          <t>Q3</t>
        </is>
      </c>
      <c r="C2167" t="inlineStr">
        <is>
          <t>South America</t>
        </is>
      </c>
      <c r="D2167" t="inlineStr">
        <is>
          <t>Semi</t>
        </is>
      </c>
      <c r="E2167" t="n">
        <v>1102</v>
      </c>
      <c r="F2167" t="n">
        <v>86587.89999999999</v>
      </c>
      <c r="G2167" t="n">
        <v>34</v>
      </c>
      <c r="H2167" t="inlineStr">
        <is>
          <t>Long Range</t>
        </is>
      </c>
      <c r="I2167" t="inlineStr">
        <is>
          <t>AWD</t>
        </is>
      </c>
      <c r="J2167" t="inlineStr">
        <is>
          <t>Red</t>
        </is>
      </c>
      <c r="K2167" t="n">
        <v>660</v>
      </c>
      <c r="L2167" t="n">
        <v>66</v>
      </c>
      <c r="M2167" t="n">
        <v>21.77</v>
      </c>
      <c r="N2167" t="n">
        <v>2102.35</v>
      </c>
      <c r="O2167" t="n">
        <v>4.28</v>
      </c>
      <c r="P2167" t="n">
        <v>6</v>
      </c>
      <c r="Q2167" t="n">
        <v>2</v>
      </c>
      <c r="R2167" t="n">
        <v>2020.8</v>
      </c>
      <c r="S2167" t="b">
        <v>1</v>
      </c>
      <c r="T2167" t="n">
        <v>2609896</v>
      </c>
      <c r="U2167" t="n">
        <v>5</v>
      </c>
      <c r="V2167" t="n">
        <v>0.0177</v>
      </c>
      <c r="W2167" t="n">
        <v>2.29</v>
      </c>
      <c r="X2167" t="n">
        <v>81.14</v>
      </c>
      <c r="Y2167">
        <f>VLOOKUP(D2167,$AB$2:$AC$7,2,FALSE)</f>
        <v/>
      </c>
      <c r="Z2167">
        <f>IF(A2167&lt;Y2167,"Yes","No")</f>
        <v/>
      </c>
    </row>
    <row r="2168">
      <c r="A2168" t="n">
        <v>2016</v>
      </c>
      <c r="B2168" t="inlineStr">
        <is>
          <t>Q2</t>
        </is>
      </c>
      <c r="C2168" t="inlineStr">
        <is>
          <t>North America</t>
        </is>
      </c>
      <c r="D2168" t="inlineStr">
        <is>
          <t>Model X</t>
        </is>
      </c>
      <c r="E2168" t="n">
        <v>2117</v>
      </c>
      <c r="F2168" t="n">
        <v>61351.86</v>
      </c>
      <c r="G2168" t="n">
        <v>55</v>
      </c>
      <c r="H2168" t="inlineStr">
        <is>
          <t>Standard</t>
        </is>
      </c>
      <c r="I2168" t="inlineStr">
        <is>
          <t>RWD</t>
        </is>
      </c>
      <c r="J2168" t="inlineStr">
        <is>
          <t>Blue</t>
        </is>
      </c>
      <c r="K2168" t="n">
        <v>549</v>
      </c>
      <c r="L2168" t="n">
        <v>39</v>
      </c>
      <c r="M2168" t="n">
        <v>16.74</v>
      </c>
      <c r="N2168" t="n">
        <v>1662.29</v>
      </c>
      <c r="O2168" t="n">
        <v>4.93</v>
      </c>
      <c r="P2168" t="n">
        <v>6</v>
      </c>
      <c r="Q2168" t="n">
        <v>3</v>
      </c>
      <c r="R2168" t="n">
        <v>2022.1</v>
      </c>
      <c r="S2168" t="b">
        <v>0</v>
      </c>
      <c r="T2168" t="n">
        <v>289499</v>
      </c>
      <c r="U2168" t="n">
        <v>7</v>
      </c>
      <c r="V2168" t="n">
        <v>0.0243</v>
      </c>
      <c r="W2168" t="n">
        <v>1.84</v>
      </c>
      <c r="X2168" t="n">
        <v>74.55</v>
      </c>
      <c r="Y2168">
        <f>VLOOKUP(D2168,$AB$2:$AC$7,2,FALSE)</f>
        <v/>
      </c>
      <c r="Z2168">
        <f>IF(A2168&lt;Y2168,"Yes","No")</f>
        <v/>
      </c>
    </row>
    <row r="2169">
      <c r="A2169" t="n">
        <v>2023</v>
      </c>
      <c r="B2169" t="inlineStr">
        <is>
          <t>Q4</t>
        </is>
      </c>
      <c r="C2169" t="inlineStr">
        <is>
          <t>North America</t>
        </is>
      </c>
      <c r="D2169" t="inlineStr">
        <is>
          <t>Model 3</t>
        </is>
      </c>
      <c r="E2169" t="n">
        <v>3066</v>
      </c>
      <c r="F2169" t="n">
        <v>56376.45</v>
      </c>
      <c r="G2169" t="n">
        <v>29</v>
      </c>
      <c r="H2169" t="inlineStr">
        <is>
          <t>Long Range</t>
        </is>
      </c>
      <c r="I2169" t="inlineStr">
        <is>
          <t>RWD</t>
        </is>
      </c>
      <c r="J2169" t="inlineStr">
        <is>
          <t>Black</t>
        </is>
      </c>
      <c r="K2169" t="n">
        <v>375</v>
      </c>
      <c r="L2169" t="n">
        <v>58</v>
      </c>
      <c r="M2169" t="n">
        <v>22.47</v>
      </c>
      <c r="N2169" t="n">
        <v>5573.38</v>
      </c>
      <c r="O2169" t="n">
        <v>4.16</v>
      </c>
      <c r="P2169" t="n">
        <v>8</v>
      </c>
      <c r="Q2169" t="n">
        <v>2</v>
      </c>
      <c r="R2169" t="n">
        <v>2020.11</v>
      </c>
      <c r="S2169" t="b">
        <v>1</v>
      </c>
      <c r="T2169" t="n">
        <v>4988703</v>
      </c>
      <c r="U2169" t="n">
        <v>2</v>
      </c>
      <c r="V2169" t="n">
        <v>0.0456</v>
      </c>
      <c r="W2169" t="n">
        <v>1.81</v>
      </c>
      <c r="X2169" t="n">
        <v>83</v>
      </c>
      <c r="Y2169">
        <f>VLOOKUP(D2169,$AB$2:$AC$7,2,FALSE)</f>
        <v/>
      </c>
      <c r="Z2169">
        <f>IF(A2169&lt;Y2169,"Yes","No")</f>
        <v/>
      </c>
    </row>
    <row r="2170">
      <c r="A2170" t="n">
        <v>2013</v>
      </c>
      <c r="B2170" t="inlineStr">
        <is>
          <t>Q3</t>
        </is>
      </c>
      <c r="C2170" t="inlineStr">
        <is>
          <t>North America</t>
        </is>
      </c>
      <c r="D2170" t="inlineStr">
        <is>
          <t>Model Y</t>
        </is>
      </c>
      <c r="E2170" t="n">
        <v>1439</v>
      </c>
      <c r="F2170" t="n">
        <v>105257.95</v>
      </c>
      <c r="G2170" t="n">
        <v>14</v>
      </c>
      <c r="H2170" t="inlineStr">
        <is>
          <t>Long Range</t>
        </is>
      </c>
      <c r="I2170" t="inlineStr">
        <is>
          <t>RWD</t>
        </is>
      </c>
      <c r="J2170" t="inlineStr">
        <is>
          <t>Red</t>
        </is>
      </c>
      <c r="K2170" t="n">
        <v>535</v>
      </c>
      <c r="L2170" t="n">
        <v>76</v>
      </c>
      <c r="M2170" t="n">
        <v>13.5</v>
      </c>
      <c r="N2170" t="n">
        <v>1060.09</v>
      </c>
      <c r="O2170" t="n">
        <v>4.61</v>
      </c>
      <c r="P2170" t="n">
        <v>8</v>
      </c>
      <c r="Q2170" t="n">
        <v>0</v>
      </c>
      <c r="R2170" t="n">
        <v>2024.3</v>
      </c>
      <c r="S2170" t="b">
        <v>1</v>
      </c>
      <c r="T2170" t="n">
        <v>1267344</v>
      </c>
      <c r="U2170" t="n">
        <v>2</v>
      </c>
      <c r="V2170" t="n">
        <v>0.0629</v>
      </c>
      <c r="W2170" t="n">
        <v>2.15</v>
      </c>
      <c r="X2170" t="n">
        <v>62.64</v>
      </c>
      <c r="Y2170">
        <f>VLOOKUP(D2170,$AB$2:$AC$7,2,FALSE)</f>
        <v/>
      </c>
      <c r="Z2170">
        <f>IF(A2170&lt;Y2170,"Yes","No")</f>
        <v/>
      </c>
    </row>
    <row r="2171">
      <c r="A2171" t="n">
        <v>2023</v>
      </c>
      <c r="B2171" t="inlineStr">
        <is>
          <t>Q2</t>
        </is>
      </c>
      <c r="C2171" t="inlineStr">
        <is>
          <t>South America</t>
        </is>
      </c>
      <c r="D2171" t="inlineStr">
        <is>
          <t>Model S</t>
        </is>
      </c>
      <c r="E2171" t="n">
        <v>85</v>
      </c>
      <c r="F2171" t="n">
        <v>50243.61</v>
      </c>
      <c r="G2171" t="n">
        <v>44</v>
      </c>
      <c r="H2171" t="inlineStr">
        <is>
          <t>Long Range</t>
        </is>
      </c>
      <c r="I2171" t="inlineStr">
        <is>
          <t>AWD</t>
        </is>
      </c>
      <c r="J2171" t="inlineStr">
        <is>
          <t>Red</t>
        </is>
      </c>
      <c r="K2171" t="n">
        <v>397</v>
      </c>
      <c r="L2171" t="n">
        <v>49</v>
      </c>
      <c r="M2171" t="n">
        <v>18.29</v>
      </c>
      <c r="N2171" t="n">
        <v>195.99</v>
      </c>
      <c r="O2171" t="n">
        <v>4.74</v>
      </c>
      <c r="P2171" t="n">
        <v>8</v>
      </c>
      <c r="Q2171" t="n">
        <v>1</v>
      </c>
      <c r="R2171" t="n">
        <v>2024.1</v>
      </c>
      <c r="S2171" t="b">
        <v>1</v>
      </c>
      <c r="T2171" t="n">
        <v>3014498</v>
      </c>
      <c r="U2171" t="n">
        <v>7</v>
      </c>
      <c r="V2171" t="n">
        <v>0.039</v>
      </c>
      <c r="W2171" t="n">
        <v>0.98</v>
      </c>
      <c r="X2171" t="n">
        <v>75.12</v>
      </c>
      <c r="Y2171">
        <f>VLOOKUP(D2171,$AB$2:$AC$7,2,FALSE)</f>
        <v/>
      </c>
      <c r="Z2171">
        <f>IF(A2171&lt;Y2171,"Yes","No")</f>
        <v/>
      </c>
    </row>
    <row r="2172">
      <c r="A2172" t="n">
        <v>2023</v>
      </c>
      <c r="B2172" t="inlineStr">
        <is>
          <t>Q1</t>
        </is>
      </c>
      <c r="C2172" t="inlineStr">
        <is>
          <t>Asia</t>
        </is>
      </c>
      <c r="D2172" t="inlineStr">
        <is>
          <t>Cybertruck</t>
        </is>
      </c>
      <c r="E2172" t="n">
        <v>4101</v>
      </c>
      <c r="F2172" t="n">
        <v>64319.22</v>
      </c>
      <c r="G2172" t="n">
        <v>44</v>
      </c>
      <c r="H2172" t="inlineStr">
        <is>
          <t>Long Range</t>
        </is>
      </c>
      <c r="I2172" t="inlineStr">
        <is>
          <t>RWD</t>
        </is>
      </c>
      <c r="J2172" t="inlineStr">
        <is>
          <t>Blue</t>
        </is>
      </c>
      <c r="K2172" t="n">
        <v>628</v>
      </c>
      <c r="L2172" t="n">
        <v>48</v>
      </c>
      <c r="M2172" t="n">
        <v>16.4</v>
      </c>
      <c r="N2172" t="n">
        <v>8814.639999999999</v>
      </c>
      <c r="O2172" t="n">
        <v>3.85</v>
      </c>
      <c r="P2172" t="n">
        <v>5</v>
      </c>
      <c r="Q2172" t="n">
        <v>1</v>
      </c>
      <c r="R2172" t="n">
        <v>2024.9</v>
      </c>
      <c r="S2172" t="b">
        <v>0</v>
      </c>
      <c r="T2172" t="n">
        <v>3576054</v>
      </c>
      <c r="U2172" t="n">
        <v>7</v>
      </c>
      <c r="V2172" t="n">
        <v>0.016</v>
      </c>
      <c r="W2172" t="n">
        <v>2.34</v>
      </c>
      <c r="X2172" t="n">
        <v>66.22</v>
      </c>
      <c r="Y2172">
        <f>VLOOKUP(D2172,$AB$2:$AC$7,2,FALSE)</f>
        <v/>
      </c>
      <c r="Z2172">
        <f>IF(A2172&lt;Y2172,"Yes","No")</f>
        <v/>
      </c>
    </row>
    <row r="2173">
      <c r="A2173" t="n">
        <v>2016</v>
      </c>
      <c r="B2173" t="inlineStr">
        <is>
          <t>Q2</t>
        </is>
      </c>
      <c r="C2173" t="inlineStr">
        <is>
          <t>North America</t>
        </is>
      </c>
      <c r="D2173" t="inlineStr">
        <is>
          <t>Cybertruck</t>
        </is>
      </c>
      <c r="E2173" t="n">
        <v>1179</v>
      </c>
      <c r="F2173" t="n">
        <v>60040.01</v>
      </c>
      <c r="G2173" t="n">
        <v>13</v>
      </c>
      <c r="H2173" t="inlineStr">
        <is>
          <t>Standard</t>
        </is>
      </c>
      <c r="I2173" t="inlineStr">
        <is>
          <t>AWD</t>
        </is>
      </c>
      <c r="J2173" t="inlineStr">
        <is>
          <t>Blue</t>
        </is>
      </c>
      <c r="K2173" t="n">
        <v>375</v>
      </c>
      <c r="L2173" t="n">
        <v>55</v>
      </c>
      <c r="M2173" t="n">
        <v>20.94</v>
      </c>
      <c r="N2173" t="n">
        <v>2452.01</v>
      </c>
      <c r="O2173" t="n">
        <v>4.49</v>
      </c>
      <c r="P2173" t="n">
        <v>6</v>
      </c>
      <c r="Q2173" t="n">
        <v>0</v>
      </c>
      <c r="R2173" t="n">
        <v>2021.6</v>
      </c>
      <c r="S2173" t="b">
        <v>1</v>
      </c>
      <c r="T2173" t="n">
        <v>2538215</v>
      </c>
      <c r="U2173" t="n">
        <v>3</v>
      </c>
      <c r="V2173" t="n">
        <v>0.0969</v>
      </c>
      <c r="W2173" t="n">
        <v>1.87</v>
      </c>
      <c r="X2173" t="n">
        <v>82.18000000000001</v>
      </c>
      <c r="Y2173">
        <f>VLOOKUP(D2173,$AB$2:$AC$7,2,FALSE)</f>
        <v/>
      </c>
      <c r="Z2173">
        <f>IF(A2173&lt;Y2173,"Yes","No")</f>
        <v/>
      </c>
    </row>
    <row r="2174">
      <c r="A2174" t="n">
        <v>2022</v>
      </c>
      <c r="B2174" t="inlineStr">
        <is>
          <t>Q2</t>
        </is>
      </c>
      <c r="C2174" t="inlineStr">
        <is>
          <t>Europe</t>
        </is>
      </c>
      <c r="D2174" t="inlineStr">
        <is>
          <t>Model X</t>
        </is>
      </c>
      <c r="E2174" t="n">
        <v>1964</v>
      </c>
      <c r="F2174" t="n">
        <v>114499.64</v>
      </c>
      <c r="G2174" t="n">
        <v>45</v>
      </c>
      <c r="H2174" t="inlineStr">
        <is>
          <t>Performance</t>
        </is>
      </c>
      <c r="I2174" t="inlineStr">
        <is>
          <t>AWD</t>
        </is>
      </c>
      <c r="J2174" t="inlineStr">
        <is>
          <t>Green</t>
        </is>
      </c>
      <c r="K2174" t="n">
        <v>582</v>
      </c>
      <c r="L2174" t="n">
        <v>37</v>
      </c>
      <c r="M2174" t="n">
        <v>19.56</v>
      </c>
      <c r="N2174" t="n">
        <v>4194.36</v>
      </c>
      <c r="O2174" t="n">
        <v>4.75</v>
      </c>
      <c r="P2174" t="n">
        <v>4</v>
      </c>
      <c r="Q2174" t="n">
        <v>1</v>
      </c>
      <c r="R2174" t="n">
        <v>2020.7</v>
      </c>
      <c r="S2174" t="b">
        <v>1</v>
      </c>
      <c r="T2174" t="n">
        <v>3739258</v>
      </c>
      <c r="U2174" t="n">
        <v>12</v>
      </c>
      <c r="V2174" t="n">
        <v>0.027</v>
      </c>
      <c r="W2174" t="n">
        <v>0.83</v>
      </c>
      <c r="X2174" t="n">
        <v>66.59</v>
      </c>
      <c r="Y2174">
        <f>VLOOKUP(D2174,$AB$2:$AC$7,2,FALSE)</f>
        <v/>
      </c>
      <c r="Z2174">
        <f>IF(A2174&lt;Y2174,"Yes","No")</f>
        <v/>
      </c>
    </row>
    <row r="2175">
      <c r="A2175" t="n">
        <v>2020</v>
      </c>
      <c r="B2175" t="inlineStr">
        <is>
          <t>Q4</t>
        </is>
      </c>
      <c r="C2175" t="inlineStr">
        <is>
          <t>Australia</t>
        </is>
      </c>
      <c r="D2175" t="inlineStr">
        <is>
          <t>Semi</t>
        </is>
      </c>
      <c r="E2175" t="n">
        <v>4318</v>
      </c>
      <c r="F2175" t="n">
        <v>44646.76</v>
      </c>
      <c r="G2175" t="n">
        <v>5</v>
      </c>
      <c r="H2175" t="inlineStr">
        <is>
          <t>Performance</t>
        </is>
      </c>
      <c r="I2175" t="inlineStr">
        <is>
          <t>AWD</t>
        </is>
      </c>
      <c r="J2175" t="inlineStr">
        <is>
          <t>Silver</t>
        </is>
      </c>
      <c r="K2175" t="n">
        <v>381</v>
      </c>
      <c r="L2175" t="n">
        <v>39</v>
      </c>
      <c r="M2175" t="n">
        <v>24.11</v>
      </c>
      <c r="N2175" t="n">
        <v>4193.1</v>
      </c>
      <c r="O2175" t="n">
        <v>4.31</v>
      </c>
      <c r="P2175" t="n">
        <v>5</v>
      </c>
      <c r="Q2175" t="n">
        <v>3</v>
      </c>
      <c r="R2175" t="n">
        <v>2024.11</v>
      </c>
      <c r="S2175" t="b">
        <v>0</v>
      </c>
      <c r="T2175" t="n">
        <v>152592</v>
      </c>
      <c r="U2175" t="n">
        <v>12</v>
      </c>
      <c r="V2175" t="n">
        <v>0.0226</v>
      </c>
      <c r="W2175" t="n">
        <v>2.18</v>
      </c>
      <c r="X2175" t="n">
        <v>83.79000000000001</v>
      </c>
      <c r="Y2175">
        <f>VLOOKUP(D2175,$AB$2:$AC$7,2,FALSE)</f>
        <v/>
      </c>
      <c r="Z2175">
        <f>IF(A2175&lt;Y2175,"Yes","No")</f>
        <v/>
      </c>
    </row>
    <row r="2176">
      <c r="A2176" t="n">
        <v>2019</v>
      </c>
      <c r="B2176" t="inlineStr">
        <is>
          <t>Q3</t>
        </is>
      </c>
      <c r="C2176" t="inlineStr">
        <is>
          <t>Europe</t>
        </is>
      </c>
      <c r="D2176" t="inlineStr">
        <is>
          <t>Model X</t>
        </is>
      </c>
      <c r="E2176" t="n">
        <v>3515</v>
      </c>
      <c r="F2176" t="n">
        <v>61316.76</v>
      </c>
      <c r="G2176" t="n">
        <v>42</v>
      </c>
      <c r="H2176" t="inlineStr">
        <is>
          <t>Standard</t>
        </is>
      </c>
      <c r="I2176" t="inlineStr">
        <is>
          <t>AWD</t>
        </is>
      </c>
      <c r="J2176" t="inlineStr">
        <is>
          <t>Silver</t>
        </is>
      </c>
      <c r="K2176" t="n">
        <v>685</v>
      </c>
      <c r="L2176" t="n">
        <v>73</v>
      </c>
      <c r="M2176" t="n">
        <v>15.27</v>
      </c>
      <c r="N2176" t="n">
        <v>3810.13</v>
      </c>
      <c r="O2176" t="n">
        <v>4.67</v>
      </c>
      <c r="P2176" t="n">
        <v>5</v>
      </c>
      <c r="Q2176" t="n">
        <v>3</v>
      </c>
      <c r="R2176" t="n">
        <v>2021.1</v>
      </c>
      <c r="S2176" t="b">
        <v>0</v>
      </c>
      <c r="T2176" t="n">
        <v>1463493</v>
      </c>
      <c r="U2176" t="n">
        <v>6</v>
      </c>
      <c r="V2176" t="n">
        <v>0.0827</v>
      </c>
      <c r="W2176" t="n">
        <v>1.83</v>
      </c>
      <c r="X2176" t="n">
        <v>66.95</v>
      </c>
      <c r="Y2176">
        <f>VLOOKUP(D2176,$AB$2:$AC$7,2,FALSE)</f>
        <v/>
      </c>
      <c r="Z2176">
        <f>IF(A2176&lt;Y2176,"Yes","No")</f>
        <v/>
      </c>
    </row>
    <row r="2177">
      <c r="A2177" t="n">
        <v>2023</v>
      </c>
      <c r="B2177" t="inlineStr">
        <is>
          <t>Q3</t>
        </is>
      </c>
      <c r="C2177" t="inlineStr">
        <is>
          <t>South America</t>
        </is>
      </c>
      <c r="D2177" t="inlineStr">
        <is>
          <t>Model 3</t>
        </is>
      </c>
      <c r="E2177" t="n">
        <v>521</v>
      </c>
      <c r="F2177" t="n">
        <v>54165.65</v>
      </c>
      <c r="G2177" t="n">
        <v>30</v>
      </c>
      <c r="H2177" t="inlineStr">
        <is>
          <t>Performance</t>
        </is>
      </c>
      <c r="I2177" t="inlineStr">
        <is>
          <t>RWD</t>
        </is>
      </c>
      <c r="J2177" t="inlineStr">
        <is>
          <t>Silver</t>
        </is>
      </c>
      <c r="K2177" t="n">
        <v>388</v>
      </c>
      <c r="L2177" t="n">
        <v>46</v>
      </c>
      <c r="M2177" t="n">
        <v>16.85</v>
      </c>
      <c r="N2177" t="n">
        <v>893.21</v>
      </c>
      <c r="O2177" t="n">
        <v>4.4</v>
      </c>
      <c r="P2177" t="n">
        <v>4</v>
      </c>
      <c r="Q2177" t="n">
        <v>1</v>
      </c>
      <c r="R2177" t="n">
        <v>2024.11</v>
      </c>
      <c r="S2177" t="b">
        <v>0</v>
      </c>
      <c r="T2177" t="n">
        <v>4120303</v>
      </c>
      <c r="U2177" t="n">
        <v>4</v>
      </c>
      <c r="V2177" t="n">
        <v>0.0569</v>
      </c>
      <c r="W2177" t="n">
        <v>1.25</v>
      </c>
      <c r="X2177" t="n">
        <v>67.25</v>
      </c>
      <c r="Y2177">
        <f>VLOOKUP(D2177,$AB$2:$AC$7,2,FALSE)</f>
        <v/>
      </c>
      <c r="Z2177">
        <f>IF(A2177&lt;Y2177,"Yes","No")</f>
        <v/>
      </c>
    </row>
    <row r="2178">
      <c r="A2178" t="n">
        <v>2017</v>
      </c>
      <c r="B2178" t="inlineStr">
        <is>
          <t>Q2</t>
        </is>
      </c>
      <c r="C2178" t="inlineStr">
        <is>
          <t>South America</t>
        </is>
      </c>
      <c r="D2178" t="inlineStr">
        <is>
          <t>Semi</t>
        </is>
      </c>
      <c r="E2178" t="n">
        <v>784</v>
      </c>
      <c r="F2178" t="n">
        <v>37087.48</v>
      </c>
      <c r="G2178" t="n">
        <v>54</v>
      </c>
      <c r="H2178" t="inlineStr">
        <is>
          <t>Performance</t>
        </is>
      </c>
      <c r="I2178" t="inlineStr">
        <is>
          <t>RWD</t>
        </is>
      </c>
      <c r="J2178" t="inlineStr">
        <is>
          <t>Black</t>
        </is>
      </c>
      <c r="K2178" t="n">
        <v>462</v>
      </c>
      <c r="L2178" t="n">
        <v>43</v>
      </c>
      <c r="M2178" t="n">
        <v>24.04</v>
      </c>
      <c r="N2178" t="n">
        <v>681</v>
      </c>
      <c r="O2178" t="n">
        <v>4.08</v>
      </c>
      <c r="P2178" t="n">
        <v>6</v>
      </c>
      <c r="Q2178" t="n">
        <v>1</v>
      </c>
      <c r="R2178" t="n">
        <v>2022.9</v>
      </c>
      <c r="S2178" t="b">
        <v>1</v>
      </c>
      <c r="T2178" t="n">
        <v>1593214</v>
      </c>
      <c r="U2178" t="n">
        <v>6</v>
      </c>
      <c r="V2178" t="n">
        <v>0.0619</v>
      </c>
      <c r="W2178" t="n">
        <v>1.28</v>
      </c>
      <c r="X2178" t="n">
        <v>78.47</v>
      </c>
      <c r="Y2178">
        <f>VLOOKUP(D2178,$AB$2:$AC$7,2,FALSE)</f>
        <v/>
      </c>
      <c r="Z2178">
        <f>IF(A2178&lt;Y2178,"Yes","No")</f>
        <v/>
      </c>
    </row>
    <row r="2179">
      <c r="A2179" t="n">
        <v>2023</v>
      </c>
      <c r="B2179" t="inlineStr">
        <is>
          <t>Q2</t>
        </is>
      </c>
      <c r="C2179" t="inlineStr">
        <is>
          <t>Europe</t>
        </is>
      </c>
      <c r="D2179" t="inlineStr">
        <is>
          <t>Cybertruck</t>
        </is>
      </c>
      <c r="E2179" t="n">
        <v>3017</v>
      </c>
      <c r="F2179" t="n">
        <v>81566.56</v>
      </c>
      <c r="G2179" t="n">
        <v>46</v>
      </c>
      <c r="H2179" t="inlineStr">
        <is>
          <t>Long Range</t>
        </is>
      </c>
      <c r="I2179" t="inlineStr">
        <is>
          <t>AWD</t>
        </is>
      </c>
      <c r="J2179" t="inlineStr">
        <is>
          <t>Red</t>
        </is>
      </c>
      <c r="K2179" t="n">
        <v>387</v>
      </c>
      <c r="L2179" t="n">
        <v>30</v>
      </c>
      <c r="M2179" t="n">
        <v>21.16</v>
      </c>
      <c r="N2179" t="n">
        <v>2183.73</v>
      </c>
      <c r="O2179" t="n">
        <v>4.45</v>
      </c>
      <c r="P2179" t="n">
        <v>6</v>
      </c>
      <c r="Q2179" t="n">
        <v>2</v>
      </c>
      <c r="R2179" t="n">
        <v>2022.5</v>
      </c>
      <c r="S2179" t="b">
        <v>0</v>
      </c>
      <c r="T2179" t="n">
        <v>4221216</v>
      </c>
      <c r="U2179" t="n">
        <v>11</v>
      </c>
      <c r="V2179" t="n">
        <v>0.0227</v>
      </c>
      <c r="W2179" t="n">
        <v>1.39</v>
      </c>
      <c r="X2179" t="n">
        <v>61.71</v>
      </c>
      <c r="Y2179">
        <f>VLOOKUP(D2179,$AB$2:$AC$7,2,FALSE)</f>
        <v/>
      </c>
      <c r="Z2179">
        <f>IF(A2179&lt;Y2179,"Yes","No")</f>
        <v/>
      </c>
    </row>
    <row r="2180">
      <c r="A2180" t="n">
        <v>2013</v>
      </c>
      <c r="B2180" t="inlineStr">
        <is>
          <t>Q4</t>
        </is>
      </c>
      <c r="C2180" t="inlineStr">
        <is>
          <t>North America</t>
        </is>
      </c>
      <c r="D2180" t="inlineStr">
        <is>
          <t>Model 3</t>
        </is>
      </c>
      <c r="E2180" t="n">
        <v>1153</v>
      </c>
      <c r="F2180" t="n">
        <v>49455.22</v>
      </c>
      <c r="G2180" t="n">
        <v>46</v>
      </c>
      <c r="H2180" t="inlineStr">
        <is>
          <t>Performance</t>
        </is>
      </c>
      <c r="I2180" t="inlineStr">
        <is>
          <t>RWD</t>
        </is>
      </c>
      <c r="J2180" t="inlineStr">
        <is>
          <t>Blue</t>
        </is>
      </c>
      <c r="K2180" t="n">
        <v>518</v>
      </c>
      <c r="L2180" t="n">
        <v>69</v>
      </c>
      <c r="M2180" t="n">
        <v>20.35</v>
      </c>
      <c r="N2180" t="n">
        <v>885.38</v>
      </c>
      <c r="O2180" t="n">
        <v>4.67</v>
      </c>
      <c r="P2180" t="n">
        <v>5</v>
      </c>
      <c r="Q2180" t="n">
        <v>0</v>
      </c>
      <c r="R2180" t="n">
        <v>2020.4</v>
      </c>
      <c r="S2180" t="b">
        <v>1</v>
      </c>
      <c r="T2180" t="n">
        <v>152318</v>
      </c>
      <c r="U2180" t="n">
        <v>6</v>
      </c>
      <c r="V2180" t="n">
        <v>0.0195</v>
      </c>
      <c r="W2180" t="n">
        <v>0.6</v>
      </c>
      <c r="X2180" t="n">
        <v>79.2</v>
      </c>
      <c r="Y2180">
        <f>VLOOKUP(D2180,$AB$2:$AC$7,2,FALSE)</f>
        <v/>
      </c>
      <c r="Z2180">
        <f>IF(A2180&lt;Y2180,"Yes","No")</f>
        <v/>
      </c>
    </row>
    <row r="2181">
      <c r="A2181" t="n">
        <v>2014</v>
      </c>
      <c r="B2181" t="inlineStr">
        <is>
          <t>Q1</t>
        </is>
      </c>
      <c r="C2181" t="inlineStr">
        <is>
          <t>North America</t>
        </is>
      </c>
      <c r="D2181" t="inlineStr">
        <is>
          <t>Model 3</t>
        </is>
      </c>
      <c r="E2181" t="n">
        <v>4944</v>
      </c>
      <c r="F2181" t="n">
        <v>73580</v>
      </c>
      <c r="G2181" t="n">
        <v>38</v>
      </c>
      <c r="H2181" t="inlineStr">
        <is>
          <t>Long Range</t>
        </is>
      </c>
      <c r="I2181" t="inlineStr">
        <is>
          <t>RWD</t>
        </is>
      </c>
      <c r="J2181" t="inlineStr">
        <is>
          <t>White</t>
        </is>
      </c>
      <c r="K2181" t="n">
        <v>532</v>
      </c>
      <c r="L2181" t="n">
        <v>86</v>
      </c>
      <c r="M2181" t="n">
        <v>24.63</v>
      </c>
      <c r="N2181" t="n">
        <v>4012.17</v>
      </c>
      <c r="O2181" t="n">
        <v>3.82</v>
      </c>
      <c r="P2181" t="n">
        <v>4</v>
      </c>
      <c r="Q2181" t="n">
        <v>0</v>
      </c>
      <c r="R2181" t="n">
        <v>2023.1</v>
      </c>
      <c r="S2181" t="b">
        <v>0</v>
      </c>
      <c r="T2181" t="n">
        <v>1874650</v>
      </c>
      <c r="U2181" t="n">
        <v>5</v>
      </c>
      <c r="V2181" t="n">
        <v>0.0732</v>
      </c>
      <c r="W2181" t="n">
        <v>2.09</v>
      </c>
      <c r="X2181" t="n">
        <v>64.75</v>
      </c>
      <c r="Y2181">
        <f>VLOOKUP(D2181,$AB$2:$AC$7,2,FALSE)</f>
        <v/>
      </c>
      <c r="Z2181">
        <f>IF(A2181&lt;Y2181,"Yes","No")</f>
        <v/>
      </c>
    </row>
    <row r="2182">
      <c r="A2182" t="n">
        <v>2013</v>
      </c>
      <c r="B2182" t="inlineStr">
        <is>
          <t>Q4</t>
        </is>
      </c>
      <c r="C2182" t="inlineStr">
        <is>
          <t>Australia</t>
        </is>
      </c>
      <c r="D2182" t="inlineStr">
        <is>
          <t>Model Y</t>
        </is>
      </c>
      <c r="E2182" t="n">
        <v>3629</v>
      </c>
      <c r="F2182" t="n">
        <v>106033.2</v>
      </c>
      <c r="G2182" t="n">
        <v>39</v>
      </c>
      <c r="H2182" t="inlineStr">
        <is>
          <t>Performance</t>
        </is>
      </c>
      <c r="I2182" t="inlineStr">
        <is>
          <t>AWD</t>
        </is>
      </c>
      <c r="J2182" t="inlineStr">
        <is>
          <t>Red</t>
        </is>
      </c>
      <c r="K2182" t="n">
        <v>434</v>
      </c>
      <c r="L2182" t="n">
        <v>61</v>
      </c>
      <c r="M2182" t="n">
        <v>16.43</v>
      </c>
      <c r="N2182" t="n">
        <v>2978.53</v>
      </c>
      <c r="O2182" t="n">
        <v>4.78</v>
      </c>
      <c r="P2182" t="n">
        <v>5</v>
      </c>
      <c r="Q2182" t="n">
        <v>2</v>
      </c>
      <c r="R2182" t="n">
        <v>2022.1</v>
      </c>
      <c r="S2182" t="b">
        <v>0</v>
      </c>
      <c r="T2182" t="n">
        <v>4812025</v>
      </c>
      <c r="U2182" t="n">
        <v>4</v>
      </c>
      <c r="V2182" t="n">
        <v>0.0675</v>
      </c>
      <c r="W2182" t="n">
        <v>2.39</v>
      </c>
      <c r="X2182" t="n">
        <v>88.86</v>
      </c>
      <c r="Y2182">
        <f>VLOOKUP(D2182,$AB$2:$AC$7,2,FALSE)</f>
        <v/>
      </c>
      <c r="Z2182">
        <f>IF(A2182&lt;Y2182,"Yes","No")</f>
        <v/>
      </c>
    </row>
    <row r="2183">
      <c r="A2183" t="n">
        <v>2017</v>
      </c>
      <c r="B2183" t="inlineStr">
        <is>
          <t>Q4</t>
        </is>
      </c>
      <c r="C2183" t="inlineStr">
        <is>
          <t>Europe</t>
        </is>
      </c>
      <c r="D2183" t="inlineStr">
        <is>
          <t>Model S</t>
        </is>
      </c>
      <c r="E2183" t="n">
        <v>4801</v>
      </c>
      <c r="F2183" t="n">
        <v>116122.84</v>
      </c>
      <c r="G2183" t="n">
        <v>38</v>
      </c>
      <c r="H2183" t="inlineStr">
        <is>
          <t>Performance</t>
        </is>
      </c>
      <c r="I2183" t="inlineStr">
        <is>
          <t>RWD</t>
        </is>
      </c>
      <c r="J2183" t="inlineStr">
        <is>
          <t>Silver</t>
        </is>
      </c>
      <c r="K2183" t="n">
        <v>366</v>
      </c>
      <c r="L2183" t="n">
        <v>67</v>
      </c>
      <c r="M2183" t="n">
        <v>23.75</v>
      </c>
      <c r="N2183" t="n">
        <v>7843.11</v>
      </c>
      <c r="O2183" t="n">
        <v>4.81</v>
      </c>
      <c r="P2183" t="n">
        <v>4</v>
      </c>
      <c r="Q2183" t="n">
        <v>2</v>
      </c>
      <c r="R2183" t="n">
        <v>2023.6</v>
      </c>
      <c r="S2183" t="b">
        <v>1</v>
      </c>
      <c r="T2183" t="n">
        <v>3782534</v>
      </c>
      <c r="U2183" t="n">
        <v>8</v>
      </c>
      <c r="V2183" t="n">
        <v>0.0861</v>
      </c>
      <c r="W2183" t="n">
        <v>2.01</v>
      </c>
      <c r="X2183" t="n">
        <v>82.83</v>
      </c>
      <c r="Y2183">
        <f>VLOOKUP(D2183,$AB$2:$AC$7,2,FALSE)</f>
        <v/>
      </c>
      <c r="Z2183">
        <f>IF(A2183&lt;Y2183,"Yes","No")</f>
        <v/>
      </c>
    </row>
    <row r="2184">
      <c r="A2184" t="n">
        <v>2023</v>
      </c>
      <c r="B2184" t="inlineStr">
        <is>
          <t>Q2</t>
        </is>
      </c>
      <c r="C2184" t="inlineStr">
        <is>
          <t>Asia</t>
        </is>
      </c>
      <c r="D2184" t="inlineStr">
        <is>
          <t>Model Y</t>
        </is>
      </c>
      <c r="E2184" t="n">
        <v>2442</v>
      </c>
      <c r="F2184" t="n">
        <v>100420.07</v>
      </c>
      <c r="G2184" t="n">
        <v>22</v>
      </c>
      <c r="H2184" t="inlineStr">
        <is>
          <t>Performance</t>
        </is>
      </c>
      <c r="I2184" t="inlineStr">
        <is>
          <t>RWD</t>
        </is>
      </c>
      <c r="J2184" t="inlineStr">
        <is>
          <t>White</t>
        </is>
      </c>
      <c r="K2184" t="n">
        <v>604</v>
      </c>
      <c r="L2184" t="n">
        <v>57</v>
      </c>
      <c r="M2184" t="n">
        <v>18.01</v>
      </c>
      <c r="N2184" t="n">
        <v>2969.97</v>
      </c>
      <c r="O2184" t="n">
        <v>4.5</v>
      </c>
      <c r="P2184" t="n">
        <v>8</v>
      </c>
      <c r="Q2184" t="n">
        <v>3</v>
      </c>
      <c r="R2184" t="n">
        <v>2020.6</v>
      </c>
      <c r="S2184" t="b">
        <v>1</v>
      </c>
      <c r="T2184" t="n">
        <v>4803799</v>
      </c>
      <c r="U2184" t="n">
        <v>8</v>
      </c>
      <c r="V2184" t="n">
        <v>0.08749999999999999</v>
      </c>
      <c r="W2184" t="n">
        <v>2.38</v>
      </c>
      <c r="X2184" t="n">
        <v>61.57</v>
      </c>
      <c r="Y2184">
        <f>VLOOKUP(D2184,$AB$2:$AC$7,2,FALSE)</f>
        <v/>
      </c>
      <c r="Z2184">
        <f>IF(A2184&lt;Y2184,"Yes","No")</f>
        <v/>
      </c>
    </row>
    <row r="2185">
      <c r="A2185" t="n">
        <v>2019</v>
      </c>
      <c r="B2185" t="inlineStr">
        <is>
          <t>Q4</t>
        </is>
      </c>
      <c r="C2185" t="inlineStr">
        <is>
          <t>Asia</t>
        </is>
      </c>
      <c r="D2185" t="inlineStr">
        <is>
          <t>Model X</t>
        </is>
      </c>
      <c r="E2185" t="n">
        <v>595</v>
      </c>
      <c r="F2185" t="n">
        <v>43452.01</v>
      </c>
      <c r="G2185" t="n">
        <v>37</v>
      </c>
      <c r="H2185" t="inlineStr">
        <is>
          <t>Performance</t>
        </is>
      </c>
      <c r="I2185" t="inlineStr">
        <is>
          <t>AWD</t>
        </is>
      </c>
      <c r="J2185" t="inlineStr">
        <is>
          <t>White</t>
        </is>
      </c>
      <c r="K2185" t="n">
        <v>665</v>
      </c>
      <c r="L2185" t="n">
        <v>38</v>
      </c>
      <c r="M2185" t="n">
        <v>23.48</v>
      </c>
      <c r="N2185" t="n">
        <v>1301.03</v>
      </c>
      <c r="O2185" t="n">
        <v>4.12</v>
      </c>
      <c r="P2185" t="n">
        <v>8</v>
      </c>
      <c r="Q2185" t="n">
        <v>0</v>
      </c>
      <c r="R2185" t="n">
        <v>2022.3</v>
      </c>
      <c r="S2185" t="b">
        <v>0</v>
      </c>
      <c r="T2185" t="n">
        <v>2300671</v>
      </c>
      <c r="U2185" t="n">
        <v>8</v>
      </c>
      <c r="V2185" t="n">
        <v>0.09619999999999999</v>
      </c>
      <c r="W2185" t="n">
        <v>1.5</v>
      </c>
      <c r="X2185" t="n">
        <v>70.70999999999999</v>
      </c>
      <c r="Y2185">
        <f>VLOOKUP(D2185,$AB$2:$AC$7,2,FALSE)</f>
        <v/>
      </c>
      <c r="Z2185">
        <f>IF(A2185&lt;Y2185,"Yes","No")</f>
        <v/>
      </c>
    </row>
    <row r="2186">
      <c r="A2186" t="n">
        <v>2023</v>
      </c>
      <c r="B2186" t="inlineStr">
        <is>
          <t>Q1</t>
        </is>
      </c>
      <c r="C2186" t="inlineStr">
        <is>
          <t>Asia</t>
        </is>
      </c>
      <c r="D2186" t="inlineStr">
        <is>
          <t>Semi</t>
        </is>
      </c>
      <c r="E2186" t="n">
        <v>3305</v>
      </c>
      <c r="F2186" t="n">
        <v>69614.72</v>
      </c>
      <c r="G2186" t="n">
        <v>0</v>
      </c>
      <c r="H2186" t="inlineStr">
        <is>
          <t>Performance</t>
        </is>
      </c>
      <c r="I2186" t="inlineStr">
        <is>
          <t>RWD</t>
        </is>
      </c>
      <c r="J2186" t="inlineStr">
        <is>
          <t>Black</t>
        </is>
      </c>
      <c r="K2186" t="n">
        <v>609</v>
      </c>
      <c r="L2186" t="n">
        <v>75</v>
      </c>
      <c r="M2186" t="n">
        <v>22.39</v>
      </c>
      <c r="N2186" t="n">
        <v>7130.29</v>
      </c>
      <c r="O2186" t="n">
        <v>4.26</v>
      </c>
      <c r="P2186" t="n">
        <v>4</v>
      </c>
      <c r="Q2186" t="n">
        <v>2</v>
      </c>
      <c r="R2186" t="n">
        <v>2020.7</v>
      </c>
      <c r="S2186" t="b">
        <v>1</v>
      </c>
      <c r="T2186" t="n">
        <v>3998068</v>
      </c>
      <c r="U2186" t="n">
        <v>7</v>
      </c>
      <c r="V2186" t="n">
        <v>0.01</v>
      </c>
      <c r="W2186" t="n">
        <v>2.1</v>
      </c>
      <c r="X2186" t="n">
        <v>79.18000000000001</v>
      </c>
      <c r="Y2186">
        <f>VLOOKUP(D2186,$AB$2:$AC$7,2,FALSE)</f>
        <v/>
      </c>
      <c r="Z2186">
        <f>IF(A2186&lt;Y2186,"Yes","No")</f>
        <v/>
      </c>
    </row>
    <row r="2187">
      <c r="A2187" t="n">
        <v>2012</v>
      </c>
      <c r="B2187" t="inlineStr">
        <is>
          <t>Q2</t>
        </is>
      </c>
      <c r="C2187" t="inlineStr">
        <is>
          <t>Europe</t>
        </is>
      </c>
      <c r="D2187" t="inlineStr">
        <is>
          <t>Model X</t>
        </is>
      </c>
      <c r="E2187" t="n">
        <v>1481</v>
      </c>
      <c r="F2187" t="n">
        <v>44341.84</v>
      </c>
      <c r="G2187" t="n">
        <v>49</v>
      </c>
      <c r="H2187" t="inlineStr">
        <is>
          <t>Standard</t>
        </is>
      </c>
      <c r="I2187" t="inlineStr">
        <is>
          <t>AWD</t>
        </is>
      </c>
      <c r="J2187" t="inlineStr">
        <is>
          <t>Black</t>
        </is>
      </c>
      <c r="K2187" t="n">
        <v>647</v>
      </c>
      <c r="L2187" t="n">
        <v>82</v>
      </c>
      <c r="M2187" t="n">
        <v>21.06</v>
      </c>
      <c r="N2187" t="n">
        <v>1574.92</v>
      </c>
      <c r="O2187" t="n">
        <v>4.55</v>
      </c>
      <c r="P2187" t="n">
        <v>8</v>
      </c>
      <c r="Q2187" t="n">
        <v>1</v>
      </c>
      <c r="R2187" t="n">
        <v>2023.7</v>
      </c>
      <c r="S2187" t="b">
        <v>1</v>
      </c>
      <c r="T2187" t="n">
        <v>2819434</v>
      </c>
      <c r="U2187" t="n">
        <v>3</v>
      </c>
      <c r="V2187" t="n">
        <v>0.0898</v>
      </c>
      <c r="W2187" t="n">
        <v>1.09</v>
      </c>
      <c r="X2187" t="n">
        <v>73.92</v>
      </c>
      <c r="Y2187">
        <f>VLOOKUP(D2187,$AB$2:$AC$7,2,FALSE)</f>
        <v/>
      </c>
      <c r="Z2187">
        <f>IF(A2187&lt;Y2187,"Yes","No")</f>
        <v/>
      </c>
    </row>
    <row r="2188">
      <c r="A2188" t="n">
        <v>2021</v>
      </c>
      <c r="B2188" t="inlineStr">
        <is>
          <t>Q4</t>
        </is>
      </c>
      <c r="C2188" t="inlineStr">
        <is>
          <t>North America</t>
        </is>
      </c>
      <c r="D2188" t="inlineStr">
        <is>
          <t>Model X</t>
        </is>
      </c>
      <c r="E2188" t="n">
        <v>849</v>
      </c>
      <c r="F2188" t="n">
        <v>46182.07</v>
      </c>
      <c r="G2188" t="n">
        <v>38</v>
      </c>
      <c r="H2188" t="inlineStr">
        <is>
          <t>Long Range</t>
        </is>
      </c>
      <c r="I2188" t="inlineStr">
        <is>
          <t>RWD</t>
        </is>
      </c>
      <c r="J2188" t="inlineStr">
        <is>
          <t>White</t>
        </is>
      </c>
      <c r="K2188" t="n">
        <v>636</v>
      </c>
      <c r="L2188" t="n">
        <v>68</v>
      </c>
      <c r="M2188" t="n">
        <v>15.88</v>
      </c>
      <c r="N2188" t="n">
        <v>2096.75</v>
      </c>
      <c r="O2188" t="n">
        <v>3.97</v>
      </c>
      <c r="P2188" t="n">
        <v>5</v>
      </c>
      <c r="Q2188" t="n">
        <v>2</v>
      </c>
      <c r="R2188" t="n">
        <v>2024.11</v>
      </c>
      <c r="S2188" t="b">
        <v>0</v>
      </c>
      <c r="T2188" t="n">
        <v>4885537</v>
      </c>
      <c r="U2188" t="n">
        <v>11</v>
      </c>
      <c r="V2188" t="n">
        <v>0.0665</v>
      </c>
      <c r="W2188" t="n">
        <v>1.71</v>
      </c>
      <c r="X2188" t="n">
        <v>78.42</v>
      </c>
      <c r="Y2188">
        <f>VLOOKUP(D2188,$AB$2:$AC$7,2,FALSE)</f>
        <v/>
      </c>
      <c r="Z2188">
        <f>IF(A2188&lt;Y2188,"Yes","No")</f>
        <v/>
      </c>
    </row>
    <row r="2189">
      <c r="A2189" t="n">
        <v>2024</v>
      </c>
      <c r="B2189" t="inlineStr">
        <is>
          <t>Q1</t>
        </is>
      </c>
      <c r="C2189" t="inlineStr">
        <is>
          <t>Australia</t>
        </is>
      </c>
      <c r="D2189" t="inlineStr">
        <is>
          <t>Cybertruck</t>
        </is>
      </c>
      <c r="E2189" t="n">
        <v>2896</v>
      </c>
      <c r="F2189" t="n">
        <v>53941.46</v>
      </c>
      <c r="G2189" t="n">
        <v>22</v>
      </c>
      <c r="H2189" t="inlineStr">
        <is>
          <t>Performance</t>
        </is>
      </c>
      <c r="I2189" t="inlineStr">
        <is>
          <t>RWD</t>
        </is>
      </c>
      <c r="J2189" t="inlineStr">
        <is>
          <t>Black</t>
        </is>
      </c>
      <c r="K2189" t="n">
        <v>418</v>
      </c>
      <c r="L2189" t="n">
        <v>65</v>
      </c>
      <c r="M2189" t="n">
        <v>21.59</v>
      </c>
      <c r="N2189" t="n">
        <v>5225.98</v>
      </c>
      <c r="O2189" t="n">
        <v>3.98</v>
      </c>
      <c r="P2189" t="n">
        <v>5</v>
      </c>
      <c r="Q2189" t="n">
        <v>0</v>
      </c>
      <c r="R2189" t="n">
        <v>2024.12</v>
      </c>
      <c r="S2189" t="b">
        <v>1</v>
      </c>
      <c r="T2189" t="n">
        <v>651488</v>
      </c>
      <c r="U2189" t="n">
        <v>10</v>
      </c>
      <c r="V2189" t="n">
        <v>0.0181</v>
      </c>
      <c r="W2189" t="n">
        <v>1.83</v>
      </c>
      <c r="X2189" t="n">
        <v>82.62</v>
      </c>
      <c r="Y2189">
        <f>VLOOKUP(D2189,$AB$2:$AC$7,2,FALSE)</f>
        <v/>
      </c>
      <c r="Z2189">
        <f>IF(A2189&lt;Y2189,"Yes","No")</f>
        <v/>
      </c>
    </row>
    <row r="2190">
      <c r="A2190" t="n">
        <v>2019</v>
      </c>
      <c r="B2190" t="inlineStr">
        <is>
          <t>Q2</t>
        </is>
      </c>
      <c r="C2190" t="inlineStr">
        <is>
          <t>North America</t>
        </is>
      </c>
      <c r="D2190" t="inlineStr">
        <is>
          <t>Model S</t>
        </is>
      </c>
      <c r="E2190" t="n">
        <v>701</v>
      </c>
      <c r="F2190" t="n">
        <v>59406.12</v>
      </c>
      <c r="G2190" t="n">
        <v>38</v>
      </c>
      <c r="H2190" t="inlineStr">
        <is>
          <t>Long Range</t>
        </is>
      </c>
      <c r="I2190" t="inlineStr">
        <is>
          <t>AWD</t>
        </is>
      </c>
      <c r="J2190" t="inlineStr">
        <is>
          <t>Black</t>
        </is>
      </c>
      <c r="K2190" t="n">
        <v>566</v>
      </c>
      <c r="L2190" t="n">
        <v>84</v>
      </c>
      <c r="M2190" t="n">
        <v>13.31</v>
      </c>
      <c r="N2190" t="n">
        <v>1111.48</v>
      </c>
      <c r="O2190" t="n">
        <v>4.58</v>
      </c>
      <c r="P2190" t="n">
        <v>4</v>
      </c>
      <c r="Q2190" t="n">
        <v>2</v>
      </c>
      <c r="R2190" t="n">
        <v>2020.5</v>
      </c>
      <c r="S2190" t="b">
        <v>0</v>
      </c>
      <c r="T2190" t="n">
        <v>3367433</v>
      </c>
      <c r="U2190" t="n">
        <v>12</v>
      </c>
      <c r="V2190" t="n">
        <v>0.08649999999999999</v>
      </c>
      <c r="W2190" t="n">
        <v>1.74</v>
      </c>
      <c r="X2190" t="n">
        <v>73.56999999999999</v>
      </c>
      <c r="Y2190">
        <f>VLOOKUP(D2190,$AB$2:$AC$7,2,FALSE)</f>
        <v/>
      </c>
      <c r="Z2190">
        <f>IF(A2190&lt;Y2190,"Yes","No")</f>
        <v/>
      </c>
    </row>
    <row r="2191">
      <c r="A2191" t="n">
        <v>2022</v>
      </c>
      <c r="B2191" t="inlineStr">
        <is>
          <t>Q3</t>
        </is>
      </c>
      <c r="C2191" t="inlineStr">
        <is>
          <t>North America</t>
        </is>
      </c>
      <c r="D2191" t="inlineStr">
        <is>
          <t>Model S</t>
        </is>
      </c>
      <c r="E2191" t="n">
        <v>3016</v>
      </c>
      <c r="F2191" t="n">
        <v>87445.64</v>
      </c>
      <c r="G2191" t="n">
        <v>23</v>
      </c>
      <c r="H2191" t="inlineStr">
        <is>
          <t>Performance</t>
        </is>
      </c>
      <c r="I2191" t="inlineStr">
        <is>
          <t>AWD</t>
        </is>
      </c>
      <c r="J2191" t="inlineStr">
        <is>
          <t>White</t>
        </is>
      </c>
      <c r="K2191" t="n">
        <v>694</v>
      </c>
      <c r="L2191" t="n">
        <v>48</v>
      </c>
      <c r="M2191" t="n">
        <v>17.29</v>
      </c>
      <c r="N2191" t="n">
        <v>5943.94</v>
      </c>
      <c r="O2191" t="n">
        <v>3.75</v>
      </c>
      <c r="P2191" t="n">
        <v>4</v>
      </c>
      <c r="Q2191" t="n">
        <v>2</v>
      </c>
      <c r="R2191" t="n">
        <v>2021.1</v>
      </c>
      <c r="S2191" t="b">
        <v>0</v>
      </c>
      <c r="T2191" t="n">
        <v>853335</v>
      </c>
      <c r="U2191" t="n">
        <v>10</v>
      </c>
      <c r="V2191" t="n">
        <v>0.0268</v>
      </c>
      <c r="W2191" t="n">
        <v>1.75</v>
      </c>
      <c r="X2191" t="n">
        <v>88.48</v>
      </c>
      <c r="Y2191">
        <f>VLOOKUP(D2191,$AB$2:$AC$7,2,FALSE)</f>
        <v/>
      </c>
      <c r="Z2191">
        <f>IF(A2191&lt;Y2191,"Yes","No")</f>
        <v/>
      </c>
    </row>
    <row r="2192">
      <c r="A2192" t="n">
        <v>2017</v>
      </c>
      <c r="B2192" t="inlineStr">
        <is>
          <t>Q3</t>
        </is>
      </c>
      <c r="C2192" t="inlineStr">
        <is>
          <t>South America</t>
        </is>
      </c>
      <c r="D2192" t="inlineStr">
        <is>
          <t>Model S</t>
        </is>
      </c>
      <c r="E2192" t="n">
        <v>3861</v>
      </c>
      <c r="F2192" t="n">
        <v>81511.13</v>
      </c>
      <c r="G2192" t="n">
        <v>11</v>
      </c>
      <c r="H2192" t="inlineStr">
        <is>
          <t>Long Range</t>
        </is>
      </c>
      <c r="I2192" t="inlineStr">
        <is>
          <t>RWD</t>
        </is>
      </c>
      <c r="J2192" t="inlineStr">
        <is>
          <t>Red</t>
        </is>
      </c>
      <c r="K2192" t="n">
        <v>541</v>
      </c>
      <c r="L2192" t="n">
        <v>49</v>
      </c>
      <c r="M2192" t="n">
        <v>14.43</v>
      </c>
      <c r="N2192" t="n">
        <v>9595.690000000001</v>
      </c>
      <c r="O2192" t="n">
        <v>3.68</v>
      </c>
      <c r="P2192" t="n">
        <v>4</v>
      </c>
      <c r="Q2192" t="n">
        <v>1</v>
      </c>
      <c r="R2192" t="n">
        <v>2023.6</v>
      </c>
      <c r="S2192" t="b">
        <v>0</v>
      </c>
      <c r="T2192" t="n">
        <v>4008045</v>
      </c>
      <c r="U2192" t="n">
        <v>2</v>
      </c>
      <c r="V2192" t="n">
        <v>0.0984</v>
      </c>
      <c r="W2192" t="n">
        <v>2.21</v>
      </c>
      <c r="X2192" t="n">
        <v>84.84999999999999</v>
      </c>
      <c r="Y2192">
        <f>VLOOKUP(D2192,$AB$2:$AC$7,2,FALSE)</f>
        <v/>
      </c>
      <c r="Z2192">
        <f>IF(A2192&lt;Y2192,"Yes","No")</f>
        <v/>
      </c>
    </row>
    <row r="2193">
      <c r="A2193" t="n">
        <v>2021</v>
      </c>
      <c r="B2193" t="inlineStr">
        <is>
          <t>Q4</t>
        </is>
      </c>
      <c r="C2193" t="inlineStr">
        <is>
          <t>North America</t>
        </is>
      </c>
      <c r="D2193" t="inlineStr">
        <is>
          <t>Semi</t>
        </is>
      </c>
      <c r="E2193" t="n">
        <v>3342</v>
      </c>
      <c r="F2193" t="n">
        <v>42877.47</v>
      </c>
      <c r="G2193" t="n">
        <v>42</v>
      </c>
      <c r="H2193" t="inlineStr">
        <is>
          <t>Long Range</t>
        </is>
      </c>
      <c r="I2193" t="inlineStr">
        <is>
          <t>RWD</t>
        </is>
      </c>
      <c r="J2193" t="inlineStr">
        <is>
          <t>Red</t>
        </is>
      </c>
      <c r="K2193" t="n">
        <v>458</v>
      </c>
      <c r="L2193" t="n">
        <v>78</v>
      </c>
      <c r="M2193" t="n">
        <v>17.38</v>
      </c>
      <c r="N2193" t="n">
        <v>2343.25</v>
      </c>
      <c r="O2193" t="n">
        <v>4.73</v>
      </c>
      <c r="P2193" t="n">
        <v>6</v>
      </c>
      <c r="Q2193" t="n">
        <v>1</v>
      </c>
      <c r="R2193" t="n">
        <v>2023.1</v>
      </c>
      <c r="S2193" t="b">
        <v>0</v>
      </c>
      <c r="T2193" t="n">
        <v>3120151</v>
      </c>
      <c r="U2193" t="n">
        <v>11</v>
      </c>
      <c r="V2193" t="n">
        <v>0.0847</v>
      </c>
      <c r="W2193" t="n">
        <v>1.58</v>
      </c>
      <c r="X2193" t="n">
        <v>64.8</v>
      </c>
      <c r="Y2193">
        <f>VLOOKUP(D2193,$AB$2:$AC$7,2,FALSE)</f>
        <v/>
      </c>
      <c r="Z2193">
        <f>IF(A2193&lt;Y2193,"Yes","No")</f>
        <v/>
      </c>
    </row>
    <row r="2194">
      <c r="A2194" t="n">
        <v>2019</v>
      </c>
      <c r="B2194" t="inlineStr">
        <is>
          <t>Q1</t>
        </is>
      </c>
      <c r="C2194" t="inlineStr">
        <is>
          <t>Australia</t>
        </is>
      </c>
      <c r="D2194" t="inlineStr">
        <is>
          <t>Cybertruck</t>
        </is>
      </c>
      <c r="E2194" t="n">
        <v>1126</v>
      </c>
      <c r="F2194" t="n">
        <v>110326.7</v>
      </c>
      <c r="G2194" t="n">
        <v>26</v>
      </c>
      <c r="H2194" t="inlineStr">
        <is>
          <t>Performance</t>
        </is>
      </c>
      <c r="I2194" t="inlineStr">
        <is>
          <t>AWD</t>
        </is>
      </c>
      <c r="J2194" t="inlineStr">
        <is>
          <t>White</t>
        </is>
      </c>
      <c r="K2194" t="n">
        <v>548</v>
      </c>
      <c r="L2194" t="n">
        <v>66</v>
      </c>
      <c r="M2194" t="n">
        <v>21.07</v>
      </c>
      <c r="N2194" t="n">
        <v>2569.87</v>
      </c>
      <c r="O2194" t="n">
        <v>4.4</v>
      </c>
      <c r="P2194" t="n">
        <v>8</v>
      </c>
      <c r="Q2194" t="n">
        <v>0</v>
      </c>
      <c r="R2194" t="n">
        <v>2024.11</v>
      </c>
      <c r="S2194" t="b">
        <v>1</v>
      </c>
      <c r="T2194" t="n">
        <v>4271914</v>
      </c>
      <c r="U2194" t="n">
        <v>8</v>
      </c>
      <c r="V2194" t="n">
        <v>0.0212</v>
      </c>
      <c r="W2194" t="n">
        <v>0.52</v>
      </c>
      <c r="X2194" t="n">
        <v>81.34999999999999</v>
      </c>
      <c r="Y2194">
        <f>VLOOKUP(D2194,$AB$2:$AC$7,2,FALSE)</f>
        <v/>
      </c>
      <c r="Z2194">
        <f>IF(A2194&lt;Y2194,"Yes","No")</f>
        <v/>
      </c>
    </row>
    <row r="2195">
      <c r="A2195" t="n">
        <v>2017</v>
      </c>
      <c r="B2195" t="inlineStr">
        <is>
          <t>Q1</t>
        </is>
      </c>
      <c r="C2195" t="inlineStr">
        <is>
          <t>Europe</t>
        </is>
      </c>
      <c r="D2195" t="inlineStr">
        <is>
          <t>Model S</t>
        </is>
      </c>
      <c r="E2195" t="n">
        <v>2170</v>
      </c>
      <c r="F2195" t="n">
        <v>66062.37</v>
      </c>
      <c r="G2195" t="n">
        <v>37</v>
      </c>
      <c r="H2195" t="inlineStr">
        <is>
          <t>Performance</t>
        </is>
      </c>
      <c r="I2195" t="inlineStr">
        <is>
          <t>RWD</t>
        </is>
      </c>
      <c r="J2195" t="inlineStr">
        <is>
          <t>Silver</t>
        </is>
      </c>
      <c r="K2195" t="n">
        <v>406</v>
      </c>
      <c r="L2195" t="n">
        <v>51</v>
      </c>
      <c r="M2195" t="n">
        <v>24.42</v>
      </c>
      <c r="N2195" t="n">
        <v>3121.92</v>
      </c>
      <c r="O2195" t="n">
        <v>4.56</v>
      </c>
      <c r="P2195" t="n">
        <v>6</v>
      </c>
      <c r="Q2195" t="n">
        <v>1</v>
      </c>
      <c r="R2195" t="n">
        <v>2024.6</v>
      </c>
      <c r="S2195" t="b">
        <v>0</v>
      </c>
      <c r="T2195" t="n">
        <v>1781396</v>
      </c>
      <c r="U2195" t="n">
        <v>5</v>
      </c>
      <c r="V2195" t="n">
        <v>0.0529</v>
      </c>
      <c r="W2195" t="n">
        <v>1.63</v>
      </c>
      <c r="X2195" t="n">
        <v>75.36</v>
      </c>
      <c r="Y2195">
        <f>VLOOKUP(D2195,$AB$2:$AC$7,2,FALSE)</f>
        <v/>
      </c>
      <c r="Z2195">
        <f>IF(A2195&lt;Y2195,"Yes","No")</f>
        <v/>
      </c>
    </row>
    <row r="2196">
      <c r="A2196" t="n">
        <v>2023</v>
      </c>
      <c r="B2196" t="inlineStr">
        <is>
          <t>Q3</t>
        </is>
      </c>
      <c r="C2196" t="inlineStr">
        <is>
          <t>South America</t>
        </is>
      </c>
      <c r="D2196" t="inlineStr">
        <is>
          <t>Semi</t>
        </is>
      </c>
      <c r="E2196" t="n">
        <v>746</v>
      </c>
      <c r="F2196" t="n">
        <v>55633.1</v>
      </c>
      <c r="G2196" t="n">
        <v>34</v>
      </c>
      <c r="H2196" t="inlineStr">
        <is>
          <t>Performance</t>
        </is>
      </c>
      <c r="I2196" t="inlineStr">
        <is>
          <t>RWD</t>
        </is>
      </c>
      <c r="J2196" t="inlineStr">
        <is>
          <t>Green</t>
        </is>
      </c>
      <c r="K2196" t="n">
        <v>620</v>
      </c>
      <c r="L2196" t="n">
        <v>61</v>
      </c>
      <c r="M2196" t="n">
        <v>23.45</v>
      </c>
      <c r="N2196" t="n">
        <v>541.59</v>
      </c>
      <c r="O2196" t="n">
        <v>4.27</v>
      </c>
      <c r="P2196" t="n">
        <v>4</v>
      </c>
      <c r="Q2196" t="n">
        <v>0</v>
      </c>
      <c r="R2196" t="n">
        <v>2021.4</v>
      </c>
      <c r="S2196" t="b">
        <v>0</v>
      </c>
      <c r="T2196" t="n">
        <v>2833008</v>
      </c>
      <c r="U2196" t="n">
        <v>12</v>
      </c>
      <c r="V2196" t="n">
        <v>0.09429999999999999</v>
      </c>
      <c r="W2196" t="n">
        <v>0.92</v>
      </c>
      <c r="X2196" t="n">
        <v>62.81</v>
      </c>
      <c r="Y2196">
        <f>VLOOKUP(D2196,$AB$2:$AC$7,2,FALSE)</f>
        <v/>
      </c>
      <c r="Z2196">
        <f>IF(A2196&lt;Y2196,"Yes","No")</f>
        <v/>
      </c>
    </row>
    <row r="2197">
      <c r="A2197" t="n">
        <v>2015</v>
      </c>
      <c r="B2197" t="inlineStr">
        <is>
          <t>Q2</t>
        </is>
      </c>
      <c r="C2197" t="inlineStr">
        <is>
          <t>Asia</t>
        </is>
      </c>
      <c r="D2197" t="inlineStr">
        <is>
          <t>Model S</t>
        </is>
      </c>
      <c r="E2197" t="n">
        <v>3672</v>
      </c>
      <c r="F2197" t="n">
        <v>36058.42</v>
      </c>
      <c r="G2197" t="n">
        <v>29</v>
      </c>
      <c r="H2197" t="inlineStr">
        <is>
          <t>Standard</t>
        </is>
      </c>
      <c r="I2197" t="inlineStr">
        <is>
          <t>AWD</t>
        </is>
      </c>
      <c r="J2197" t="inlineStr">
        <is>
          <t>Blue</t>
        </is>
      </c>
      <c r="K2197" t="n">
        <v>607</v>
      </c>
      <c r="L2197" t="n">
        <v>61</v>
      </c>
      <c r="M2197" t="n">
        <v>22.26</v>
      </c>
      <c r="N2197" t="n">
        <v>4893.01</v>
      </c>
      <c r="O2197" t="n">
        <v>3.87</v>
      </c>
      <c r="P2197" t="n">
        <v>8</v>
      </c>
      <c r="Q2197" t="n">
        <v>0</v>
      </c>
      <c r="R2197" t="n">
        <v>2024.12</v>
      </c>
      <c r="S2197" t="b">
        <v>1</v>
      </c>
      <c r="T2197" t="n">
        <v>1710461</v>
      </c>
      <c r="U2197" t="n">
        <v>12</v>
      </c>
      <c r="V2197" t="n">
        <v>0.0953</v>
      </c>
      <c r="W2197" t="n">
        <v>0.85</v>
      </c>
      <c r="X2197" t="n">
        <v>61.52</v>
      </c>
      <c r="Y2197">
        <f>VLOOKUP(D2197,$AB$2:$AC$7,2,FALSE)</f>
        <v/>
      </c>
      <c r="Z2197">
        <f>IF(A2197&lt;Y2197,"Yes","No")</f>
        <v/>
      </c>
    </row>
    <row r="2198">
      <c r="A2198" t="n">
        <v>2020</v>
      </c>
      <c r="B2198" t="inlineStr">
        <is>
          <t>Q2</t>
        </is>
      </c>
      <c r="C2198" t="inlineStr">
        <is>
          <t>Europe</t>
        </is>
      </c>
      <c r="D2198" t="inlineStr">
        <is>
          <t>Model S</t>
        </is>
      </c>
      <c r="E2198" t="n">
        <v>2550</v>
      </c>
      <c r="F2198" t="n">
        <v>58963.66</v>
      </c>
      <c r="G2198" t="n">
        <v>18</v>
      </c>
      <c r="H2198" t="inlineStr">
        <is>
          <t>Performance</t>
        </is>
      </c>
      <c r="I2198" t="inlineStr">
        <is>
          <t>AWD</t>
        </is>
      </c>
      <c r="J2198" t="inlineStr">
        <is>
          <t>White</t>
        </is>
      </c>
      <c r="K2198" t="n">
        <v>407</v>
      </c>
      <c r="L2198" t="n">
        <v>68</v>
      </c>
      <c r="M2198" t="n">
        <v>18.89</v>
      </c>
      <c r="N2198" t="n">
        <v>5234.17</v>
      </c>
      <c r="O2198" t="n">
        <v>4.67</v>
      </c>
      <c r="P2198" t="n">
        <v>4</v>
      </c>
      <c r="Q2198" t="n">
        <v>3</v>
      </c>
      <c r="R2198" t="n">
        <v>2022.1</v>
      </c>
      <c r="S2198" t="b">
        <v>0</v>
      </c>
      <c r="T2198" t="n">
        <v>4091391</v>
      </c>
      <c r="U2198" t="n">
        <v>3</v>
      </c>
      <c r="V2198" t="n">
        <v>0.0823</v>
      </c>
      <c r="W2198" t="n">
        <v>0.57</v>
      </c>
      <c r="X2198" t="n">
        <v>68.73</v>
      </c>
      <c r="Y2198">
        <f>VLOOKUP(D2198,$AB$2:$AC$7,2,FALSE)</f>
        <v/>
      </c>
      <c r="Z2198">
        <f>IF(A2198&lt;Y2198,"Yes","No")</f>
        <v/>
      </c>
    </row>
    <row r="2199">
      <c r="A2199" t="n">
        <v>2014</v>
      </c>
      <c r="B2199" t="inlineStr">
        <is>
          <t>Q3</t>
        </is>
      </c>
      <c r="C2199" t="inlineStr">
        <is>
          <t>South America</t>
        </is>
      </c>
      <c r="D2199" t="inlineStr">
        <is>
          <t>Cybertruck</t>
        </is>
      </c>
      <c r="E2199" t="n">
        <v>189</v>
      </c>
      <c r="F2199" t="n">
        <v>36263.07</v>
      </c>
      <c r="G2199" t="n">
        <v>50</v>
      </c>
      <c r="H2199" t="inlineStr">
        <is>
          <t>Performance</t>
        </is>
      </c>
      <c r="I2199" t="inlineStr">
        <is>
          <t>AWD</t>
        </is>
      </c>
      <c r="J2199" t="inlineStr">
        <is>
          <t>Silver</t>
        </is>
      </c>
      <c r="K2199" t="n">
        <v>500</v>
      </c>
      <c r="L2199" t="n">
        <v>40</v>
      </c>
      <c r="M2199" t="n">
        <v>14.6</v>
      </c>
      <c r="N2199" t="n">
        <v>383.62</v>
      </c>
      <c r="O2199" t="n">
        <v>4.25</v>
      </c>
      <c r="P2199" t="n">
        <v>4</v>
      </c>
      <c r="Q2199" t="n">
        <v>1</v>
      </c>
      <c r="R2199" t="n">
        <v>2020.4</v>
      </c>
      <c r="S2199" t="b">
        <v>0</v>
      </c>
      <c r="T2199" t="n">
        <v>4228826</v>
      </c>
      <c r="U2199" t="n">
        <v>12</v>
      </c>
      <c r="V2199" t="n">
        <v>0.0348</v>
      </c>
      <c r="W2199" t="n">
        <v>1.01</v>
      </c>
      <c r="X2199" t="n">
        <v>66.72</v>
      </c>
      <c r="Y2199">
        <f>VLOOKUP(D2199,$AB$2:$AC$7,2,FALSE)</f>
        <v/>
      </c>
      <c r="Z2199">
        <f>IF(A2199&lt;Y2199,"Yes","No")</f>
        <v/>
      </c>
    </row>
    <row r="2200">
      <c r="A2200" t="n">
        <v>2012</v>
      </c>
      <c r="B2200" t="inlineStr">
        <is>
          <t>Q3</t>
        </is>
      </c>
      <c r="C2200" t="inlineStr">
        <is>
          <t>Australia</t>
        </is>
      </c>
      <c r="D2200" t="inlineStr">
        <is>
          <t>Cybertruck</t>
        </is>
      </c>
      <c r="E2200" t="n">
        <v>1447</v>
      </c>
      <c r="F2200" t="n">
        <v>63227.95</v>
      </c>
      <c r="G2200" t="n">
        <v>51</v>
      </c>
      <c r="H2200" t="inlineStr">
        <is>
          <t>Performance</t>
        </is>
      </c>
      <c r="I2200" t="inlineStr">
        <is>
          <t>AWD</t>
        </is>
      </c>
      <c r="J2200" t="inlineStr">
        <is>
          <t>Blue</t>
        </is>
      </c>
      <c r="K2200" t="n">
        <v>464</v>
      </c>
      <c r="L2200" t="n">
        <v>44</v>
      </c>
      <c r="M2200" t="n">
        <v>15.95</v>
      </c>
      <c r="N2200" t="n">
        <v>1728.95</v>
      </c>
      <c r="O2200" t="n">
        <v>3.67</v>
      </c>
      <c r="P2200" t="n">
        <v>8</v>
      </c>
      <c r="Q2200" t="n">
        <v>1</v>
      </c>
      <c r="R2200" t="n">
        <v>2021.1</v>
      </c>
      <c r="S2200" t="b">
        <v>1</v>
      </c>
      <c r="T2200" t="n">
        <v>2907436</v>
      </c>
      <c r="U2200" t="n">
        <v>4</v>
      </c>
      <c r="V2200" t="n">
        <v>0.06519999999999999</v>
      </c>
      <c r="W2200" t="n">
        <v>2.35</v>
      </c>
      <c r="X2200" t="n">
        <v>74.59999999999999</v>
      </c>
      <c r="Y2200">
        <f>VLOOKUP(D2200,$AB$2:$AC$7,2,FALSE)</f>
        <v/>
      </c>
      <c r="Z2200">
        <f>IF(A2200&lt;Y2200,"Yes","No")</f>
        <v/>
      </c>
    </row>
    <row r="2201">
      <c r="A2201" t="n">
        <v>2018</v>
      </c>
      <c r="B2201" t="inlineStr">
        <is>
          <t>Q3</t>
        </is>
      </c>
      <c r="C2201" t="inlineStr">
        <is>
          <t>Asia</t>
        </is>
      </c>
      <c r="D2201" t="inlineStr">
        <is>
          <t>Model Y</t>
        </is>
      </c>
      <c r="E2201" t="n">
        <v>1489</v>
      </c>
      <c r="F2201" t="n">
        <v>41913.32</v>
      </c>
      <c r="G2201" t="n">
        <v>24</v>
      </c>
      <c r="H2201" t="inlineStr">
        <is>
          <t>Long Range</t>
        </is>
      </c>
      <c r="I2201" t="inlineStr">
        <is>
          <t>AWD</t>
        </is>
      </c>
      <c r="J2201" t="inlineStr">
        <is>
          <t>Green</t>
        </is>
      </c>
      <c r="K2201" t="n">
        <v>377</v>
      </c>
      <c r="L2201" t="n">
        <v>56</v>
      </c>
      <c r="M2201" t="n">
        <v>14.97</v>
      </c>
      <c r="N2201" t="n">
        <v>2275.66</v>
      </c>
      <c r="O2201" t="n">
        <v>4.92</v>
      </c>
      <c r="P2201" t="n">
        <v>5</v>
      </c>
      <c r="Q2201" t="n">
        <v>2</v>
      </c>
      <c r="R2201" t="n">
        <v>2020.8</v>
      </c>
      <c r="S2201" t="b">
        <v>0</v>
      </c>
      <c r="T2201" t="n">
        <v>3729815</v>
      </c>
      <c r="U2201" t="n">
        <v>6</v>
      </c>
      <c r="V2201" t="n">
        <v>0.0747</v>
      </c>
      <c r="W2201" t="n">
        <v>1.77</v>
      </c>
      <c r="X2201" t="n">
        <v>80.03</v>
      </c>
      <c r="Y2201">
        <f>VLOOKUP(D2201,$AB$2:$AC$7,2,FALSE)</f>
        <v/>
      </c>
      <c r="Z2201">
        <f>IF(A2201&lt;Y2201,"Yes","No")</f>
        <v/>
      </c>
    </row>
    <row r="2202">
      <c r="A2202" t="n">
        <v>2015</v>
      </c>
      <c r="B2202" t="inlineStr">
        <is>
          <t>Q4</t>
        </is>
      </c>
      <c r="C2202" t="inlineStr">
        <is>
          <t>Europe</t>
        </is>
      </c>
      <c r="D2202" t="inlineStr">
        <is>
          <t>Cybertruck</t>
        </is>
      </c>
      <c r="E2202" t="n">
        <v>1097</v>
      </c>
      <c r="F2202" t="n">
        <v>44883.07</v>
      </c>
      <c r="G2202" t="n">
        <v>44</v>
      </c>
      <c r="H2202" t="inlineStr">
        <is>
          <t>Standard</t>
        </is>
      </c>
      <c r="I2202" t="inlineStr">
        <is>
          <t>RWD</t>
        </is>
      </c>
      <c r="J2202" t="inlineStr">
        <is>
          <t>Red</t>
        </is>
      </c>
      <c r="K2202" t="n">
        <v>674</v>
      </c>
      <c r="L2202" t="n">
        <v>84</v>
      </c>
      <c r="M2202" t="n">
        <v>14.2</v>
      </c>
      <c r="N2202" t="n">
        <v>1074.67</v>
      </c>
      <c r="O2202" t="n">
        <v>3.88</v>
      </c>
      <c r="P2202" t="n">
        <v>8</v>
      </c>
      <c r="Q2202" t="n">
        <v>2</v>
      </c>
      <c r="R2202" t="n">
        <v>2020.1</v>
      </c>
      <c r="S2202" t="b">
        <v>1</v>
      </c>
      <c r="T2202" t="n">
        <v>4826308</v>
      </c>
      <c r="U2202" t="n">
        <v>3</v>
      </c>
      <c r="V2202" t="n">
        <v>0.0858</v>
      </c>
      <c r="W2202" t="n">
        <v>1.55</v>
      </c>
      <c r="X2202" t="n">
        <v>75.26000000000001</v>
      </c>
      <c r="Y2202">
        <f>VLOOKUP(D2202,$AB$2:$AC$7,2,FALSE)</f>
        <v/>
      </c>
      <c r="Z2202">
        <f>IF(A2202&lt;Y2202,"Yes","No")</f>
        <v/>
      </c>
    </row>
    <row r="2203">
      <c r="A2203" t="n">
        <v>2021</v>
      </c>
      <c r="B2203" t="inlineStr">
        <is>
          <t>Q3</t>
        </is>
      </c>
      <c r="C2203" t="inlineStr">
        <is>
          <t>Asia</t>
        </is>
      </c>
      <c r="D2203" t="inlineStr">
        <is>
          <t>Model X</t>
        </is>
      </c>
      <c r="E2203" t="n">
        <v>4833</v>
      </c>
      <c r="F2203" t="n">
        <v>58630.48</v>
      </c>
      <c r="G2203" t="n">
        <v>38</v>
      </c>
      <c r="H2203" t="inlineStr">
        <is>
          <t>Long Range</t>
        </is>
      </c>
      <c r="I2203" t="inlineStr">
        <is>
          <t>AWD</t>
        </is>
      </c>
      <c r="J2203" t="inlineStr">
        <is>
          <t>White</t>
        </is>
      </c>
      <c r="K2203" t="n">
        <v>500</v>
      </c>
      <c r="L2203" t="n">
        <v>59</v>
      </c>
      <c r="M2203" t="n">
        <v>23.11</v>
      </c>
      <c r="N2203" t="n">
        <v>8783.620000000001</v>
      </c>
      <c r="O2203" t="n">
        <v>4.65</v>
      </c>
      <c r="P2203" t="n">
        <v>6</v>
      </c>
      <c r="Q2203" t="n">
        <v>3</v>
      </c>
      <c r="R2203" t="n">
        <v>2022.5</v>
      </c>
      <c r="S2203" t="b">
        <v>1</v>
      </c>
      <c r="T2203" t="n">
        <v>1003961</v>
      </c>
      <c r="U2203" t="n">
        <v>9</v>
      </c>
      <c r="V2203" t="n">
        <v>0.0853</v>
      </c>
      <c r="W2203" t="n">
        <v>1.32</v>
      </c>
      <c r="X2203" t="n">
        <v>77.06999999999999</v>
      </c>
      <c r="Y2203">
        <f>VLOOKUP(D2203,$AB$2:$AC$7,2,FALSE)</f>
        <v/>
      </c>
      <c r="Z2203">
        <f>IF(A2203&lt;Y2203,"Yes","No")</f>
        <v/>
      </c>
    </row>
    <row r="2204">
      <c r="A2204" t="n">
        <v>2021</v>
      </c>
      <c r="B2204" t="inlineStr">
        <is>
          <t>Q1</t>
        </is>
      </c>
      <c r="C2204" t="inlineStr">
        <is>
          <t>Asia</t>
        </is>
      </c>
      <c r="D2204" t="inlineStr">
        <is>
          <t>Model Y</t>
        </is>
      </c>
      <c r="E2204" t="n">
        <v>2717</v>
      </c>
      <c r="F2204" t="n">
        <v>43575.75</v>
      </c>
      <c r="G2204" t="n">
        <v>18</v>
      </c>
      <c r="H2204" t="inlineStr">
        <is>
          <t>Long Range</t>
        </is>
      </c>
      <c r="I2204" t="inlineStr">
        <is>
          <t>RWD</t>
        </is>
      </c>
      <c r="J2204" t="inlineStr">
        <is>
          <t>White</t>
        </is>
      </c>
      <c r="K2204" t="n">
        <v>565</v>
      </c>
      <c r="L2204" t="n">
        <v>74</v>
      </c>
      <c r="M2204" t="n">
        <v>22.61</v>
      </c>
      <c r="N2204" t="n">
        <v>3993.94</v>
      </c>
      <c r="O2204" t="n">
        <v>4.28</v>
      </c>
      <c r="P2204" t="n">
        <v>6</v>
      </c>
      <c r="Q2204" t="n">
        <v>2</v>
      </c>
      <c r="R2204" t="n">
        <v>2021.6</v>
      </c>
      <c r="S2204" t="b">
        <v>1</v>
      </c>
      <c r="T2204" t="n">
        <v>4391765</v>
      </c>
      <c r="U2204" t="n">
        <v>10</v>
      </c>
      <c r="V2204" t="n">
        <v>0.0581</v>
      </c>
      <c r="W2204" t="n">
        <v>2.09</v>
      </c>
      <c r="X2204" t="n">
        <v>68.94</v>
      </c>
      <c r="Y2204">
        <f>VLOOKUP(D2204,$AB$2:$AC$7,2,FALSE)</f>
        <v/>
      </c>
      <c r="Z2204">
        <f>IF(A2204&lt;Y2204,"Yes","No")</f>
        <v/>
      </c>
    </row>
    <row r="2205">
      <c r="A2205" t="n">
        <v>2017</v>
      </c>
      <c r="B2205" t="inlineStr">
        <is>
          <t>Q1</t>
        </is>
      </c>
      <c r="C2205" t="inlineStr">
        <is>
          <t>South America</t>
        </is>
      </c>
      <c r="D2205" t="inlineStr">
        <is>
          <t>Cybertruck</t>
        </is>
      </c>
      <c r="E2205" t="n">
        <v>1928</v>
      </c>
      <c r="F2205" t="n">
        <v>111080.77</v>
      </c>
      <c r="G2205" t="n">
        <v>16</v>
      </c>
      <c r="H2205" t="inlineStr">
        <is>
          <t>Standard</t>
        </is>
      </c>
      <c r="I2205" t="inlineStr">
        <is>
          <t>AWD</t>
        </is>
      </c>
      <c r="J2205" t="inlineStr">
        <is>
          <t>Blue</t>
        </is>
      </c>
      <c r="K2205" t="n">
        <v>635</v>
      </c>
      <c r="L2205" t="n">
        <v>48</v>
      </c>
      <c r="M2205" t="n">
        <v>14.86</v>
      </c>
      <c r="N2205" t="n">
        <v>1880.17</v>
      </c>
      <c r="O2205" t="n">
        <v>4.39</v>
      </c>
      <c r="P2205" t="n">
        <v>5</v>
      </c>
      <c r="Q2205" t="n">
        <v>3</v>
      </c>
      <c r="R2205" t="n">
        <v>2024.1</v>
      </c>
      <c r="S2205" t="b">
        <v>0</v>
      </c>
      <c r="T2205" t="n">
        <v>2954080</v>
      </c>
      <c r="U2205" t="n">
        <v>6</v>
      </c>
      <c r="V2205" t="n">
        <v>0.0574</v>
      </c>
      <c r="W2205" t="n">
        <v>1.73</v>
      </c>
      <c r="X2205" t="n">
        <v>74.63</v>
      </c>
      <c r="Y2205">
        <f>VLOOKUP(D2205,$AB$2:$AC$7,2,FALSE)</f>
        <v/>
      </c>
      <c r="Z2205">
        <f>IF(A2205&lt;Y2205,"Yes","No")</f>
        <v/>
      </c>
    </row>
    <row r="2206">
      <c r="A2206" t="n">
        <v>2019</v>
      </c>
      <c r="B2206" t="inlineStr">
        <is>
          <t>Q2</t>
        </is>
      </c>
      <c r="C2206" t="inlineStr">
        <is>
          <t>Australia</t>
        </is>
      </c>
      <c r="D2206" t="inlineStr">
        <is>
          <t>Semi</t>
        </is>
      </c>
      <c r="E2206" t="n">
        <v>1049</v>
      </c>
      <c r="F2206" t="n">
        <v>119884.15</v>
      </c>
      <c r="G2206" t="n">
        <v>16</v>
      </c>
      <c r="H2206" t="inlineStr">
        <is>
          <t>Standard</t>
        </is>
      </c>
      <c r="I2206" t="inlineStr">
        <is>
          <t>AWD</t>
        </is>
      </c>
      <c r="J2206" t="inlineStr">
        <is>
          <t>White</t>
        </is>
      </c>
      <c r="K2206" t="n">
        <v>409</v>
      </c>
      <c r="L2206" t="n">
        <v>40</v>
      </c>
      <c r="M2206" t="n">
        <v>24.95</v>
      </c>
      <c r="N2206" t="n">
        <v>2561.01</v>
      </c>
      <c r="O2206" t="n">
        <v>4.98</v>
      </c>
      <c r="P2206" t="n">
        <v>4</v>
      </c>
      <c r="Q2206" t="n">
        <v>1</v>
      </c>
      <c r="R2206" t="n">
        <v>2024.11</v>
      </c>
      <c r="S2206" t="b">
        <v>1</v>
      </c>
      <c r="T2206" t="n">
        <v>2407323</v>
      </c>
      <c r="U2206" t="n">
        <v>3</v>
      </c>
      <c r="V2206" t="n">
        <v>0.0267</v>
      </c>
      <c r="W2206" t="n">
        <v>1.45</v>
      </c>
      <c r="X2206" t="n">
        <v>65.41</v>
      </c>
      <c r="Y2206">
        <f>VLOOKUP(D2206,$AB$2:$AC$7,2,FALSE)</f>
        <v/>
      </c>
      <c r="Z2206">
        <f>IF(A2206&lt;Y2206,"Yes","No")</f>
        <v/>
      </c>
    </row>
    <row r="2207">
      <c r="A2207" t="n">
        <v>2019</v>
      </c>
      <c r="B2207" t="inlineStr">
        <is>
          <t>Q2</t>
        </is>
      </c>
      <c r="C2207" t="inlineStr">
        <is>
          <t>North America</t>
        </is>
      </c>
      <c r="D2207" t="inlineStr">
        <is>
          <t>Model Y</t>
        </is>
      </c>
      <c r="E2207" t="n">
        <v>2487</v>
      </c>
      <c r="F2207" t="n">
        <v>112690.05</v>
      </c>
      <c r="G2207" t="n">
        <v>38</v>
      </c>
      <c r="H2207" t="inlineStr">
        <is>
          <t>Long Range</t>
        </is>
      </c>
      <c r="I2207" t="inlineStr">
        <is>
          <t>RWD</t>
        </is>
      </c>
      <c r="J2207" t="inlineStr">
        <is>
          <t>Black</t>
        </is>
      </c>
      <c r="K2207" t="n">
        <v>594</v>
      </c>
      <c r="L2207" t="n">
        <v>33</v>
      </c>
      <c r="M2207" t="n">
        <v>24.32</v>
      </c>
      <c r="N2207" t="n">
        <v>1501.94</v>
      </c>
      <c r="O2207" t="n">
        <v>4.14</v>
      </c>
      <c r="P2207" t="n">
        <v>5</v>
      </c>
      <c r="Q2207" t="n">
        <v>1</v>
      </c>
      <c r="R2207" t="n">
        <v>2024.1</v>
      </c>
      <c r="S2207" t="b">
        <v>0</v>
      </c>
      <c r="T2207" t="n">
        <v>3925604</v>
      </c>
      <c r="U2207" t="n">
        <v>5</v>
      </c>
      <c r="V2207" t="n">
        <v>0.0304</v>
      </c>
      <c r="W2207" t="n">
        <v>1.25</v>
      </c>
      <c r="X2207" t="n">
        <v>62.91</v>
      </c>
      <c r="Y2207">
        <f>VLOOKUP(D2207,$AB$2:$AC$7,2,FALSE)</f>
        <v/>
      </c>
      <c r="Z2207">
        <f>IF(A2207&lt;Y2207,"Yes","No")</f>
        <v/>
      </c>
    </row>
    <row r="2208">
      <c r="A2208" t="n">
        <v>2012</v>
      </c>
      <c r="B2208" t="inlineStr">
        <is>
          <t>Q3</t>
        </is>
      </c>
      <c r="C2208" t="inlineStr">
        <is>
          <t>South America</t>
        </is>
      </c>
      <c r="D2208" t="inlineStr">
        <is>
          <t>Model 3</t>
        </is>
      </c>
      <c r="E2208" t="n">
        <v>3818</v>
      </c>
      <c r="F2208" t="n">
        <v>66085.03</v>
      </c>
      <c r="G2208" t="n">
        <v>43</v>
      </c>
      <c r="H2208" t="inlineStr">
        <is>
          <t>Performance</t>
        </is>
      </c>
      <c r="I2208" t="inlineStr">
        <is>
          <t>AWD</t>
        </is>
      </c>
      <c r="J2208" t="inlineStr">
        <is>
          <t>Blue</t>
        </is>
      </c>
      <c r="K2208" t="n">
        <v>465</v>
      </c>
      <c r="L2208" t="n">
        <v>40</v>
      </c>
      <c r="M2208" t="n">
        <v>24.37</v>
      </c>
      <c r="N2208" t="n">
        <v>5936.59</v>
      </c>
      <c r="O2208" t="n">
        <v>3.92</v>
      </c>
      <c r="P2208" t="n">
        <v>6</v>
      </c>
      <c r="Q2208" t="n">
        <v>0</v>
      </c>
      <c r="R2208" t="n">
        <v>2020.9</v>
      </c>
      <c r="S2208" t="b">
        <v>0</v>
      </c>
      <c r="T2208" t="n">
        <v>4356380</v>
      </c>
      <c r="U2208" t="n">
        <v>11</v>
      </c>
      <c r="V2208" t="n">
        <v>0.0735</v>
      </c>
      <c r="W2208" t="n">
        <v>1.66</v>
      </c>
      <c r="X2208" t="n">
        <v>89.2</v>
      </c>
      <c r="Y2208">
        <f>VLOOKUP(D2208,$AB$2:$AC$7,2,FALSE)</f>
        <v/>
      </c>
      <c r="Z2208">
        <f>IF(A2208&lt;Y2208,"Yes","No")</f>
        <v/>
      </c>
    </row>
    <row r="2209">
      <c r="A2209" t="n">
        <v>2022</v>
      </c>
      <c r="B2209" t="inlineStr">
        <is>
          <t>Q1</t>
        </is>
      </c>
      <c r="C2209" t="inlineStr">
        <is>
          <t>South America</t>
        </is>
      </c>
      <c r="D2209" t="inlineStr">
        <is>
          <t>Model S</t>
        </is>
      </c>
      <c r="E2209" t="n">
        <v>866</v>
      </c>
      <c r="F2209" t="n">
        <v>102915.69</v>
      </c>
      <c r="G2209" t="n">
        <v>38</v>
      </c>
      <c r="H2209" t="inlineStr">
        <is>
          <t>Performance</t>
        </is>
      </c>
      <c r="I2209" t="inlineStr">
        <is>
          <t>RWD</t>
        </is>
      </c>
      <c r="J2209" t="inlineStr">
        <is>
          <t>Black</t>
        </is>
      </c>
      <c r="K2209" t="n">
        <v>637</v>
      </c>
      <c r="L2209" t="n">
        <v>37</v>
      </c>
      <c r="M2209" t="n">
        <v>18.96</v>
      </c>
      <c r="N2209" t="n">
        <v>1972.41</v>
      </c>
      <c r="O2209" t="n">
        <v>4.34</v>
      </c>
      <c r="P2209" t="n">
        <v>6</v>
      </c>
      <c r="Q2209" t="n">
        <v>1</v>
      </c>
      <c r="R2209" t="n">
        <v>2020.7</v>
      </c>
      <c r="S2209" t="b">
        <v>0</v>
      </c>
      <c r="T2209" t="n">
        <v>1691317</v>
      </c>
      <c r="U2209" t="n">
        <v>5</v>
      </c>
      <c r="V2209" t="n">
        <v>0.0692</v>
      </c>
      <c r="W2209" t="n">
        <v>1.68</v>
      </c>
      <c r="X2209" t="n">
        <v>79.68000000000001</v>
      </c>
      <c r="Y2209">
        <f>VLOOKUP(D2209,$AB$2:$AC$7,2,FALSE)</f>
        <v/>
      </c>
      <c r="Z2209">
        <f>IF(A2209&lt;Y2209,"Yes","No")</f>
        <v/>
      </c>
    </row>
    <row r="2210">
      <c r="A2210" t="n">
        <v>2017</v>
      </c>
      <c r="B2210" t="inlineStr">
        <is>
          <t>Q3</t>
        </is>
      </c>
      <c r="C2210" t="inlineStr">
        <is>
          <t>Europe</t>
        </is>
      </c>
      <c r="D2210" t="inlineStr">
        <is>
          <t>Model X</t>
        </is>
      </c>
      <c r="E2210" t="n">
        <v>1651</v>
      </c>
      <c r="F2210" t="n">
        <v>50944.89</v>
      </c>
      <c r="G2210" t="n">
        <v>36</v>
      </c>
      <c r="H2210" t="inlineStr">
        <is>
          <t>Performance</t>
        </is>
      </c>
      <c r="I2210" t="inlineStr">
        <is>
          <t>RWD</t>
        </is>
      </c>
      <c r="J2210" t="inlineStr">
        <is>
          <t>Green</t>
        </is>
      </c>
      <c r="K2210" t="n">
        <v>400</v>
      </c>
      <c r="L2210" t="n">
        <v>79</v>
      </c>
      <c r="M2210" t="n">
        <v>20.15</v>
      </c>
      <c r="N2210" t="n">
        <v>1246.9</v>
      </c>
      <c r="O2210" t="n">
        <v>3.52</v>
      </c>
      <c r="P2210" t="n">
        <v>4</v>
      </c>
      <c r="Q2210" t="n">
        <v>1</v>
      </c>
      <c r="R2210" t="n">
        <v>2021.5</v>
      </c>
      <c r="S2210" t="b">
        <v>1</v>
      </c>
      <c r="T2210" t="n">
        <v>2423899</v>
      </c>
      <c r="U2210" t="n">
        <v>5</v>
      </c>
      <c r="V2210" t="n">
        <v>0.08450000000000001</v>
      </c>
      <c r="W2210" t="n">
        <v>2.44</v>
      </c>
      <c r="X2210" t="n">
        <v>85.09</v>
      </c>
      <c r="Y2210">
        <f>VLOOKUP(D2210,$AB$2:$AC$7,2,FALSE)</f>
        <v/>
      </c>
      <c r="Z2210">
        <f>IF(A2210&lt;Y2210,"Yes","No")</f>
        <v/>
      </c>
    </row>
    <row r="2211">
      <c r="A2211" t="n">
        <v>2012</v>
      </c>
      <c r="B2211" t="inlineStr">
        <is>
          <t>Q1</t>
        </is>
      </c>
      <c r="C2211" t="inlineStr">
        <is>
          <t>South America</t>
        </is>
      </c>
      <c r="D2211" t="inlineStr">
        <is>
          <t>Semi</t>
        </is>
      </c>
      <c r="E2211" t="n">
        <v>713</v>
      </c>
      <c r="F2211" t="n">
        <v>92858.53999999999</v>
      </c>
      <c r="G2211" t="n">
        <v>48</v>
      </c>
      <c r="H2211" t="inlineStr">
        <is>
          <t>Long Range</t>
        </is>
      </c>
      <c r="I2211" t="inlineStr">
        <is>
          <t>AWD</t>
        </is>
      </c>
      <c r="J2211" t="inlineStr">
        <is>
          <t>Red</t>
        </is>
      </c>
      <c r="K2211" t="n">
        <v>542</v>
      </c>
      <c r="L2211" t="n">
        <v>42</v>
      </c>
      <c r="M2211" t="n">
        <v>15.66</v>
      </c>
      <c r="N2211" t="n">
        <v>774.87</v>
      </c>
      <c r="O2211" t="n">
        <v>3.84</v>
      </c>
      <c r="P2211" t="n">
        <v>8</v>
      </c>
      <c r="Q2211" t="n">
        <v>1</v>
      </c>
      <c r="R2211" t="n">
        <v>2022.5</v>
      </c>
      <c r="S2211" t="b">
        <v>0</v>
      </c>
      <c r="T2211" t="n">
        <v>4317176</v>
      </c>
      <c r="U2211" t="n">
        <v>5</v>
      </c>
      <c r="V2211" t="n">
        <v>0.08550000000000001</v>
      </c>
      <c r="W2211" t="n">
        <v>1.97</v>
      </c>
      <c r="X2211" t="n">
        <v>87.68000000000001</v>
      </c>
      <c r="Y2211">
        <f>VLOOKUP(D2211,$AB$2:$AC$7,2,FALSE)</f>
        <v/>
      </c>
      <c r="Z2211">
        <f>IF(A2211&lt;Y2211,"Yes","No")</f>
        <v/>
      </c>
    </row>
    <row r="2212">
      <c r="A2212" t="n">
        <v>2013</v>
      </c>
      <c r="B2212" t="inlineStr">
        <is>
          <t>Q2</t>
        </is>
      </c>
      <c r="C2212" t="inlineStr">
        <is>
          <t>North America</t>
        </is>
      </c>
      <c r="D2212" t="inlineStr">
        <is>
          <t>Model 3</t>
        </is>
      </c>
      <c r="E2212" t="n">
        <v>3046</v>
      </c>
      <c r="F2212" t="n">
        <v>77139.5</v>
      </c>
      <c r="G2212" t="n">
        <v>51</v>
      </c>
      <c r="H2212" t="inlineStr">
        <is>
          <t>Performance</t>
        </is>
      </c>
      <c r="I2212" t="inlineStr">
        <is>
          <t>RWD</t>
        </is>
      </c>
      <c r="J2212" t="inlineStr">
        <is>
          <t>Silver</t>
        </is>
      </c>
      <c r="K2212" t="n">
        <v>389</v>
      </c>
      <c r="L2212" t="n">
        <v>33</v>
      </c>
      <c r="M2212" t="n">
        <v>14.76</v>
      </c>
      <c r="N2212" t="n">
        <v>6709.84</v>
      </c>
      <c r="O2212" t="n">
        <v>4.35</v>
      </c>
      <c r="P2212" t="n">
        <v>5</v>
      </c>
      <c r="Q2212" t="n">
        <v>3</v>
      </c>
      <c r="R2212" t="n">
        <v>2021.5</v>
      </c>
      <c r="S2212" t="b">
        <v>0</v>
      </c>
      <c r="T2212" t="n">
        <v>3119501</v>
      </c>
      <c r="U2212" t="n">
        <v>4</v>
      </c>
      <c r="V2212" t="n">
        <v>0.1</v>
      </c>
      <c r="W2212" t="n">
        <v>1.38</v>
      </c>
      <c r="X2212" t="n">
        <v>77.12</v>
      </c>
      <c r="Y2212">
        <f>VLOOKUP(D2212,$AB$2:$AC$7,2,FALSE)</f>
        <v/>
      </c>
      <c r="Z2212">
        <f>IF(A2212&lt;Y2212,"Yes","No")</f>
        <v/>
      </c>
    </row>
    <row r="2213">
      <c r="A2213" t="n">
        <v>2022</v>
      </c>
      <c r="B2213" t="inlineStr">
        <is>
          <t>Q1</t>
        </is>
      </c>
      <c r="C2213" t="inlineStr">
        <is>
          <t>Asia</t>
        </is>
      </c>
      <c r="D2213" t="inlineStr">
        <is>
          <t>Model 3</t>
        </is>
      </c>
      <c r="E2213" t="n">
        <v>4477</v>
      </c>
      <c r="F2213" t="n">
        <v>52892.81</v>
      </c>
      <c r="G2213" t="n">
        <v>5</v>
      </c>
      <c r="H2213" t="inlineStr">
        <is>
          <t>Performance</t>
        </is>
      </c>
      <c r="I2213" t="inlineStr">
        <is>
          <t>RWD</t>
        </is>
      </c>
      <c r="J2213" t="inlineStr">
        <is>
          <t>Blue</t>
        </is>
      </c>
      <c r="K2213" t="n">
        <v>609</v>
      </c>
      <c r="L2213" t="n">
        <v>66</v>
      </c>
      <c r="M2213" t="n">
        <v>17.28</v>
      </c>
      <c r="N2213" t="n">
        <v>6054.95</v>
      </c>
      <c r="O2213" t="n">
        <v>4.04</v>
      </c>
      <c r="P2213" t="n">
        <v>4</v>
      </c>
      <c r="Q2213" t="n">
        <v>0</v>
      </c>
      <c r="R2213" t="n">
        <v>2024.1</v>
      </c>
      <c r="S2213" t="b">
        <v>1</v>
      </c>
      <c r="T2213" t="n">
        <v>3224207</v>
      </c>
      <c r="U2213" t="n">
        <v>6</v>
      </c>
      <c r="V2213" t="n">
        <v>0.0367</v>
      </c>
      <c r="W2213" t="n">
        <v>0.54</v>
      </c>
      <c r="X2213" t="n">
        <v>64.31999999999999</v>
      </c>
      <c r="Y2213">
        <f>VLOOKUP(D2213,$AB$2:$AC$7,2,FALSE)</f>
        <v/>
      </c>
      <c r="Z2213">
        <f>IF(A2213&lt;Y2213,"Yes","No")</f>
        <v/>
      </c>
    </row>
    <row r="2214">
      <c r="A2214" t="n">
        <v>2019</v>
      </c>
      <c r="B2214" t="inlineStr">
        <is>
          <t>Q4</t>
        </is>
      </c>
      <c r="C2214" t="inlineStr">
        <is>
          <t>North America</t>
        </is>
      </c>
      <c r="D2214" t="inlineStr">
        <is>
          <t>Model S</t>
        </is>
      </c>
      <c r="E2214" t="n">
        <v>1085</v>
      </c>
      <c r="F2214" t="n">
        <v>53893.12</v>
      </c>
      <c r="G2214" t="n">
        <v>24</v>
      </c>
      <c r="H2214" t="inlineStr">
        <is>
          <t>Standard</t>
        </is>
      </c>
      <c r="I2214" t="inlineStr">
        <is>
          <t>RWD</t>
        </is>
      </c>
      <c r="J2214" t="inlineStr">
        <is>
          <t>Blue</t>
        </is>
      </c>
      <c r="K2214" t="n">
        <v>538</v>
      </c>
      <c r="L2214" t="n">
        <v>35</v>
      </c>
      <c r="M2214" t="n">
        <v>13.29</v>
      </c>
      <c r="N2214" t="n">
        <v>615.48</v>
      </c>
      <c r="O2214" t="n">
        <v>3.82</v>
      </c>
      <c r="P2214" t="n">
        <v>8</v>
      </c>
      <c r="Q2214" t="n">
        <v>2</v>
      </c>
      <c r="R2214" t="n">
        <v>2023.5</v>
      </c>
      <c r="S2214" t="b">
        <v>1</v>
      </c>
      <c r="T2214" t="n">
        <v>4082798</v>
      </c>
      <c r="U2214" t="n">
        <v>12</v>
      </c>
      <c r="V2214" t="n">
        <v>0.0313</v>
      </c>
      <c r="W2214" t="n">
        <v>1.04</v>
      </c>
      <c r="X2214" t="n">
        <v>83.94</v>
      </c>
      <c r="Y2214">
        <f>VLOOKUP(D2214,$AB$2:$AC$7,2,FALSE)</f>
        <v/>
      </c>
      <c r="Z2214">
        <f>IF(A2214&lt;Y2214,"Yes","No")</f>
        <v/>
      </c>
    </row>
    <row r="2215">
      <c r="A2215" t="n">
        <v>2022</v>
      </c>
      <c r="B2215" t="inlineStr">
        <is>
          <t>Q1</t>
        </is>
      </c>
      <c r="C2215" t="inlineStr">
        <is>
          <t>South America</t>
        </is>
      </c>
      <c r="D2215" t="inlineStr">
        <is>
          <t>Model X</t>
        </is>
      </c>
      <c r="E2215" t="n">
        <v>3049</v>
      </c>
      <c r="F2215" t="n">
        <v>77748.19</v>
      </c>
      <c r="G2215" t="n">
        <v>55</v>
      </c>
      <c r="H2215" t="inlineStr">
        <is>
          <t>Long Range</t>
        </is>
      </c>
      <c r="I2215" t="inlineStr">
        <is>
          <t>AWD</t>
        </is>
      </c>
      <c r="J2215" t="inlineStr">
        <is>
          <t>Red</t>
        </is>
      </c>
      <c r="K2215" t="n">
        <v>440</v>
      </c>
      <c r="L2215" t="n">
        <v>36</v>
      </c>
      <c r="M2215" t="n">
        <v>15.09</v>
      </c>
      <c r="N2215" t="n">
        <v>6432.98</v>
      </c>
      <c r="O2215" t="n">
        <v>4.3</v>
      </c>
      <c r="P2215" t="n">
        <v>5</v>
      </c>
      <c r="Q2215" t="n">
        <v>3</v>
      </c>
      <c r="R2215" t="n">
        <v>2021.8</v>
      </c>
      <c r="S2215" t="b">
        <v>1</v>
      </c>
      <c r="T2215" t="n">
        <v>2869945</v>
      </c>
      <c r="U2215" t="n">
        <v>3</v>
      </c>
      <c r="V2215" t="n">
        <v>0.0184</v>
      </c>
      <c r="W2215" t="n">
        <v>1.69</v>
      </c>
      <c r="X2215" t="n">
        <v>75.64</v>
      </c>
      <c r="Y2215">
        <f>VLOOKUP(D2215,$AB$2:$AC$7,2,FALSE)</f>
        <v/>
      </c>
      <c r="Z2215">
        <f>IF(A2215&lt;Y2215,"Yes","No")</f>
        <v/>
      </c>
    </row>
    <row r="2216">
      <c r="A2216" t="n">
        <v>2012</v>
      </c>
      <c r="B2216" t="inlineStr">
        <is>
          <t>Q2</t>
        </is>
      </c>
      <c r="C2216" t="inlineStr">
        <is>
          <t>North America</t>
        </is>
      </c>
      <c r="D2216" t="inlineStr">
        <is>
          <t>Model S</t>
        </is>
      </c>
      <c r="E2216" t="n">
        <v>1313</v>
      </c>
      <c r="F2216" t="n">
        <v>67355.22</v>
      </c>
      <c r="G2216" t="n">
        <v>14</v>
      </c>
      <c r="H2216" t="inlineStr">
        <is>
          <t>Long Range</t>
        </is>
      </c>
      <c r="I2216" t="inlineStr">
        <is>
          <t>AWD</t>
        </is>
      </c>
      <c r="J2216" t="inlineStr">
        <is>
          <t>White</t>
        </is>
      </c>
      <c r="K2216" t="n">
        <v>368</v>
      </c>
      <c r="L2216" t="n">
        <v>54</v>
      </c>
      <c r="M2216" t="n">
        <v>22.39</v>
      </c>
      <c r="N2216" t="n">
        <v>2424.84</v>
      </c>
      <c r="O2216" t="n">
        <v>4.34</v>
      </c>
      <c r="P2216" t="n">
        <v>5</v>
      </c>
      <c r="Q2216" t="n">
        <v>2</v>
      </c>
      <c r="R2216" t="n">
        <v>2021.3</v>
      </c>
      <c r="S2216" t="b">
        <v>1</v>
      </c>
      <c r="T2216" t="n">
        <v>2834756</v>
      </c>
      <c r="U2216" t="n">
        <v>6</v>
      </c>
      <c r="V2216" t="n">
        <v>0.0864</v>
      </c>
      <c r="W2216" t="n">
        <v>2.1</v>
      </c>
      <c r="X2216" t="n">
        <v>70.09999999999999</v>
      </c>
      <c r="Y2216">
        <f>VLOOKUP(D2216,$AB$2:$AC$7,2,FALSE)</f>
        <v/>
      </c>
      <c r="Z2216">
        <f>IF(A2216&lt;Y2216,"Yes","No")</f>
        <v/>
      </c>
    </row>
    <row r="2217">
      <c r="A2217" t="n">
        <v>2024</v>
      </c>
      <c r="B2217" t="inlineStr">
        <is>
          <t>Q3</t>
        </is>
      </c>
      <c r="C2217" t="inlineStr">
        <is>
          <t>Australia</t>
        </is>
      </c>
      <c r="D2217" t="inlineStr">
        <is>
          <t>Model Y</t>
        </is>
      </c>
      <c r="E2217" t="n">
        <v>1873</v>
      </c>
      <c r="F2217" t="n">
        <v>103998.33</v>
      </c>
      <c r="G2217" t="n">
        <v>27</v>
      </c>
      <c r="H2217" t="inlineStr">
        <is>
          <t>Performance</t>
        </is>
      </c>
      <c r="I2217" t="inlineStr">
        <is>
          <t>AWD</t>
        </is>
      </c>
      <c r="J2217" t="inlineStr">
        <is>
          <t>White</t>
        </is>
      </c>
      <c r="K2217" t="n">
        <v>539</v>
      </c>
      <c r="L2217" t="n">
        <v>52</v>
      </c>
      <c r="M2217" t="n">
        <v>23.79</v>
      </c>
      <c r="N2217" t="n">
        <v>4503.32</v>
      </c>
      <c r="O2217" t="n">
        <v>3.58</v>
      </c>
      <c r="P2217" t="n">
        <v>8</v>
      </c>
      <c r="Q2217" t="n">
        <v>2</v>
      </c>
      <c r="R2217" t="n">
        <v>2021.6</v>
      </c>
      <c r="S2217" t="b">
        <v>0</v>
      </c>
      <c r="T2217" t="n">
        <v>1430065</v>
      </c>
      <c r="U2217" t="n">
        <v>5</v>
      </c>
      <c r="V2217" t="n">
        <v>0.0497</v>
      </c>
      <c r="W2217" t="n">
        <v>2.48</v>
      </c>
      <c r="X2217" t="n">
        <v>67.67</v>
      </c>
      <c r="Y2217">
        <f>VLOOKUP(D2217,$AB$2:$AC$7,2,FALSE)</f>
        <v/>
      </c>
      <c r="Z2217">
        <f>IF(A2217&lt;Y2217,"Yes","No")</f>
        <v/>
      </c>
    </row>
    <row r="2218">
      <c r="A2218" t="n">
        <v>2018</v>
      </c>
      <c r="B2218" t="inlineStr">
        <is>
          <t>Q4</t>
        </is>
      </c>
      <c r="C2218" t="inlineStr">
        <is>
          <t>Australia</t>
        </is>
      </c>
      <c r="D2218" t="inlineStr">
        <is>
          <t>Semi</t>
        </is>
      </c>
      <c r="E2218" t="n">
        <v>1079</v>
      </c>
      <c r="F2218" t="n">
        <v>49225.91</v>
      </c>
      <c r="G2218" t="n">
        <v>58</v>
      </c>
      <c r="H2218" t="inlineStr">
        <is>
          <t>Performance</t>
        </is>
      </c>
      <c r="I2218" t="inlineStr">
        <is>
          <t>RWD</t>
        </is>
      </c>
      <c r="J2218" t="inlineStr">
        <is>
          <t>Blue</t>
        </is>
      </c>
      <c r="K2218" t="n">
        <v>387</v>
      </c>
      <c r="L2218" t="n">
        <v>61</v>
      </c>
      <c r="M2218" t="n">
        <v>16.65</v>
      </c>
      <c r="N2218" t="n">
        <v>1489.48</v>
      </c>
      <c r="O2218" t="n">
        <v>3.52</v>
      </c>
      <c r="P2218" t="n">
        <v>6</v>
      </c>
      <c r="Q2218" t="n">
        <v>2</v>
      </c>
      <c r="R2218" t="n">
        <v>2021.3</v>
      </c>
      <c r="S2218" t="b">
        <v>0</v>
      </c>
      <c r="T2218" t="n">
        <v>1531931</v>
      </c>
      <c r="U2218" t="n">
        <v>2</v>
      </c>
      <c r="V2218" t="n">
        <v>0.0424</v>
      </c>
      <c r="W2218" t="n">
        <v>2.06</v>
      </c>
      <c r="X2218" t="n">
        <v>67.81999999999999</v>
      </c>
      <c r="Y2218">
        <f>VLOOKUP(D2218,$AB$2:$AC$7,2,FALSE)</f>
        <v/>
      </c>
      <c r="Z2218">
        <f>IF(A2218&lt;Y2218,"Yes","No")</f>
        <v/>
      </c>
    </row>
    <row r="2219">
      <c r="A2219" t="n">
        <v>2014</v>
      </c>
      <c r="B2219" t="inlineStr">
        <is>
          <t>Q3</t>
        </is>
      </c>
      <c r="C2219" t="inlineStr">
        <is>
          <t>Asia</t>
        </is>
      </c>
      <c r="D2219" t="inlineStr">
        <is>
          <t>Cybertruck</t>
        </is>
      </c>
      <c r="E2219" t="n">
        <v>3735</v>
      </c>
      <c r="F2219" t="n">
        <v>80254.09</v>
      </c>
      <c r="G2219" t="n">
        <v>24</v>
      </c>
      <c r="H2219" t="inlineStr">
        <is>
          <t>Long Range</t>
        </is>
      </c>
      <c r="I2219" t="inlineStr">
        <is>
          <t>AWD</t>
        </is>
      </c>
      <c r="J2219" t="inlineStr">
        <is>
          <t>Blue</t>
        </is>
      </c>
      <c r="K2219" t="n">
        <v>392</v>
      </c>
      <c r="L2219" t="n">
        <v>69</v>
      </c>
      <c r="M2219" t="n">
        <v>23.1</v>
      </c>
      <c r="N2219" t="n">
        <v>9037.469999999999</v>
      </c>
      <c r="O2219" t="n">
        <v>4.89</v>
      </c>
      <c r="P2219" t="n">
        <v>4</v>
      </c>
      <c r="Q2219" t="n">
        <v>1</v>
      </c>
      <c r="R2219" t="n">
        <v>2022.9</v>
      </c>
      <c r="S2219" t="b">
        <v>0</v>
      </c>
      <c r="T2219" t="n">
        <v>1963232</v>
      </c>
      <c r="U2219" t="n">
        <v>3</v>
      </c>
      <c r="V2219" t="n">
        <v>0.0198</v>
      </c>
      <c r="W2219" t="n">
        <v>0.59</v>
      </c>
      <c r="X2219" t="n">
        <v>70.44</v>
      </c>
      <c r="Y2219">
        <f>VLOOKUP(D2219,$AB$2:$AC$7,2,FALSE)</f>
        <v/>
      </c>
      <c r="Z2219">
        <f>IF(A2219&lt;Y2219,"Yes","No")</f>
        <v/>
      </c>
    </row>
    <row r="2220">
      <c r="A2220" t="n">
        <v>2017</v>
      </c>
      <c r="B2220" t="inlineStr">
        <is>
          <t>Q2</t>
        </is>
      </c>
      <c r="C2220" t="inlineStr">
        <is>
          <t>South America</t>
        </is>
      </c>
      <c r="D2220" t="inlineStr">
        <is>
          <t>Cybertruck</t>
        </is>
      </c>
      <c r="E2220" t="n">
        <v>3085</v>
      </c>
      <c r="F2220" t="n">
        <v>50735.96</v>
      </c>
      <c r="G2220" t="n">
        <v>5</v>
      </c>
      <c r="H2220" t="inlineStr">
        <is>
          <t>Standard</t>
        </is>
      </c>
      <c r="I2220" t="inlineStr">
        <is>
          <t>RWD</t>
        </is>
      </c>
      <c r="J2220" t="inlineStr">
        <is>
          <t>White</t>
        </is>
      </c>
      <c r="K2220" t="n">
        <v>443</v>
      </c>
      <c r="L2220" t="n">
        <v>46</v>
      </c>
      <c r="M2220" t="n">
        <v>13.06</v>
      </c>
      <c r="N2220" t="n">
        <v>3685.29</v>
      </c>
      <c r="O2220" t="n">
        <v>4.51</v>
      </c>
      <c r="P2220" t="n">
        <v>6</v>
      </c>
      <c r="Q2220" t="n">
        <v>1</v>
      </c>
      <c r="R2220" t="n">
        <v>2023.1</v>
      </c>
      <c r="S2220" t="b">
        <v>1</v>
      </c>
      <c r="T2220" t="n">
        <v>4501323</v>
      </c>
      <c r="U2220" t="n">
        <v>8</v>
      </c>
      <c r="V2220" t="n">
        <v>0.0854</v>
      </c>
      <c r="W2220" t="n">
        <v>0.55</v>
      </c>
      <c r="X2220" t="n">
        <v>84.14</v>
      </c>
      <c r="Y2220">
        <f>VLOOKUP(D2220,$AB$2:$AC$7,2,FALSE)</f>
        <v/>
      </c>
      <c r="Z2220">
        <f>IF(A2220&lt;Y2220,"Yes","No")</f>
        <v/>
      </c>
    </row>
    <row r="2221">
      <c r="A2221" t="n">
        <v>2015</v>
      </c>
      <c r="B2221" t="inlineStr">
        <is>
          <t>Q3</t>
        </is>
      </c>
      <c r="C2221" t="inlineStr">
        <is>
          <t>South America</t>
        </is>
      </c>
      <c r="D2221" t="inlineStr">
        <is>
          <t>Semi</t>
        </is>
      </c>
      <c r="E2221" t="n">
        <v>3074</v>
      </c>
      <c r="F2221" t="n">
        <v>110855.12</v>
      </c>
      <c r="G2221" t="n">
        <v>32</v>
      </c>
      <c r="H2221" t="inlineStr">
        <is>
          <t>Performance</t>
        </is>
      </c>
      <c r="I2221" t="inlineStr">
        <is>
          <t>AWD</t>
        </is>
      </c>
      <c r="J2221" t="inlineStr">
        <is>
          <t>Blue</t>
        </is>
      </c>
      <c r="K2221" t="n">
        <v>483</v>
      </c>
      <c r="L2221" t="n">
        <v>50</v>
      </c>
      <c r="M2221" t="n">
        <v>16.15</v>
      </c>
      <c r="N2221" t="n">
        <v>4991.17</v>
      </c>
      <c r="O2221" t="n">
        <v>4.06</v>
      </c>
      <c r="P2221" t="n">
        <v>8</v>
      </c>
      <c r="Q2221" t="n">
        <v>3</v>
      </c>
      <c r="R2221" t="n">
        <v>2022.3</v>
      </c>
      <c r="S2221" t="b">
        <v>0</v>
      </c>
      <c r="T2221" t="n">
        <v>2553235</v>
      </c>
      <c r="U2221" t="n">
        <v>4</v>
      </c>
      <c r="V2221" t="n">
        <v>0.0669</v>
      </c>
      <c r="W2221" t="n">
        <v>1.8</v>
      </c>
      <c r="X2221" t="n">
        <v>61.73</v>
      </c>
      <c r="Y2221">
        <f>VLOOKUP(D2221,$AB$2:$AC$7,2,FALSE)</f>
        <v/>
      </c>
      <c r="Z2221">
        <f>IF(A2221&lt;Y2221,"Yes","No")</f>
        <v/>
      </c>
    </row>
    <row r="2222">
      <c r="A2222" t="n">
        <v>2024</v>
      </c>
      <c r="B2222" t="inlineStr">
        <is>
          <t>Q3</t>
        </is>
      </c>
      <c r="C2222" t="inlineStr">
        <is>
          <t>Europe</t>
        </is>
      </c>
      <c r="D2222" t="inlineStr">
        <is>
          <t>Model Y</t>
        </is>
      </c>
      <c r="E2222" t="n">
        <v>4393</v>
      </c>
      <c r="F2222" t="n">
        <v>49243.99</v>
      </c>
      <c r="G2222" t="n">
        <v>30</v>
      </c>
      <c r="H2222" t="inlineStr">
        <is>
          <t>Long Range</t>
        </is>
      </c>
      <c r="I2222" t="inlineStr">
        <is>
          <t>RWD</t>
        </is>
      </c>
      <c r="J2222" t="inlineStr">
        <is>
          <t>Silver</t>
        </is>
      </c>
      <c r="K2222" t="n">
        <v>480</v>
      </c>
      <c r="L2222" t="n">
        <v>67</v>
      </c>
      <c r="M2222" t="n">
        <v>24.75</v>
      </c>
      <c r="N2222" t="n">
        <v>9982.68</v>
      </c>
      <c r="O2222" t="n">
        <v>4.29</v>
      </c>
      <c r="P2222" t="n">
        <v>4</v>
      </c>
      <c r="Q2222" t="n">
        <v>3</v>
      </c>
      <c r="R2222" t="n">
        <v>2024.11</v>
      </c>
      <c r="S2222" t="b">
        <v>0</v>
      </c>
      <c r="T2222" t="n">
        <v>4136670</v>
      </c>
      <c r="U2222" t="n">
        <v>4</v>
      </c>
      <c r="V2222" t="n">
        <v>0.07870000000000001</v>
      </c>
      <c r="W2222" t="n">
        <v>0.97</v>
      </c>
      <c r="X2222" t="n">
        <v>82.78</v>
      </c>
      <c r="Y2222">
        <f>VLOOKUP(D2222,$AB$2:$AC$7,2,FALSE)</f>
        <v/>
      </c>
      <c r="Z2222">
        <f>IF(A2222&lt;Y2222,"Yes","No")</f>
        <v/>
      </c>
    </row>
    <row r="2223">
      <c r="A2223" t="n">
        <v>2013</v>
      </c>
      <c r="B2223" t="inlineStr">
        <is>
          <t>Q3</t>
        </is>
      </c>
      <c r="C2223" t="inlineStr">
        <is>
          <t>South America</t>
        </is>
      </c>
      <c r="D2223" t="inlineStr">
        <is>
          <t>Model S</t>
        </is>
      </c>
      <c r="E2223" t="n">
        <v>4500</v>
      </c>
      <c r="F2223" t="n">
        <v>107975.26</v>
      </c>
      <c r="G2223" t="n">
        <v>28</v>
      </c>
      <c r="H2223" t="inlineStr">
        <is>
          <t>Performance</t>
        </is>
      </c>
      <c r="I2223" t="inlineStr">
        <is>
          <t>RWD</t>
        </is>
      </c>
      <c r="J2223" t="inlineStr">
        <is>
          <t>White</t>
        </is>
      </c>
      <c r="K2223" t="n">
        <v>405</v>
      </c>
      <c r="L2223" t="n">
        <v>36</v>
      </c>
      <c r="M2223" t="n">
        <v>23.15</v>
      </c>
      <c r="N2223" t="n">
        <v>10307.05</v>
      </c>
      <c r="O2223" t="n">
        <v>4.85</v>
      </c>
      <c r="P2223" t="n">
        <v>5</v>
      </c>
      <c r="Q2223" t="n">
        <v>2</v>
      </c>
      <c r="R2223" t="n">
        <v>2023.8</v>
      </c>
      <c r="S2223" t="b">
        <v>1</v>
      </c>
      <c r="T2223" t="n">
        <v>4820140</v>
      </c>
      <c r="U2223" t="n">
        <v>11</v>
      </c>
      <c r="V2223" t="n">
        <v>0.0634</v>
      </c>
      <c r="W2223" t="n">
        <v>1.43</v>
      </c>
      <c r="X2223" t="n">
        <v>65.13</v>
      </c>
      <c r="Y2223">
        <f>VLOOKUP(D2223,$AB$2:$AC$7,2,FALSE)</f>
        <v/>
      </c>
      <c r="Z2223">
        <f>IF(A2223&lt;Y2223,"Yes","No")</f>
        <v/>
      </c>
    </row>
    <row r="2224">
      <c r="A2224" t="n">
        <v>2019</v>
      </c>
      <c r="B2224" t="inlineStr">
        <is>
          <t>Q1</t>
        </is>
      </c>
      <c r="C2224" t="inlineStr">
        <is>
          <t>North America</t>
        </is>
      </c>
      <c r="D2224" t="inlineStr">
        <is>
          <t>Model S</t>
        </is>
      </c>
      <c r="E2224" t="n">
        <v>1253</v>
      </c>
      <c r="F2224" t="n">
        <v>96895.91</v>
      </c>
      <c r="G2224" t="n">
        <v>39</v>
      </c>
      <c r="H2224" t="inlineStr">
        <is>
          <t>Long Range</t>
        </is>
      </c>
      <c r="I2224" t="inlineStr">
        <is>
          <t>RWD</t>
        </is>
      </c>
      <c r="J2224" t="inlineStr">
        <is>
          <t>Black</t>
        </is>
      </c>
      <c r="K2224" t="n">
        <v>512</v>
      </c>
      <c r="L2224" t="n">
        <v>34</v>
      </c>
      <c r="M2224" t="n">
        <v>22.62</v>
      </c>
      <c r="N2224" t="n">
        <v>2028.59</v>
      </c>
      <c r="O2224" t="n">
        <v>4.23</v>
      </c>
      <c r="P2224" t="n">
        <v>8</v>
      </c>
      <c r="Q2224" t="n">
        <v>0</v>
      </c>
      <c r="R2224" t="n">
        <v>2022.4</v>
      </c>
      <c r="S2224" t="b">
        <v>1</v>
      </c>
      <c r="T2224" t="n">
        <v>448630</v>
      </c>
      <c r="U2224" t="n">
        <v>11</v>
      </c>
      <c r="V2224" t="n">
        <v>0.0746</v>
      </c>
      <c r="W2224" t="n">
        <v>1.25</v>
      </c>
      <c r="X2224" t="n">
        <v>66.64</v>
      </c>
      <c r="Y2224">
        <f>VLOOKUP(D2224,$AB$2:$AC$7,2,FALSE)</f>
        <v/>
      </c>
      <c r="Z2224">
        <f>IF(A2224&lt;Y2224,"Yes","No")</f>
        <v/>
      </c>
    </row>
    <row r="2225">
      <c r="A2225" t="n">
        <v>2022</v>
      </c>
      <c r="B2225" t="inlineStr">
        <is>
          <t>Q1</t>
        </is>
      </c>
      <c r="C2225" t="inlineStr">
        <is>
          <t>North America</t>
        </is>
      </c>
      <c r="D2225" t="inlineStr">
        <is>
          <t>Model X</t>
        </is>
      </c>
      <c r="E2225" t="n">
        <v>2603</v>
      </c>
      <c r="F2225" t="n">
        <v>103594.85</v>
      </c>
      <c r="G2225" t="n">
        <v>17</v>
      </c>
      <c r="H2225" t="inlineStr">
        <is>
          <t>Standard</t>
        </is>
      </c>
      <c r="I2225" t="inlineStr">
        <is>
          <t>RWD</t>
        </is>
      </c>
      <c r="J2225" t="inlineStr">
        <is>
          <t>Black</t>
        </is>
      </c>
      <c r="K2225" t="n">
        <v>638</v>
      </c>
      <c r="L2225" t="n">
        <v>83</v>
      </c>
      <c r="M2225" t="n">
        <v>24.64</v>
      </c>
      <c r="N2225" t="n">
        <v>2805.9</v>
      </c>
      <c r="O2225" t="n">
        <v>4.49</v>
      </c>
      <c r="P2225" t="n">
        <v>5</v>
      </c>
      <c r="Q2225" t="n">
        <v>3</v>
      </c>
      <c r="R2225" t="n">
        <v>2023.6</v>
      </c>
      <c r="S2225" t="b">
        <v>1</v>
      </c>
      <c r="T2225" t="n">
        <v>3351466</v>
      </c>
      <c r="U2225" t="n">
        <v>11</v>
      </c>
      <c r="V2225" t="n">
        <v>0.0803</v>
      </c>
      <c r="W2225" t="n">
        <v>0.9399999999999999</v>
      </c>
      <c r="X2225" t="n">
        <v>81.27</v>
      </c>
      <c r="Y2225">
        <f>VLOOKUP(D2225,$AB$2:$AC$7,2,FALSE)</f>
        <v/>
      </c>
      <c r="Z2225">
        <f>IF(A2225&lt;Y2225,"Yes","No")</f>
        <v/>
      </c>
    </row>
    <row r="2226">
      <c r="A2226" t="n">
        <v>2024</v>
      </c>
      <c r="B2226" t="inlineStr">
        <is>
          <t>Q3</t>
        </is>
      </c>
      <c r="C2226" t="inlineStr">
        <is>
          <t>North America</t>
        </is>
      </c>
      <c r="D2226" t="inlineStr">
        <is>
          <t>Model S</t>
        </is>
      </c>
      <c r="E2226" t="n">
        <v>798</v>
      </c>
      <c r="F2226" t="n">
        <v>73765.22</v>
      </c>
      <c r="G2226" t="n">
        <v>53</v>
      </c>
      <c r="H2226" t="inlineStr">
        <is>
          <t>Standard</t>
        </is>
      </c>
      <c r="I2226" t="inlineStr">
        <is>
          <t>AWD</t>
        </is>
      </c>
      <c r="J2226" t="inlineStr">
        <is>
          <t>Black</t>
        </is>
      </c>
      <c r="K2226" t="n">
        <v>598</v>
      </c>
      <c r="L2226" t="n">
        <v>31</v>
      </c>
      <c r="M2226" t="n">
        <v>20.43</v>
      </c>
      <c r="N2226" t="n">
        <v>560.74</v>
      </c>
      <c r="O2226" t="n">
        <v>3.9</v>
      </c>
      <c r="P2226" t="n">
        <v>8</v>
      </c>
      <c r="Q2226" t="n">
        <v>0</v>
      </c>
      <c r="R2226" t="n">
        <v>2024.8</v>
      </c>
      <c r="S2226" t="b">
        <v>0</v>
      </c>
      <c r="T2226" t="n">
        <v>2064008</v>
      </c>
      <c r="U2226" t="n">
        <v>9</v>
      </c>
      <c r="V2226" t="n">
        <v>0.0295</v>
      </c>
      <c r="W2226" t="n">
        <v>1.77</v>
      </c>
      <c r="X2226" t="n">
        <v>89.23999999999999</v>
      </c>
      <c r="Y2226">
        <f>VLOOKUP(D2226,$AB$2:$AC$7,2,FALSE)</f>
        <v/>
      </c>
      <c r="Z2226">
        <f>IF(A2226&lt;Y2226,"Yes","No")</f>
        <v/>
      </c>
    </row>
    <row r="2227">
      <c r="A2227" t="n">
        <v>2024</v>
      </c>
      <c r="B2227" t="inlineStr">
        <is>
          <t>Q2</t>
        </is>
      </c>
      <c r="C2227" t="inlineStr">
        <is>
          <t>Australia</t>
        </is>
      </c>
      <c r="D2227" t="inlineStr">
        <is>
          <t>Model X</t>
        </is>
      </c>
      <c r="E2227" t="n">
        <v>1437</v>
      </c>
      <c r="F2227" t="n">
        <v>76678.75999999999</v>
      </c>
      <c r="G2227" t="n">
        <v>26</v>
      </c>
      <c r="H2227" t="inlineStr">
        <is>
          <t>Standard</t>
        </is>
      </c>
      <c r="I2227" t="inlineStr">
        <is>
          <t>AWD</t>
        </is>
      </c>
      <c r="J2227" t="inlineStr">
        <is>
          <t>Red</t>
        </is>
      </c>
      <c r="K2227" t="n">
        <v>358</v>
      </c>
      <c r="L2227" t="n">
        <v>55</v>
      </c>
      <c r="M2227" t="n">
        <v>20.65</v>
      </c>
      <c r="N2227" t="n">
        <v>3339.88</v>
      </c>
      <c r="O2227" t="n">
        <v>4.72</v>
      </c>
      <c r="P2227" t="n">
        <v>8</v>
      </c>
      <c r="Q2227" t="n">
        <v>2</v>
      </c>
      <c r="R2227" t="n">
        <v>2020.1</v>
      </c>
      <c r="S2227" t="b">
        <v>0</v>
      </c>
      <c r="T2227" t="n">
        <v>561761</v>
      </c>
      <c r="U2227" t="n">
        <v>3</v>
      </c>
      <c r="V2227" t="n">
        <v>0.0562</v>
      </c>
      <c r="W2227" t="n">
        <v>0.76</v>
      </c>
      <c r="X2227" t="n">
        <v>78.89</v>
      </c>
      <c r="Y2227">
        <f>VLOOKUP(D2227,$AB$2:$AC$7,2,FALSE)</f>
        <v/>
      </c>
      <c r="Z2227">
        <f>IF(A2227&lt;Y2227,"Yes","No")</f>
        <v/>
      </c>
    </row>
    <row r="2228">
      <c r="A2228" t="n">
        <v>2023</v>
      </c>
      <c r="B2228" t="inlineStr">
        <is>
          <t>Q4</t>
        </is>
      </c>
      <c r="C2228" t="inlineStr">
        <is>
          <t>Australia</t>
        </is>
      </c>
      <c r="D2228" t="inlineStr">
        <is>
          <t>Semi</t>
        </is>
      </c>
      <c r="E2228" t="n">
        <v>634</v>
      </c>
      <c r="F2228" t="n">
        <v>81255.17999999999</v>
      </c>
      <c r="G2228" t="n">
        <v>24</v>
      </c>
      <c r="H2228" t="inlineStr">
        <is>
          <t>Standard</t>
        </is>
      </c>
      <c r="I2228" t="inlineStr">
        <is>
          <t>AWD</t>
        </is>
      </c>
      <c r="J2228" t="inlineStr">
        <is>
          <t>Silver</t>
        </is>
      </c>
      <c r="K2228" t="n">
        <v>523</v>
      </c>
      <c r="L2228" t="n">
        <v>80</v>
      </c>
      <c r="M2228" t="n">
        <v>15.92</v>
      </c>
      <c r="N2228" t="n">
        <v>892.38</v>
      </c>
      <c r="O2228" t="n">
        <v>3.51</v>
      </c>
      <c r="P2228" t="n">
        <v>4</v>
      </c>
      <c r="Q2228" t="n">
        <v>0</v>
      </c>
      <c r="R2228" t="n">
        <v>2020.1</v>
      </c>
      <c r="S2228" t="b">
        <v>1</v>
      </c>
      <c r="T2228" t="n">
        <v>1278328</v>
      </c>
      <c r="U2228" t="n">
        <v>4</v>
      </c>
      <c r="V2228" t="n">
        <v>0.0752</v>
      </c>
      <c r="W2228" t="n">
        <v>0.84</v>
      </c>
      <c r="X2228" t="n">
        <v>71.87</v>
      </c>
      <c r="Y2228">
        <f>VLOOKUP(D2228,$AB$2:$AC$7,2,FALSE)</f>
        <v/>
      </c>
      <c r="Z2228">
        <f>IF(A2228&lt;Y2228,"Yes","No")</f>
        <v/>
      </c>
    </row>
    <row r="2229">
      <c r="A2229" t="n">
        <v>2015</v>
      </c>
      <c r="B2229" t="inlineStr">
        <is>
          <t>Q1</t>
        </is>
      </c>
      <c r="C2229" t="inlineStr">
        <is>
          <t>Asia</t>
        </is>
      </c>
      <c r="D2229" t="inlineStr">
        <is>
          <t>Model S</t>
        </is>
      </c>
      <c r="E2229" t="n">
        <v>342</v>
      </c>
      <c r="F2229" t="n">
        <v>45361.05</v>
      </c>
      <c r="G2229" t="n">
        <v>53</v>
      </c>
      <c r="H2229" t="inlineStr">
        <is>
          <t>Standard</t>
        </is>
      </c>
      <c r="I2229" t="inlineStr">
        <is>
          <t>AWD</t>
        </is>
      </c>
      <c r="J2229" t="inlineStr">
        <is>
          <t>Green</t>
        </is>
      </c>
      <c r="K2229" t="n">
        <v>543</v>
      </c>
      <c r="L2229" t="n">
        <v>66</v>
      </c>
      <c r="M2229" t="n">
        <v>15.35</v>
      </c>
      <c r="N2229" t="n">
        <v>354.73</v>
      </c>
      <c r="O2229" t="n">
        <v>4.38</v>
      </c>
      <c r="P2229" t="n">
        <v>4</v>
      </c>
      <c r="Q2229" t="n">
        <v>3</v>
      </c>
      <c r="R2229" t="n">
        <v>2023.7</v>
      </c>
      <c r="S2229" t="b">
        <v>0</v>
      </c>
      <c r="T2229" t="n">
        <v>643388</v>
      </c>
      <c r="U2229" t="n">
        <v>2</v>
      </c>
      <c r="V2229" t="n">
        <v>0.08550000000000001</v>
      </c>
      <c r="W2229" t="n">
        <v>0.72</v>
      </c>
      <c r="X2229" t="n">
        <v>78.42</v>
      </c>
      <c r="Y2229">
        <f>VLOOKUP(D2229,$AB$2:$AC$7,2,FALSE)</f>
        <v/>
      </c>
      <c r="Z2229">
        <f>IF(A2229&lt;Y2229,"Yes","No")</f>
        <v/>
      </c>
    </row>
    <row r="2230">
      <c r="A2230" t="n">
        <v>2013</v>
      </c>
      <c r="B2230" t="inlineStr">
        <is>
          <t>Q1</t>
        </is>
      </c>
      <c r="C2230" t="inlineStr">
        <is>
          <t>Australia</t>
        </is>
      </c>
      <c r="D2230" t="inlineStr">
        <is>
          <t>Model 3</t>
        </is>
      </c>
      <c r="E2230" t="n">
        <v>1520</v>
      </c>
      <c r="F2230" t="n">
        <v>82484.63</v>
      </c>
      <c r="G2230" t="n">
        <v>47</v>
      </c>
      <c r="H2230" t="inlineStr">
        <is>
          <t>Standard</t>
        </is>
      </c>
      <c r="I2230" t="inlineStr">
        <is>
          <t>RWD</t>
        </is>
      </c>
      <c r="J2230" t="inlineStr">
        <is>
          <t>Red</t>
        </is>
      </c>
      <c r="K2230" t="n">
        <v>640</v>
      </c>
      <c r="L2230" t="n">
        <v>54</v>
      </c>
      <c r="M2230" t="n">
        <v>16.09</v>
      </c>
      <c r="N2230" t="n">
        <v>1170.76</v>
      </c>
      <c r="O2230" t="n">
        <v>4.95</v>
      </c>
      <c r="P2230" t="n">
        <v>6</v>
      </c>
      <c r="Q2230" t="n">
        <v>3</v>
      </c>
      <c r="R2230" t="n">
        <v>2020.7</v>
      </c>
      <c r="S2230" t="b">
        <v>0</v>
      </c>
      <c r="T2230" t="n">
        <v>1323510</v>
      </c>
      <c r="U2230" t="n">
        <v>3</v>
      </c>
      <c r="V2230" t="n">
        <v>0.0157</v>
      </c>
      <c r="W2230" t="n">
        <v>2.25</v>
      </c>
      <c r="X2230" t="n">
        <v>60.59</v>
      </c>
      <c r="Y2230">
        <f>VLOOKUP(D2230,$AB$2:$AC$7,2,FALSE)</f>
        <v/>
      </c>
      <c r="Z2230">
        <f>IF(A2230&lt;Y2230,"Yes","No")</f>
        <v/>
      </c>
    </row>
    <row r="2231">
      <c r="A2231" t="n">
        <v>2024</v>
      </c>
      <c r="B2231" t="inlineStr">
        <is>
          <t>Q2</t>
        </is>
      </c>
      <c r="C2231" t="inlineStr">
        <is>
          <t>Asia</t>
        </is>
      </c>
      <c r="D2231" t="inlineStr">
        <is>
          <t>Model X</t>
        </is>
      </c>
      <c r="E2231" t="n">
        <v>2519</v>
      </c>
      <c r="F2231" t="n">
        <v>101868.94</v>
      </c>
      <c r="G2231" t="n">
        <v>38</v>
      </c>
      <c r="H2231" t="inlineStr">
        <is>
          <t>Long Range</t>
        </is>
      </c>
      <c r="I2231" t="inlineStr">
        <is>
          <t>RWD</t>
        </is>
      </c>
      <c r="J2231" t="inlineStr">
        <is>
          <t>White</t>
        </is>
      </c>
      <c r="K2231" t="n">
        <v>368</v>
      </c>
      <c r="L2231" t="n">
        <v>40</v>
      </c>
      <c r="M2231" t="n">
        <v>21.47</v>
      </c>
      <c r="N2231" t="n">
        <v>5912.35</v>
      </c>
      <c r="O2231" t="n">
        <v>3.74</v>
      </c>
      <c r="P2231" t="n">
        <v>4</v>
      </c>
      <c r="Q2231" t="n">
        <v>1</v>
      </c>
      <c r="R2231" t="n">
        <v>2022.5</v>
      </c>
      <c r="S2231" t="b">
        <v>1</v>
      </c>
      <c r="T2231" t="n">
        <v>2879437</v>
      </c>
      <c r="U2231" t="n">
        <v>9</v>
      </c>
      <c r="V2231" t="n">
        <v>0.0953</v>
      </c>
      <c r="W2231" t="n">
        <v>1.74</v>
      </c>
      <c r="X2231" t="n">
        <v>89.13</v>
      </c>
      <c r="Y2231">
        <f>VLOOKUP(D2231,$AB$2:$AC$7,2,FALSE)</f>
        <v/>
      </c>
      <c r="Z2231">
        <f>IF(A2231&lt;Y2231,"Yes","No")</f>
        <v/>
      </c>
    </row>
    <row r="2232">
      <c r="A2232" t="n">
        <v>2012</v>
      </c>
      <c r="B2232" t="inlineStr">
        <is>
          <t>Q2</t>
        </is>
      </c>
      <c r="C2232" t="inlineStr">
        <is>
          <t>Asia</t>
        </is>
      </c>
      <c r="D2232" t="inlineStr">
        <is>
          <t>Model 3</t>
        </is>
      </c>
      <c r="E2232" t="n">
        <v>2113</v>
      </c>
      <c r="F2232" t="n">
        <v>90322.10000000001</v>
      </c>
      <c r="G2232" t="n">
        <v>8</v>
      </c>
      <c r="H2232" t="inlineStr">
        <is>
          <t>Long Range</t>
        </is>
      </c>
      <c r="I2232" t="inlineStr">
        <is>
          <t>AWD</t>
        </is>
      </c>
      <c r="J2232" t="inlineStr">
        <is>
          <t>Black</t>
        </is>
      </c>
      <c r="K2232" t="n">
        <v>541</v>
      </c>
      <c r="L2232" t="n">
        <v>41</v>
      </c>
      <c r="M2232" t="n">
        <v>15.73</v>
      </c>
      <c r="N2232" t="n">
        <v>3843.4</v>
      </c>
      <c r="O2232" t="n">
        <v>4.44</v>
      </c>
      <c r="P2232" t="n">
        <v>6</v>
      </c>
      <c r="Q2232" t="n">
        <v>3</v>
      </c>
      <c r="R2232" t="n">
        <v>2023.2</v>
      </c>
      <c r="S2232" t="b">
        <v>1</v>
      </c>
      <c r="T2232" t="n">
        <v>1388769</v>
      </c>
      <c r="U2232" t="n">
        <v>2</v>
      </c>
      <c r="V2232" t="n">
        <v>0.0239</v>
      </c>
      <c r="W2232" t="n">
        <v>1.3</v>
      </c>
      <c r="X2232" t="n">
        <v>80.70999999999999</v>
      </c>
      <c r="Y2232">
        <f>VLOOKUP(D2232,$AB$2:$AC$7,2,FALSE)</f>
        <v/>
      </c>
      <c r="Z2232">
        <f>IF(A2232&lt;Y2232,"Yes","No")</f>
        <v/>
      </c>
    </row>
    <row r="2233">
      <c r="A2233" t="n">
        <v>2021</v>
      </c>
      <c r="B2233" t="inlineStr">
        <is>
          <t>Q2</t>
        </is>
      </c>
      <c r="C2233" t="inlineStr">
        <is>
          <t>North America</t>
        </is>
      </c>
      <c r="D2233" t="inlineStr">
        <is>
          <t>Model 3</t>
        </is>
      </c>
      <c r="E2233" t="n">
        <v>917</v>
      </c>
      <c r="F2233" t="n">
        <v>101142.5</v>
      </c>
      <c r="G2233" t="n">
        <v>26</v>
      </c>
      <c r="H2233" t="inlineStr">
        <is>
          <t>Long Range</t>
        </is>
      </c>
      <c r="I2233" t="inlineStr">
        <is>
          <t>RWD</t>
        </is>
      </c>
      <c r="J2233" t="inlineStr">
        <is>
          <t>Green</t>
        </is>
      </c>
      <c r="K2233" t="n">
        <v>586</v>
      </c>
      <c r="L2233" t="n">
        <v>47</v>
      </c>
      <c r="M2233" t="n">
        <v>16.69</v>
      </c>
      <c r="N2233" t="n">
        <v>2080.52</v>
      </c>
      <c r="O2233" t="n">
        <v>3.77</v>
      </c>
      <c r="P2233" t="n">
        <v>8</v>
      </c>
      <c r="Q2233" t="n">
        <v>0</v>
      </c>
      <c r="R2233" t="n">
        <v>2023.4</v>
      </c>
      <c r="S2233" t="b">
        <v>1</v>
      </c>
      <c r="T2233" t="n">
        <v>468235</v>
      </c>
      <c r="U2233" t="n">
        <v>6</v>
      </c>
      <c r="V2233" t="n">
        <v>0.06510000000000001</v>
      </c>
      <c r="W2233" t="n">
        <v>0.96</v>
      </c>
      <c r="X2233" t="n">
        <v>80.94</v>
      </c>
      <c r="Y2233">
        <f>VLOOKUP(D2233,$AB$2:$AC$7,2,FALSE)</f>
        <v/>
      </c>
      <c r="Z2233">
        <f>IF(A2233&lt;Y2233,"Yes","No")</f>
        <v/>
      </c>
    </row>
    <row r="2234">
      <c r="A2234" t="n">
        <v>2018</v>
      </c>
      <c r="B2234" t="inlineStr">
        <is>
          <t>Q4</t>
        </is>
      </c>
      <c r="C2234" t="inlineStr">
        <is>
          <t>Australia</t>
        </is>
      </c>
      <c r="D2234" t="inlineStr">
        <is>
          <t>Model Y</t>
        </is>
      </c>
      <c r="E2234" t="n">
        <v>3629</v>
      </c>
      <c r="F2234" t="n">
        <v>49843.95</v>
      </c>
      <c r="G2234" t="n">
        <v>24</v>
      </c>
      <c r="H2234" t="inlineStr">
        <is>
          <t>Standard</t>
        </is>
      </c>
      <c r="I2234" t="inlineStr">
        <is>
          <t>AWD</t>
        </is>
      </c>
      <c r="J2234" t="inlineStr">
        <is>
          <t>Green</t>
        </is>
      </c>
      <c r="K2234" t="n">
        <v>661</v>
      </c>
      <c r="L2234" t="n">
        <v>84</v>
      </c>
      <c r="M2234" t="n">
        <v>18.21</v>
      </c>
      <c r="N2234" t="n">
        <v>6537.6</v>
      </c>
      <c r="O2234" t="n">
        <v>4.77</v>
      </c>
      <c r="P2234" t="n">
        <v>4</v>
      </c>
      <c r="Q2234" t="n">
        <v>0</v>
      </c>
      <c r="R2234" t="n">
        <v>2022.12</v>
      </c>
      <c r="S2234" t="b">
        <v>0</v>
      </c>
      <c r="T2234" t="n">
        <v>1131872</v>
      </c>
      <c r="U2234" t="n">
        <v>8</v>
      </c>
      <c r="V2234" t="n">
        <v>0.0368</v>
      </c>
      <c r="W2234" t="n">
        <v>2.5</v>
      </c>
      <c r="X2234" t="n">
        <v>69.83</v>
      </c>
      <c r="Y2234">
        <f>VLOOKUP(D2234,$AB$2:$AC$7,2,FALSE)</f>
        <v/>
      </c>
      <c r="Z2234">
        <f>IF(A2234&lt;Y2234,"Yes","No")</f>
        <v/>
      </c>
    </row>
    <row r="2235">
      <c r="A2235" t="n">
        <v>2016</v>
      </c>
      <c r="B2235" t="inlineStr">
        <is>
          <t>Q3</t>
        </is>
      </c>
      <c r="C2235" t="inlineStr">
        <is>
          <t>South America</t>
        </is>
      </c>
      <c r="D2235" t="inlineStr">
        <is>
          <t>Model X</t>
        </is>
      </c>
      <c r="E2235" t="n">
        <v>2545</v>
      </c>
      <c r="F2235" t="n">
        <v>112289.37</v>
      </c>
      <c r="G2235" t="n">
        <v>22</v>
      </c>
      <c r="H2235" t="inlineStr">
        <is>
          <t>Long Range</t>
        </is>
      </c>
      <c r="I2235" t="inlineStr">
        <is>
          <t>RWD</t>
        </is>
      </c>
      <c r="J2235" t="inlineStr">
        <is>
          <t>Green</t>
        </is>
      </c>
      <c r="K2235" t="n">
        <v>410</v>
      </c>
      <c r="L2235" t="n">
        <v>45</v>
      </c>
      <c r="M2235" t="n">
        <v>21.25</v>
      </c>
      <c r="N2235" t="n">
        <v>5854.53</v>
      </c>
      <c r="O2235" t="n">
        <v>4.18</v>
      </c>
      <c r="P2235" t="n">
        <v>6</v>
      </c>
      <c r="Q2235" t="n">
        <v>1</v>
      </c>
      <c r="R2235" t="n">
        <v>2022.3</v>
      </c>
      <c r="S2235" t="b">
        <v>0</v>
      </c>
      <c r="T2235" t="n">
        <v>4310958</v>
      </c>
      <c r="U2235" t="n">
        <v>11</v>
      </c>
      <c r="V2235" t="n">
        <v>0.0291</v>
      </c>
      <c r="W2235" t="n">
        <v>2.18</v>
      </c>
      <c r="X2235" t="n">
        <v>75.63</v>
      </c>
      <c r="Y2235">
        <f>VLOOKUP(D2235,$AB$2:$AC$7,2,FALSE)</f>
        <v/>
      </c>
      <c r="Z2235">
        <f>IF(A2235&lt;Y2235,"Yes","No")</f>
        <v/>
      </c>
    </row>
    <row r="2236">
      <c r="A2236" t="n">
        <v>2019</v>
      </c>
      <c r="B2236" t="inlineStr">
        <is>
          <t>Q2</t>
        </is>
      </c>
      <c r="C2236" t="inlineStr">
        <is>
          <t>Europe</t>
        </is>
      </c>
      <c r="D2236" t="inlineStr">
        <is>
          <t>Model 3</t>
        </is>
      </c>
      <c r="E2236" t="n">
        <v>3887</v>
      </c>
      <c r="F2236" t="n">
        <v>100238.39</v>
      </c>
      <c r="G2236" t="n">
        <v>27</v>
      </c>
      <c r="H2236" t="inlineStr">
        <is>
          <t>Long Range</t>
        </is>
      </c>
      <c r="I2236" t="inlineStr">
        <is>
          <t>RWD</t>
        </is>
      </c>
      <c r="J2236" t="inlineStr">
        <is>
          <t>Green</t>
        </is>
      </c>
      <c r="K2236" t="n">
        <v>623</v>
      </c>
      <c r="L2236" t="n">
        <v>70</v>
      </c>
      <c r="M2236" t="n">
        <v>16.47</v>
      </c>
      <c r="N2236" t="n">
        <v>5827.54</v>
      </c>
      <c r="O2236" t="n">
        <v>3.96</v>
      </c>
      <c r="P2236" t="n">
        <v>6</v>
      </c>
      <c r="Q2236" t="n">
        <v>3</v>
      </c>
      <c r="R2236" t="n">
        <v>2022.6</v>
      </c>
      <c r="S2236" t="b">
        <v>0</v>
      </c>
      <c r="T2236" t="n">
        <v>591597</v>
      </c>
      <c r="U2236" t="n">
        <v>5</v>
      </c>
      <c r="V2236" t="n">
        <v>0.09030000000000001</v>
      </c>
      <c r="W2236" t="n">
        <v>0.5600000000000001</v>
      </c>
      <c r="X2236" t="n">
        <v>60.84</v>
      </c>
      <c r="Y2236">
        <f>VLOOKUP(D2236,$AB$2:$AC$7,2,FALSE)</f>
        <v/>
      </c>
      <c r="Z2236">
        <f>IF(A2236&lt;Y2236,"Yes","No")</f>
        <v/>
      </c>
    </row>
    <row r="2237">
      <c r="A2237" t="n">
        <v>2022</v>
      </c>
      <c r="B2237" t="inlineStr">
        <is>
          <t>Q1</t>
        </is>
      </c>
      <c r="C2237" t="inlineStr">
        <is>
          <t>Asia</t>
        </is>
      </c>
      <c r="D2237" t="inlineStr">
        <is>
          <t>Model 3</t>
        </is>
      </c>
      <c r="E2237" t="n">
        <v>3201</v>
      </c>
      <c r="F2237" t="n">
        <v>70335.92999999999</v>
      </c>
      <c r="G2237" t="n">
        <v>48</v>
      </c>
      <c r="H2237" t="inlineStr">
        <is>
          <t>Performance</t>
        </is>
      </c>
      <c r="I2237" t="inlineStr">
        <is>
          <t>RWD</t>
        </is>
      </c>
      <c r="J2237" t="inlineStr">
        <is>
          <t>White</t>
        </is>
      </c>
      <c r="K2237" t="n">
        <v>453</v>
      </c>
      <c r="L2237" t="n">
        <v>65</v>
      </c>
      <c r="M2237" t="n">
        <v>24.88</v>
      </c>
      <c r="N2237" t="n">
        <v>2702.93</v>
      </c>
      <c r="O2237" t="n">
        <v>4.97</v>
      </c>
      <c r="P2237" t="n">
        <v>5</v>
      </c>
      <c r="Q2237" t="n">
        <v>1</v>
      </c>
      <c r="R2237" t="n">
        <v>2022.6</v>
      </c>
      <c r="S2237" t="b">
        <v>1</v>
      </c>
      <c r="T2237" t="n">
        <v>1931762</v>
      </c>
      <c r="U2237" t="n">
        <v>7</v>
      </c>
      <c r="V2237" t="n">
        <v>0.0449</v>
      </c>
      <c r="W2237" t="n">
        <v>1.53</v>
      </c>
      <c r="X2237" t="n">
        <v>64.86</v>
      </c>
      <c r="Y2237">
        <f>VLOOKUP(D2237,$AB$2:$AC$7,2,FALSE)</f>
        <v/>
      </c>
      <c r="Z2237">
        <f>IF(A2237&lt;Y2237,"Yes","No")</f>
        <v/>
      </c>
    </row>
    <row r="2238">
      <c r="A2238" t="n">
        <v>2014</v>
      </c>
      <c r="B2238" t="inlineStr">
        <is>
          <t>Q4</t>
        </is>
      </c>
      <c r="C2238" t="inlineStr">
        <is>
          <t>Asia</t>
        </is>
      </c>
      <c r="D2238" t="inlineStr">
        <is>
          <t>Model Y</t>
        </is>
      </c>
      <c r="E2238" t="n">
        <v>3069</v>
      </c>
      <c r="F2238" t="n">
        <v>60777.61</v>
      </c>
      <c r="G2238" t="n">
        <v>57</v>
      </c>
      <c r="H2238" t="inlineStr">
        <is>
          <t>Performance</t>
        </is>
      </c>
      <c r="I2238" t="inlineStr">
        <is>
          <t>AWD</t>
        </is>
      </c>
      <c r="J2238" t="inlineStr">
        <is>
          <t>Green</t>
        </is>
      </c>
      <c r="K2238" t="n">
        <v>352</v>
      </c>
      <c r="L2238" t="n">
        <v>80</v>
      </c>
      <c r="M2238" t="n">
        <v>24.73</v>
      </c>
      <c r="N2238" t="n">
        <v>6698.25</v>
      </c>
      <c r="O2238" t="n">
        <v>4.42</v>
      </c>
      <c r="P2238" t="n">
        <v>4</v>
      </c>
      <c r="Q2238" t="n">
        <v>0</v>
      </c>
      <c r="R2238" t="n">
        <v>2021.4</v>
      </c>
      <c r="S2238" t="b">
        <v>0</v>
      </c>
      <c r="T2238" t="n">
        <v>3427923</v>
      </c>
      <c r="U2238" t="n">
        <v>3</v>
      </c>
      <c r="V2238" t="n">
        <v>0.0813</v>
      </c>
      <c r="W2238" t="n">
        <v>0.66</v>
      </c>
      <c r="X2238" t="n">
        <v>70.95999999999999</v>
      </c>
      <c r="Y2238">
        <f>VLOOKUP(D2238,$AB$2:$AC$7,2,FALSE)</f>
        <v/>
      </c>
      <c r="Z2238">
        <f>IF(A2238&lt;Y2238,"Yes","No")</f>
        <v/>
      </c>
    </row>
    <row r="2239">
      <c r="A2239" t="n">
        <v>2019</v>
      </c>
      <c r="B2239" t="inlineStr">
        <is>
          <t>Q4</t>
        </is>
      </c>
      <c r="C2239" t="inlineStr">
        <is>
          <t>North America</t>
        </is>
      </c>
      <c r="D2239" t="inlineStr">
        <is>
          <t>Model S</t>
        </is>
      </c>
      <c r="E2239" t="n">
        <v>2595</v>
      </c>
      <c r="F2239" t="n">
        <v>109515.1</v>
      </c>
      <c r="G2239" t="n">
        <v>7</v>
      </c>
      <c r="H2239" t="inlineStr">
        <is>
          <t>Standard</t>
        </is>
      </c>
      <c r="I2239" t="inlineStr">
        <is>
          <t>RWD</t>
        </is>
      </c>
      <c r="J2239" t="inlineStr">
        <is>
          <t>Green</t>
        </is>
      </c>
      <c r="K2239" t="n">
        <v>620</v>
      </c>
      <c r="L2239" t="n">
        <v>36</v>
      </c>
      <c r="M2239" t="n">
        <v>20.64</v>
      </c>
      <c r="N2239" t="n">
        <v>5645.31</v>
      </c>
      <c r="O2239" t="n">
        <v>3.82</v>
      </c>
      <c r="P2239" t="n">
        <v>6</v>
      </c>
      <c r="Q2239" t="n">
        <v>1</v>
      </c>
      <c r="R2239" t="n">
        <v>2024.5</v>
      </c>
      <c r="S2239" t="b">
        <v>1</v>
      </c>
      <c r="T2239" t="n">
        <v>4703783</v>
      </c>
      <c r="U2239" t="n">
        <v>3</v>
      </c>
      <c r="V2239" t="n">
        <v>0.0202</v>
      </c>
      <c r="W2239" t="n">
        <v>1.59</v>
      </c>
      <c r="X2239" t="n">
        <v>86.26000000000001</v>
      </c>
      <c r="Y2239">
        <f>VLOOKUP(D2239,$AB$2:$AC$7,2,FALSE)</f>
        <v/>
      </c>
      <c r="Z2239">
        <f>IF(A2239&lt;Y2239,"Yes","No")</f>
        <v/>
      </c>
    </row>
    <row r="2240">
      <c r="A2240" t="n">
        <v>2018</v>
      </c>
      <c r="B2240" t="inlineStr">
        <is>
          <t>Q3</t>
        </is>
      </c>
      <c r="C2240" t="inlineStr">
        <is>
          <t>North America</t>
        </is>
      </c>
      <c r="D2240" t="inlineStr">
        <is>
          <t>Cybertruck</t>
        </is>
      </c>
      <c r="E2240" t="n">
        <v>575</v>
      </c>
      <c r="F2240" t="n">
        <v>66991.69</v>
      </c>
      <c r="G2240" t="n">
        <v>57</v>
      </c>
      <c r="H2240" t="inlineStr">
        <is>
          <t>Performance</t>
        </is>
      </c>
      <c r="I2240" t="inlineStr">
        <is>
          <t>RWD</t>
        </is>
      </c>
      <c r="J2240" t="inlineStr">
        <is>
          <t>Green</t>
        </is>
      </c>
      <c r="K2240" t="n">
        <v>536</v>
      </c>
      <c r="L2240" t="n">
        <v>31</v>
      </c>
      <c r="M2240" t="n">
        <v>17.43</v>
      </c>
      <c r="N2240" t="n">
        <v>792.55</v>
      </c>
      <c r="O2240" t="n">
        <v>4.61</v>
      </c>
      <c r="P2240" t="n">
        <v>5</v>
      </c>
      <c r="Q2240" t="n">
        <v>0</v>
      </c>
      <c r="R2240" t="n">
        <v>2022.2</v>
      </c>
      <c r="S2240" t="b">
        <v>1</v>
      </c>
      <c r="T2240" t="n">
        <v>4769623</v>
      </c>
      <c r="U2240" t="n">
        <v>3</v>
      </c>
      <c r="V2240" t="n">
        <v>0.0156</v>
      </c>
      <c r="W2240" t="n">
        <v>1.79</v>
      </c>
      <c r="X2240" t="n">
        <v>85.65000000000001</v>
      </c>
      <c r="Y2240">
        <f>VLOOKUP(D2240,$AB$2:$AC$7,2,FALSE)</f>
        <v/>
      </c>
      <c r="Z2240">
        <f>IF(A2240&lt;Y2240,"Yes","No")</f>
        <v/>
      </c>
    </row>
    <row r="2241">
      <c r="A2241" t="n">
        <v>2016</v>
      </c>
      <c r="B2241" t="inlineStr">
        <is>
          <t>Q2</t>
        </is>
      </c>
      <c r="C2241" t="inlineStr">
        <is>
          <t>North America</t>
        </is>
      </c>
      <c r="D2241" t="inlineStr">
        <is>
          <t>Model S</t>
        </is>
      </c>
      <c r="E2241" t="n">
        <v>1189</v>
      </c>
      <c r="F2241" t="n">
        <v>74051.56</v>
      </c>
      <c r="G2241" t="n">
        <v>14</v>
      </c>
      <c r="H2241" t="inlineStr">
        <is>
          <t>Standard</t>
        </is>
      </c>
      <c r="I2241" t="inlineStr">
        <is>
          <t>AWD</t>
        </is>
      </c>
      <c r="J2241" t="inlineStr">
        <is>
          <t>Green</t>
        </is>
      </c>
      <c r="K2241" t="n">
        <v>542</v>
      </c>
      <c r="L2241" t="n">
        <v>51</v>
      </c>
      <c r="M2241" t="n">
        <v>17.76</v>
      </c>
      <c r="N2241" t="n">
        <v>1281.98</v>
      </c>
      <c r="O2241" t="n">
        <v>4.17</v>
      </c>
      <c r="P2241" t="n">
        <v>8</v>
      </c>
      <c r="Q2241" t="n">
        <v>1</v>
      </c>
      <c r="R2241" t="n">
        <v>2024.1</v>
      </c>
      <c r="S2241" t="b">
        <v>1</v>
      </c>
      <c r="T2241" t="n">
        <v>3309885</v>
      </c>
      <c r="U2241" t="n">
        <v>5</v>
      </c>
      <c r="V2241" t="n">
        <v>0.0941</v>
      </c>
      <c r="W2241" t="n">
        <v>2.24</v>
      </c>
      <c r="X2241" t="n">
        <v>84.3</v>
      </c>
      <c r="Y2241">
        <f>VLOOKUP(D2241,$AB$2:$AC$7,2,FALSE)</f>
        <v/>
      </c>
      <c r="Z2241">
        <f>IF(A2241&lt;Y2241,"Yes","No")</f>
        <v/>
      </c>
    </row>
    <row r="2242">
      <c r="A2242" t="n">
        <v>2018</v>
      </c>
      <c r="B2242" t="inlineStr">
        <is>
          <t>Q2</t>
        </is>
      </c>
      <c r="C2242" t="inlineStr">
        <is>
          <t>North America</t>
        </is>
      </c>
      <c r="D2242" t="inlineStr">
        <is>
          <t>Model S</t>
        </is>
      </c>
      <c r="E2242" t="n">
        <v>2584</v>
      </c>
      <c r="F2242" t="n">
        <v>55951.14</v>
      </c>
      <c r="G2242" t="n">
        <v>47</v>
      </c>
      <c r="H2242" t="inlineStr">
        <is>
          <t>Standard</t>
        </is>
      </c>
      <c r="I2242" t="inlineStr">
        <is>
          <t>RWD</t>
        </is>
      </c>
      <c r="J2242" t="inlineStr">
        <is>
          <t>White</t>
        </is>
      </c>
      <c r="K2242" t="n">
        <v>467</v>
      </c>
      <c r="L2242" t="n">
        <v>85</v>
      </c>
      <c r="M2242" t="n">
        <v>20.16</v>
      </c>
      <c r="N2242" t="n">
        <v>5760.21</v>
      </c>
      <c r="O2242" t="n">
        <v>4.82</v>
      </c>
      <c r="P2242" t="n">
        <v>8</v>
      </c>
      <c r="Q2242" t="n">
        <v>0</v>
      </c>
      <c r="R2242" t="n">
        <v>2022.2</v>
      </c>
      <c r="S2242" t="b">
        <v>0</v>
      </c>
      <c r="T2242" t="n">
        <v>1659856</v>
      </c>
      <c r="U2242" t="n">
        <v>8</v>
      </c>
      <c r="V2242" t="n">
        <v>0.07489999999999999</v>
      </c>
      <c r="W2242" t="n">
        <v>1.08</v>
      </c>
      <c r="X2242" t="n">
        <v>77.76000000000001</v>
      </c>
      <c r="Y2242">
        <f>VLOOKUP(D2242,$AB$2:$AC$7,2,FALSE)</f>
        <v/>
      </c>
      <c r="Z2242">
        <f>IF(A2242&lt;Y2242,"Yes","No")</f>
        <v/>
      </c>
    </row>
    <row r="2243">
      <c r="A2243" t="n">
        <v>2012</v>
      </c>
      <c r="B2243" t="inlineStr">
        <is>
          <t>Q4</t>
        </is>
      </c>
      <c r="C2243" t="inlineStr">
        <is>
          <t>Asia</t>
        </is>
      </c>
      <c r="D2243" t="inlineStr">
        <is>
          <t>Semi</t>
        </is>
      </c>
      <c r="E2243" t="n">
        <v>3174</v>
      </c>
      <c r="F2243" t="n">
        <v>110531.86</v>
      </c>
      <c r="G2243" t="n">
        <v>18</v>
      </c>
      <c r="H2243" t="inlineStr">
        <is>
          <t>Standard</t>
        </is>
      </c>
      <c r="I2243" t="inlineStr">
        <is>
          <t>AWD</t>
        </is>
      </c>
      <c r="J2243" t="inlineStr">
        <is>
          <t>Green</t>
        </is>
      </c>
      <c r="K2243" t="n">
        <v>609</v>
      </c>
      <c r="L2243" t="n">
        <v>85</v>
      </c>
      <c r="M2243" t="n">
        <v>21.95</v>
      </c>
      <c r="N2243" t="n">
        <v>4208.91</v>
      </c>
      <c r="O2243" t="n">
        <v>3.95</v>
      </c>
      <c r="P2243" t="n">
        <v>5</v>
      </c>
      <c r="Q2243" t="n">
        <v>2</v>
      </c>
      <c r="R2243" t="n">
        <v>2022.1</v>
      </c>
      <c r="S2243" t="b">
        <v>0</v>
      </c>
      <c r="T2243" t="n">
        <v>4565273</v>
      </c>
      <c r="U2243" t="n">
        <v>6</v>
      </c>
      <c r="V2243" t="n">
        <v>0.06909999999999999</v>
      </c>
      <c r="W2243" t="n">
        <v>1.02</v>
      </c>
      <c r="X2243" t="n">
        <v>76.73</v>
      </c>
      <c r="Y2243">
        <f>VLOOKUP(D2243,$AB$2:$AC$7,2,FALSE)</f>
        <v/>
      </c>
      <c r="Z2243">
        <f>IF(A2243&lt;Y2243,"Yes","No")</f>
        <v/>
      </c>
    </row>
    <row r="2244">
      <c r="A2244" t="n">
        <v>2021</v>
      </c>
      <c r="B2244" t="inlineStr">
        <is>
          <t>Q3</t>
        </is>
      </c>
      <c r="C2244" t="inlineStr">
        <is>
          <t>Australia</t>
        </is>
      </c>
      <c r="D2244" t="inlineStr">
        <is>
          <t>Model X</t>
        </is>
      </c>
      <c r="E2244" t="n">
        <v>1144</v>
      </c>
      <c r="F2244" t="n">
        <v>102699.32</v>
      </c>
      <c r="G2244" t="n">
        <v>60</v>
      </c>
      <c r="H2244" t="inlineStr">
        <is>
          <t>Performance</t>
        </is>
      </c>
      <c r="I2244" t="inlineStr">
        <is>
          <t>RWD</t>
        </is>
      </c>
      <c r="J2244" t="inlineStr">
        <is>
          <t>Black</t>
        </is>
      </c>
      <c r="K2244" t="n">
        <v>683</v>
      </c>
      <c r="L2244" t="n">
        <v>49</v>
      </c>
      <c r="M2244" t="n">
        <v>17</v>
      </c>
      <c r="N2244" t="n">
        <v>1961.09</v>
      </c>
      <c r="O2244" t="n">
        <v>4.87</v>
      </c>
      <c r="P2244" t="n">
        <v>5</v>
      </c>
      <c r="Q2244" t="n">
        <v>1</v>
      </c>
      <c r="R2244" t="n">
        <v>2022.6</v>
      </c>
      <c r="S2244" t="b">
        <v>0</v>
      </c>
      <c r="T2244" t="n">
        <v>2575456</v>
      </c>
      <c r="U2244" t="n">
        <v>2</v>
      </c>
      <c r="V2244" t="n">
        <v>0.0755</v>
      </c>
      <c r="W2244" t="n">
        <v>2.38</v>
      </c>
      <c r="X2244" t="n">
        <v>64.54000000000001</v>
      </c>
      <c r="Y2244">
        <f>VLOOKUP(D2244,$AB$2:$AC$7,2,FALSE)</f>
        <v/>
      </c>
      <c r="Z2244">
        <f>IF(A2244&lt;Y2244,"Yes","No")</f>
        <v/>
      </c>
    </row>
    <row r="2245">
      <c r="A2245" t="n">
        <v>2012</v>
      </c>
      <c r="B2245" t="inlineStr">
        <is>
          <t>Q1</t>
        </is>
      </c>
      <c r="C2245" t="inlineStr">
        <is>
          <t>North America</t>
        </is>
      </c>
      <c r="D2245" t="inlineStr">
        <is>
          <t>Model X</t>
        </is>
      </c>
      <c r="E2245" t="n">
        <v>4895</v>
      </c>
      <c r="F2245" t="n">
        <v>86942.41</v>
      </c>
      <c r="G2245" t="n">
        <v>7</v>
      </c>
      <c r="H2245" t="inlineStr">
        <is>
          <t>Standard</t>
        </is>
      </c>
      <c r="I2245" t="inlineStr">
        <is>
          <t>RWD</t>
        </is>
      </c>
      <c r="J2245" t="inlineStr">
        <is>
          <t>Blue</t>
        </is>
      </c>
      <c r="K2245" t="n">
        <v>619</v>
      </c>
      <c r="L2245" t="n">
        <v>50</v>
      </c>
      <c r="M2245" t="n">
        <v>22.6</v>
      </c>
      <c r="N2245" t="n">
        <v>6087.08</v>
      </c>
      <c r="O2245" t="n">
        <v>4.35</v>
      </c>
      <c r="P2245" t="n">
        <v>4</v>
      </c>
      <c r="Q2245" t="n">
        <v>2</v>
      </c>
      <c r="R2245" t="n">
        <v>2023.12</v>
      </c>
      <c r="S2245" t="b">
        <v>0</v>
      </c>
      <c r="T2245" t="n">
        <v>3324052</v>
      </c>
      <c r="U2245" t="n">
        <v>4</v>
      </c>
      <c r="V2245" t="n">
        <v>0.0979</v>
      </c>
      <c r="W2245" t="n">
        <v>1.36</v>
      </c>
      <c r="X2245" t="n">
        <v>65.3</v>
      </c>
      <c r="Y2245">
        <f>VLOOKUP(D2245,$AB$2:$AC$7,2,FALSE)</f>
        <v/>
      </c>
      <c r="Z2245">
        <f>IF(A2245&lt;Y2245,"Yes","No")</f>
        <v/>
      </c>
    </row>
    <row r="2246">
      <c r="A2246" t="n">
        <v>2024</v>
      </c>
      <c r="B2246" t="inlineStr">
        <is>
          <t>Q2</t>
        </is>
      </c>
      <c r="C2246" t="inlineStr">
        <is>
          <t>Europe</t>
        </is>
      </c>
      <c r="D2246" t="inlineStr">
        <is>
          <t>Cybertruck</t>
        </is>
      </c>
      <c r="E2246" t="n">
        <v>2822</v>
      </c>
      <c r="F2246" t="n">
        <v>103102.5</v>
      </c>
      <c r="G2246" t="n">
        <v>59</v>
      </c>
      <c r="H2246" t="inlineStr">
        <is>
          <t>Performance</t>
        </is>
      </c>
      <c r="I2246" t="inlineStr">
        <is>
          <t>AWD</t>
        </is>
      </c>
      <c r="J2246" t="inlineStr">
        <is>
          <t>Red</t>
        </is>
      </c>
      <c r="K2246" t="n">
        <v>693</v>
      </c>
      <c r="L2246" t="n">
        <v>70</v>
      </c>
      <c r="M2246" t="n">
        <v>23.74</v>
      </c>
      <c r="N2246" t="n">
        <v>5104.18</v>
      </c>
      <c r="O2246" t="n">
        <v>4.61</v>
      </c>
      <c r="P2246" t="n">
        <v>5</v>
      </c>
      <c r="Q2246" t="n">
        <v>2</v>
      </c>
      <c r="R2246" t="n">
        <v>2021.11</v>
      </c>
      <c r="S2246" t="b">
        <v>0</v>
      </c>
      <c r="T2246" t="n">
        <v>3458055</v>
      </c>
      <c r="U2246" t="n">
        <v>5</v>
      </c>
      <c r="V2246" t="n">
        <v>0.0509</v>
      </c>
      <c r="W2246" t="n">
        <v>2.14</v>
      </c>
      <c r="X2246" t="n">
        <v>80.05</v>
      </c>
      <c r="Y2246">
        <f>VLOOKUP(D2246,$AB$2:$AC$7,2,FALSE)</f>
        <v/>
      </c>
      <c r="Z2246">
        <f>IF(A2246&lt;Y2246,"Yes","No")</f>
        <v/>
      </c>
    </row>
    <row r="2247">
      <c r="A2247" t="n">
        <v>2015</v>
      </c>
      <c r="B2247" t="inlineStr">
        <is>
          <t>Q1</t>
        </is>
      </c>
      <c r="C2247" t="inlineStr">
        <is>
          <t>Europe</t>
        </is>
      </c>
      <c r="D2247" t="inlineStr">
        <is>
          <t>Model X</t>
        </is>
      </c>
      <c r="E2247" t="n">
        <v>1345</v>
      </c>
      <c r="F2247" t="n">
        <v>61473.68</v>
      </c>
      <c r="G2247" t="n">
        <v>33</v>
      </c>
      <c r="H2247" t="inlineStr">
        <is>
          <t>Performance</t>
        </is>
      </c>
      <c r="I2247" t="inlineStr">
        <is>
          <t>RWD</t>
        </is>
      </c>
      <c r="J2247" t="inlineStr">
        <is>
          <t>Red</t>
        </is>
      </c>
      <c r="K2247" t="n">
        <v>412</v>
      </c>
      <c r="L2247" t="n">
        <v>44</v>
      </c>
      <c r="M2247" t="n">
        <v>25</v>
      </c>
      <c r="N2247" t="n">
        <v>2657.96</v>
      </c>
      <c r="O2247" t="n">
        <v>3.68</v>
      </c>
      <c r="P2247" t="n">
        <v>8</v>
      </c>
      <c r="Q2247" t="n">
        <v>2</v>
      </c>
      <c r="R2247" t="n">
        <v>2020.8</v>
      </c>
      <c r="S2247" t="b">
        <v>1</v>
      </c>
      <c r="T2247" t="n">
        <v>1830057</v>
      </c>
      <c r="U2247" t="n">
        <v>7</v>
      </c>
      <c r="V2247" t="n">
        <v>0.0601</v>
      </c>
      <c r="W2247" t="n">
        <v>1.32</v>
      </c>
      <c r="X2247" t="n">
        <v>86.75</v>
      </c>
      <c r="Y2247">
        <f>VLOOKUP(D2247,$AB$2:$AC$7,2,FALSE)</f>
        <v/>
      </c>
      <c r="Z2247">
        <f>IF(A2247&lt;Y2247,"Yes","No")</f>
        <v/>
      </c>
    </row>
    <row r="2248">
      <c r="A2248" t="n">
        <v>2021</v>
      </c>
      <c r="B2248" t="inlineStr">
        <is>
          <t>Q2</t>
        </is>
      </c>
      <c r="C2248" t="inlineStr">
        <is>
          <t>North America</t>
        </is>
      </c>
      <c r="D2248" t="inlineStr">
        <is>
          <t>Model X</t>
        </is>
      </c>
      <c r="E2248" t="n">
        <v>758</v>
      </c>
      <c r="F2248" t="n">
        <v>63882.43</v>
      </c>
      <c r="G2248" t="n">
        <v>37</v>
      </c>
      <c r="H2248" t="inlineStr">
        <is>
          <t>Long Range</t>
        </is>
      </c>
      <c r="I2248" t="inlineStr">
        <is>
          <t>RWD</t>
        </is>
      </c>
      <c r="J2248" t="inlineStr">
        <is>
          <t>Black</t>
        </is>
      </c>
      <c r="K2248" t="n">
        <v>633</v>
      </c>
      <c r="L2248" t="n">
        <v>61</v>
      </c>
      <c r="M2248" t="n">
        <v>23.63</v>
      </c>
      <c r="N2248" t="n">
        <v>1100.01</v>
      </c>
      <c r="O2248" t="n">
        <v>4.19</v>
      </c>
      <c r="P2248" t="n">
        <v>4</v>
      </c>
      <c r="Q2248" t="n">
        <v>1</v>
      </c>
      <c r="R2248" t="n">
        <v>2022.11</v>
      </c>
      <c r="S2248" t="b">
        <v>1</v>
      </c>
      <c r="T2248" t="n">
        <v>3023766</v>
      </c>
      <c r="U2248" t="n">
        <v>12</v>
      </c>
      <c r="V2248" t="n">
        <v>0.0562</v>
      </c>
      <c r="W2248" t="n">
        <v>1.67</v>
      </c>
      <c r="X2248" t="n">
        <v>87.39</v>
      </c>
      <c r="Y2248">
        <f>VLOOKUP(D2248,$AB$2:$AC$7,2,FALSE)</f>
        <v/>
      </c>
      <c r="Z2248">
        <f>IF(A2248&lt;Y2248,"Yes","No")</f>
        <v/>
      </c>
    </row>
    <row r="2249">
      <c r="A2249" t="n">
        <v>2017</v>
      </c>
      <c r="B2249" t="inlineStr">
        <is>
          <t>Q3</t>
        </is>
      </c>
      <c r="C2249" t="inlineStr">
        <is>
          <t>South America</t>
        </is>
      </c>
      <c r="D2249" t="inlineStr">
        <is>
          <t>Model 3</t>
        </is>
      </c>
      <c r="E2249" t="n">
        <v>2759</v>
      </c>
      <c r="F2249" t="n">
        <v>71823.60000000001</v>
      </c>
      <c r="G2249" t="n">
        <v>46</v>
      </c>
      <c r="H2249" t="inlineStr">
        <is>
          <t>Long Range</t>
        </is>
      </c>
      <c r="I2249" t="inlineStr">
        <is>
          <t>AWD</t>
        </is>
      </c>
      <c r="J2249" t="inlineStr">
        <is>
          <t>Silver</t>
        </is>
      </c>
      <c r="K2249" t="n">
        <v>567</v>
      </c>
      <c r="L2249" t="n">
        <v>80</v>
      </c>
      <c r="M2249" t="n">
        <v>16.37</v>
      </c>
      <c r="N2249" t="n">
        <v>5094.86</v>
      </c>
      <c r="O2249" t="n">
        <v>3.8</v>
      </c>
      <c r="P2249" t="n">
        <v>4</v>
      </c>
      <c r="Q2249" t="n">
        <v>3</v>
      </c>
      <c r="R2249" t="n">
        <v>2020.3</v>
      </c>
      <c r="S2249" t="b">
        <v>1</v>
      </c>
      <c r="T2249" t="n">
        <v>1284467</v>
      </c>
      <c r="U2249" t="n">
        <v>10</v>
      </c>
      <c r="V2249" t="n">
        <v>0.0479</v>
      </c>
      <c r="W2249" t="n">
        <v>1.57</v>
      </c>
      <c r="X2249" t="n">
        <v>81.67</v>
      </c>
      <c r="Y2249">
        <f>VLOOKUP(D2249,$AB$2:$AC$7,2,FALSE)</f>
        <v/>
      </c>
      <c r="Z2249">
        <f>IF(A2249&lt;Y2249,"Yes","No")</f>
        <v/>
      </c>
    </row>
    <row r="2250">
      <c r="A2250" t="n">
        <v>2019</v>
      </c>
      <c r="B2250" t="inlineStr">
        <is>
          <t>Q3</t>
        </is>
      </c>
      <c r="C2250" t="inlineStr">
        <is>
          <t>Europe</t>
        </is>
      </c>
      <c r="D2250" t="inlineStr">
        <is>
          <t>Semi</t>
        </is>
      </c>
      <c r="E2250" t="n">
        <v>3917</v>
      </c>
      <c r="F2250" t="n">
        <v>75920.03999999999</v>
      </c>
      <c r="G2250" t="n">
        <v>6</v>
      </c>
      <c r="H2250" t="inlineStr">
        <is>
          <t>Long Range</t>
        </is>
      </c>
      <c r="I2250" t="inlineStr">
        <is>
          <t>AWD</t>
        </is>
      </c>
      <c r="J2250" t="inlineStr">
        <is>
          <t>Blue</t>
        </is>
      </c>
      <c r="K2250" t="n">
        <v>686</v>
      </c>
      <c r="L2250" t="n">
        <v>58</v>
      </c>
      <c r="M2250" t="n">
        <v>22.48</v>
      </c>
      <c r="N2250" t="n">
        <v>2327.79</v>
      </c>
      <c r="O2250" t="n">
        <v>4.38</v>
      </c>
      <c r="P2250" t="n">
        <v>6</v>
      </c>
      <c r="Q2250" t="n">
        <v>0</v>
      </c>
      <c r="R2250" t="n">
        <v>2023.7</v>
      </c>
      <c r="S2250" t="b">
        <v>1</v>
      </c>
      <c r="T2250" t="n">
        <v>1177363</v>
      </c>
      <c r="U2250" t="n">
        <v>10</v>
      </c>
      <c r="V2250" t="n">
        <v>0.0382</v>
      </c>
      <c r="W2250" t="n">
        <v>2.21</v>
      </c>
      <c r="X2250" t="n">
        <v>71.87</v>
      </c>
      <c r="Y2250">
        <f>VLOOKUP(D2250,$AB$2:$AC$7,2,FALSE)</f>
        <v/>
      </c>
      <c r="Z2250">
        <f>IF(A2250&lt;Y2250,"Yes","No")</f>
        <v/>
      </c>
    </row>
    <row r="2251">
      <c r="A2251" t="n">
        <v>2017</v>
      </c>
      <c r="B2251" t="inlineStr">
        <is>
          <t>Q3</t>
        </is>
      </c>
      <c r="C2251" t="inlineStr">
        <is>
          <t>Asia</t>
        </is>
      </c>
      <c r="D2251" t="inlineStr">
        <is>
          <t>Model S</t>
        </is>
      </c>
      <c r="E2251" t="n">
        <v>3493</v>
      </c>
      <c r="F2251" t="n">
        <v>59278.94</v>
      </c>
      <c r="G2251" t="n">
        <v>36</v>
      </c>
      <c r="H2251" t="inlineStr">
        <is>
          <t>Standard</t>
        </is>
      </c>
      <c r="I2251" t="inlineStr">
        <is>
          <t>AWD</t>
        </is>
      </c>
      <c r="J2251" t="inlineStr">
        <is>
          <t>Red</t>
        </is>
      </c>
      <c r="K2251" t="n">
        <v>392</v>
      </c>
      <c r="L2251" t="n">
        <v>35</v>
      </c>
      <c r="M2251" t="n">
        <v>16.84</v>
      </c>
      <c r="N2251" t="n">
        <v>7033.39</v>
      </c>
      <c r="O2251" t="n">
        <v>4.56</v>
      </c>
      <c r="P2251" t="n">
        <v>6</v>
      </c>
      <c r="Q2251" t="n">
        <v>2</v>
      </c>
      <c r="R2251" t="n">
        <v>2020.3</v>
      </c>
      <c r="S2251" t="b">
        <v>0</v>
      </c>
      <c r="T2251" t="n">
        <v>1150102</v>
      </c>
      <c r="U2251" t="n">
        <v>3</v>
      </c>
      <c r="V2251" t="n">
        <v>0.0566</v>
      </c>
      <c r="W2251" t="n">
        <v>1.29</v>
      </c>
      <c r="X2251" t="n">
        <v>80.8</v>
      </c>
      <c r="Y2251">
        <f>VLOOKUP(D2251,$AB$2:$AC$7,2,FALSE)</f>
        <v/>
      </c>
      <c r="Z2251">
        <f>IF(A2251&lt;Y2251,"Yes","No")</f>
        <v/>
      </c>
    </row>
    <row r="2252">
      <c r="A2252" t="n">
        <v>2024</v>
      </c>
      <c r="B2252" t="inlineStr">
        <is>
          <t>Q1</t>
        </is>
      </c>
      <c r="C2252" t="inlineStr">
        <is>
          <t>Europe</t>
        </is>
      </c>
      <c r="D2252" t="inlineStr">
        <is>
          <t>Model Y</t>
        </is>
      </c>
      <c r="E2252" t="n">
        <v>2096</v>
      </c>
      <c r="F2252" t="n">
        <v>49431.42</v>
      </c>
      <c r="G2252" t="n">
        <v>43</v>
      </c>
      <c r="H2252" t="inlineStr">
        <is>
          <t>Long Range</t>
        </is>
      </c>
      <c r="I2252" t="inlineStr">
        <is>
          <t>AWD</t>
        </is>
      </c>
      <c r="J2252" t="inlineStr">
        <is>
          <t>Silver</t>
        </is>
      </c>
      <c r="K2252" t="n">
        <v>516</v>
      </c>
      <c r="L2252" t="n">
        <v>85</v>
      </c>
      <c r="M2252" t="n">
        <v>15.06</v>
      </c>
      <c r="N2252" t="n">
        <v>3540.96</v>
      </c>
      <c r="O2252" t="n">
        <v>3.63</v>
      </c>
      <c r="P2252" t="n">
        <v>6</v>
      </c>
      <c r="Q2252" t="n">
        <v>3</v>
      </c>
      <c r="R2252" t="n">
        <v>2020.4</v>
      </c>
      <c r="S2252" t="b">
        <v>1</v>
      </c>
      <c r="T2252" t="n">
        <v>3792792</v>
      </c>
      <c r="U2252" t="n">
        <v>5</v>
      </c>
      <c r="V2252" t="n">
        <v>0.082</v>
      </c>
      <c r="W2252" t="n">
        <v>1.53</v>
      </c>
      <c r="X2252" t="n">
        <v>73.13</v>
      </c>
      <c r="Y2252">
        <f>VLOOKUP(D2252,$AB$2:$AC$7,2,FALSE)</f>
        <v/>
      </c>
      <c r="Z2252">
        <f>IF(A2252&lt;Y2252,"Yes","No")</f>
        <v/>
      </c>
    </row>
    <row r="2253">
      <c r="A2253" t="n">
        <v>2022</v>
      </c>
      <c r="B2253" t="inlineStr">
        <is>
          <t>Q3</t>
        </is>
      </c>
      <c r="C2253" t="inlineStr">
        <is>
          <t>South America</t>
        </is>
      </c>
      <c r="D2253" t="inlineStr">
        <is>
          <t>Model X</t>
        </is>
      </c>
      <c r="E2253" t="n">
        <v>2682</v>
      </c>
      <c r="F2253" t="n">
        <v>116024.81</v>
      </c>
      <c r="G2253" t="n">
        <v>19</v>
      </c>
      <c r="H2253" t="inlineStr">
        <is>
          <t>Standard</t>
        </is>
      </c>
      <c r="I2253" t="inlineStr">
        <is>
          <t>AWD</t>
        </is>
      </c>
      <c r="J2253" t="inlineStr">
        <is>
          <t>Red</t>
        </is>
      </c>
      <c r="K2253" t="n">
        <v>587</v>
      </c>
      <c r="L2253" t="n">
        <v>71</v>
      </c>
      <c r="M2253" t="n">
        <v>16.51</v>
      </c>
      <c r="N2253" t="n">
        <v>3148.27</v>
      </c>
      <c r="O2253" t="n">
        <v>4.51</v>
      </c>
      <c r="P2253" t="n">
        <v>8</v>
      </c>
      <c r="Q2253" t="n">
        <v>3</v>
      </c>
      <c r="R2253" t="n">
        <v>2023.5</v>
      </c>
      <c r="S2253" t="b">
        <v>1</v>
      </c>
      <c r="T2253" t="n">
        <v>2562071</v>
      </c>
      <c r="U2253" t="n">
        <v>8</v>
      </c>
      <c r="V2253" t="n">
        <v>0.08400000000000001</v>
      </c>
      <c r="W2253" t="n">
        <v>2</v>
      </c>
      <c r="X2253" t="n">
        <v>83.73999999999999</v>
      </c>
      <c r="Y2253">
        <f>VLOOKUP(D2253,$AB$2:$AC$7,2,FALSE)</f>
        <v/>
      </c>
      <c r="Z2253">
        <f>IF(A2253&lt;Y2253,"Yes","No")</f>
        <v/>
      </c>
    </row>
    <row r="2254">
      <c r="A2254" t="n">
        <v>2013</v>
      </c>
      <c r="B2254" t="inlineStr">
        <is>
          <t>Q2</t>
        </is>
      </c>
      <c r="C2254" t="inlineStr">
        <is>
          <t>North America</t>
        </is>
      </c>
      <c r="D2254" t="inlineStr">
        <is>
          <t>Model Y</t>
        </is>
      </c>
      <c r="E2254" t="n">
        <v>2052</v>
      </c>
      <c r="F2254" t="n">
        <v>52054.39</v>
      </c>
      <c r="G2254" t="n">
        <v>11</v>
      </c>
      <c r="H2254" t="inlineStr">
        <is>
          <t>Long Range</t>
        </is>
      </c>
      <c r="I2254" t="inlineStr">
        <is>
          <t>AWD</t>
        </is>
      </c>
      <c r="J2254" t="inlineStr">
        <is>
          <t>Black</t>
        </is>
      </c>
      <c r="K2254" t="n">
        <v>571</v>
      </c>
      <c r="L2254" t="n">
        <v>42</v>
      </c>
      <c r="M2254" t="n">
        <v>13.48</v>
      </c>
      <c r="N2254" t="n">
        <v>2900.54</v>
      </c>
      <c r="O2254" t="n">
        <v>4.03</v>
      </c>
      <c r="P2254" t="n">
        <v>8</v>
      </c>
      <c r="Q2254" t="n">
        <v>3</v>
      </c>
      <c r="R2254" t="n">
        <v>2020.8</v>
      </c>
      <c r="S2254" t="b">
        <v>1</v>
      </c>
      <c r="T2254" t="n">
        <v>1667320</v>
      </c>
      <c r="U2254" t="n">
        <v>7</v>
      </c>
      <c r="V2254" t="n">
        <v>0.0121</v>
      </c>
      <c r="W2254" t="n">
        <v>1.94</v>
      </c>
      <c r="X2254" t="n">
        <v>71.45</v>
      </c>
      <c r="Y2254">
        <f>VLOOKUP(D2254,$AB$2:$AC$7,2,FALSE)</f>
        <v/>
      </c>
      <c r="Z2254">
        <f>IF(A2254&lt;Y2254,"Yes","No")</f>
        <v/>
      </c>
    </row>
    <row r="2255">
      <c r="A2255" t="n">
        <v>2018</v>
      </c>
      <c r="B2255" t="inlineStr">
        <is>
          <t>Q1</t>
        </is>
      </c>
      <c r="C2255" t="inlineStr">
        <is>
          <t>Australia</t>
        </is>
      </c>
      <c r="D2255" t="inlineStr">
        <is>
          <t>Cybertruck</t>
        </is>
      </c>
      <c r="E2255" t="n">
        <v>2975</v>
      </c>
      <c r="F2255" t="n">
        <v>36638.86</v>
      </c>
      <c r="G2255" t="n">
        <v>59</v>
      </c>
      <c r="H2255" t="inlineStr">
        <is>
          <t>Long Range</t>
        </is>
      </c>
      <c r="I2255" t="inlineStr">
        <is>
          <t>AWD</t>
        </is>
      </c>
      <c r="J2255" t="inlineStr">
        <is>
          <t>Blue</t>
        </is>
      </c>
      <c r="K2255" t="n">
        <v>391</v>
      </c>
      <c r="L2255" t="n">
        <v>90</v>
      </c>
      <c r="M2255" t="n">
        <v>13.57</v>
      </c>
      <c r="N2255" t="n">
        <v>4539.24</v>
      </c>
      <c r="O2255" t="n">
        <v>4.11</v>
      </c>
      <c r="P2255" t="n">
        <v>6</v>
      </c>
      <c r="Q2255" t="n">
        <v>1</v>
      </c>
      <c r="R2255" t="n">
        <v>2021.7</v>
      </c>
      <c r="S2255" t="b">
        <v>0</v>
      </c>
      <c r="T2255" t="n">
        <v>4264545</v>
      </c>
      <c r="U2255" t="n">
        <v>6</v>
      </c>
      <c r="V2255" t="n">
        <v>0.08790000000000001</v>
      </c>
      <c r="W2255" t="n">
        <v>1.8</v>
      </c>
      <c r="X2255" t="n">
        <v>67.79000000000001</v>
      </c>
      <c r="Y2255">
        <f>VLOOKUP(D2255,$AB$2:$AC$7,2,FALSE)</f>
        <v/>
      </c>
      <c r="Z2255">
        <f>IF(A2255&lt;Y2255,"Yes","No")</f>
        <v/>
      </c>
    </row>
    <row r="2256">
      <c r="A2256" t="n">
        <v>2014</v>
      </c>
      <c r="B2256" t="inlineStr">
        <is>
          <t>Q3</t>
        </is>
      </c>
      <c r="C2256" t="inlineStr">
        <is>
          <t>North America</t>
        </is>
      </c>
      <c r="D2256" t="inlineStr">
        <is>
          <t>Semi</t>
        </is>
      </c>
      <c r="E2256" t="n">
        <v>2179</v>
      </c>
      <c r="F2256" t="n">
        <v>51617.02</v>
      </c>
      <c r="G2256" t="n">
        <v>27</v>
      </c>
      <c r="H2256" t="inlineStr">
        <is>
          <t>Performance</t>
        </is>
      </c>
      <c r="I2256" t="inlineStr">
        <is>
          <t>RWD</t>
        </is>
      </c>
      <c r="J2256" t="inlineStr">
        <is>
          <t>Silver</t>
        </is>
      </c>
      <c r="K2256" t="n">
        <v>457</v>
      </c>
      <c r="L2256" t="n">
        <v>50</v>
      </c>
      <c r="M2256" t="n">
        <v>20</v>
      </c>
      <c r="N2256" t="n">
        <v>4453.72</v>
      </c>
      <c r="O2256" t="n">
        <v>3.58</v>
      </c>
      <c r="P2256" t="n">
        <v>4</v>
      </c>
      <c r="Q2256" t="n">
        <v>0</v>
      </c>
      <c r="R2256" t="n">
        <v>2024.11</v>
      </c>
      <c r="S2256" t="b">
        <v>1</v>
      </c>
      <c r="T2256" t="n">
        <v>164843</v>
      </c>
      <c r="U2256" t="n">
        <v>10</v>
      </c>
      <c r="V2256" t="n">
        <v>0.0539</v>
      </c>
      <c r="W2256" t="n">
        <v>1.27</v>
      </c>
      <c r="X2256" t="n">
        <v>66.5</v>
      </c>
      <c r="Y2256">
        <f>VLOOKUP(D2256,$AB$2:$AC$7,2,FALSE)</f>
        <v/>
      </c>
      <c r="Z2256">
        <f>IF(A2256&lt;Y2256,"Yes","No")</f>
        <v/>
      </c>
    </row>
    <row r="2257">
      <c r="A2257" t="n">
        <v>2020</v>
      </c>
      <c r="B2257" t="inlineStr">
        <is>
          <t>Q1</t>
        </is>
      </c>
      <c r="C2257" t="inlineStr">
        <is>
          <t>South America</t>
        </is>
      </c>
      <c r="D2257" t="inlineStr">
        <is>
          <t>Model 3</t>
        </is>
      </c>
      <c r="E2257" t="n">
        <v>4815</v>
      </c>
      <c r="F2257" t="n">
        <v>88669.39</v>
      </c>
      <c r="G2257" t="n">
        <v>9</v>
      </c>
      <c r="H2257" t="inlineStr">
        <is>
          <t>Long Range</t>
        </is>
      </c>
      <c r="I2257" t="inlineStr">
        <is>
          <t>AWD</t>
        </is>
      </c>
      <c r="J2257" t="inlineStr">
        <is>
          <t>Silver</t>
        </is>
      </c>
      <c r="K2257" t="n">
        <v>398</v>
      </c>
      <c r="L2257" t="n">
        <v>62</v>
      </c>
      <c r="M2257" t="n">
        <v>20.11</v>
      </c>
      <c r="N2257" t="n">
        <v>10176.85</v>
      </c>
      <c r="O2257" t="n">
        <v>4.34</v>
      </c>
      <c r="P2257" t="n">
        <v>4</v>
      </c>
      <c r="Q2257" t="n">
        <v>3</v>
      </c>
      <c r="R2257" t="n">
        <v>2024.3</v>
      </c>
      <c r="S2257" t="b">
        <v>1</v>
      </c>
      <c r="T2257" t="n">
        <v>3567140</v>
      </c>
      <c r="U2257" t="n">
        <v>7</v>
      </c>
      <c r="V2257" t="n">
        <v>0.0102</v>
      </c>
      <c r="W2257" t="n">
        <v>2.2</v>
      </c>
      <c r="X2257" t="n">
        <v>88.65000000000001</v>
      </c>
      <c r="Y2257">
        <f>VLOOKUP(D2257,$AB$2:$AC$7,2,FALSE)</f>
        <v/>
      </c>
      <c r="Z2257">
        <f>IF(A2257&lt;Y2257,"Yes","No")</f>
        <v/>
      </c>
    </row>
    <row r="2258">
      <c r="A2258" t="n">
        <v>2019</v>
      </c>
      <c r="B2258" t="inlineStr">
        <is>
          <t>Q3</t>
        </is>
      </c>
      <c r="C2258" t="inlineStr">
        <is>
          <t>Australia</t>
        </is>
      </c>
      <c r="D2258" t="inlineStr">
        <is>
          <t>Model Y</t>
        </is>
      </c>
      <c r="E2258" t="n">
        <v>115</v>
      </c>
      <c r="F2258" t="n">
        <v>43716.43</v>
      </c>
      <c r="G2258" t="n">
        <v>2</v>
      </c>
      <c r="H2258" t="inlineStr">
        <is>
          <t>Performance</t>
        </is>
      </c>
      <c r="I2258" t="inlineStr">
        <is>
          <t>RWD</t>
        </is>
      </c>
      <c r="J2258" t="inlineStr">
        <is>
          <t>Green</t>
        </is>
      </c>
      <c r="K2258" t="n">
        <v>575</v>
      </c>
      <c r="L2258" t="n">
        <v>73</v>
      </c>
      <c r="M2258" t="n">
        <v>23.11</v>
      </c>
      <c r="N2258" t="n">
        <v>229.86</v>
      </c>
      <c r="O2258" t="n">
        <v>3.69</v>
      </c>
      <c r="P2258" t="n">
        <v>5</v>
      </c>
      <c r="Q2258" t="n">
        <v>2</v>
      </c>
      <c r="R2258" t="n">
        <v>2024.2</v>
      </c>
      <c r="S2258" t="b">
        <v>0</v>
      </c>
      <c r="T2258" t="n">
        <v>1179581</v>
      </c>
      <c r="U2258" t="n">
        <v>12</v>
      </c>
      <c r="V2258" t="n">
        <v>0.0566</v>
      </c>
      <c r="W2258" t="n">
        <v>0.95</v>
      </c>
      <c r="X2258" t="n">
        <v>75.31</v>
      </c>
      <c r="Y2258">
        <f>VLOOKUP(D2258,$AB$2:$AC$7,2,FALSE)</f>
        <v/>
      </c>
      <c r="Z2258">
        <f>IF(A2258&lt;Y2258,"Yes","No")</f>
        <v/>
      </c>
    </row>
    <row r="2259">
      <c r="A2259" t="n">
        <v>2024</v>
      </c>
      <c r="B2259" t="inlineStr">
        <is>
          <t>Q4</t>
        </is>
      </c>
      <c r="C2259" t="inlineStr">
        <is>
          <t>Australia</t>
        </is>
      </c>
      <c r="D2259" t="inlineStr">
        <is>
          <t>Model X</t>
        </is>
      </c>
      <c r="E2259" t="n">
        <v>708</v>
      </c>
      <c r="F2259" t="n">
        <v>76436.89</v>
      </c>
      <c r="G2259" t="n">
        <v>31</v>
      </c>
      <c r="H2259" t="inlineStr">
        <is>
          <t>Standard</t>
        </is>
      </c>
      <c r="I2259" t="inlineStr">
        <is>
          <t>AWD</t>
        </is>
      </c>
      <c r="J2259" t="inlineStr">
        <is>
          <t>Black</t>
        </is>
      </c>
      <c r="K2259" t="n">
        <v>392</v>
      </c>
      <c r="L2259" t="n">
        <v>84</v>
      </c>
      <c r="M2259" t="n">
        <v>20.37</v>
      </c>
      <c r="N2259" t="n">
        <v>1492.25</v>
      </c>
      <c r="O2259" t="n">
        <v>4.85</v>
      </c>
      <c r="P2259" t="n">
        <v>5</v>
      </c>
      <c r="Q2259" t="n">
        <v>0</v>
      </c>
      <c r="R2259" t="n">
        <v>2021.6</v>
      </c>
      <c r="S2259" t="b">
        <v>1</v>
      </c>
      <c r="T2259" t="n">
        <v>4201275</v>
      </c>
      <c r="U2259" t="n">
        <v>12</v>
      </c>
      <c r="V2259" t="n">
        <v>0.0955</v>
      </c>
      <c r="W2259" t="n">
        <v>2.1</v>
      </c>
      <c r="X2259" t="n">
        <v>83.5</v>
      </c>
      <c r="Y2259">
        <f>VLOOKUP(D2259,$AB$2:$AC$7,2,FALSE)</f>
        <v/>
      </c>
      <c r="Z2259">
        <f>IF(A2259&lt;Y2259,"Yes","No")</f>
        <v/>
      </c>
    </row>
    <row r="2260">
      <c r="A2260" t="n">
        <v>2017</v>
      </c>
      <c r="B2260" t="inlineStr">
        <is>
          <t>Q3</t>
        </is>
      </c>
      <c r="C2260" t="inlineStr">
        <is>
          <t>South America</t>
        </is>
      </c>
      <c r="D2260" t="inlineStr">
        <is>
          <t>Model 3</t>
        </is>
      </c>
      <c r="E2260" t="n">
        <v>4079</v>
      </c>
      <c r="F2260" t="n">
        <v>70961.23</v>
      </c>
      <c r="G2260" t="n">
        <v>23</v>
      </c>
      <c r="H2260" t="inlineStr">
        <is>
          <t>Standard</t>
        </is>
      </c>
      <c r="I2260" t="inlineStr">
        <is>
          <t>AWD</t>
        </is>
      </c>
      <c r="J2260" t="inlineStr">
        <is>
          <t>Silver</t>
        </is>
      </c>
      <c r="K2260" t="n">
        <v>415</v>
      </c>
      <c r="L2260" t="n">
        <v>50</v>
      </c>
      <c r="M2260" t="n">
        <v>18.25</v>
      </c>
      <c r="N2260" t="n">
        <v>9197.700000000001</v>
      </c>
      <c r="O2260" t="n">
        <v>4.44</v>
      </c>
      <c r="P2260" t="n">
        <v>6</v>
      </c>
      <c r="Q2260" t="n">
        <v>0</v>
      </c>
      <c r="R2260" t="n">
        <v>2023.4</v>
      </c>
      <c r="S2260" t="b">
        <v>1</v>
      </c>
      <c r="T2260" t="n">
        <v>3923202</v>
      </c>
      <c r="U2260" t="n">
        <v>4</v>
      </c>
      <c r="V2260" t="n">
        <v>0.0522</v>
      </c>
      <c r="W2260" t="n">
        <v>2.03</v>
      </c>
      <c r="X2260" t="n">
        <v>67.55</v>
      </c>
      <c r="Y2260">
        <f>VLOOKUP(D2260,$AB$2:$AC$7,2,FALSE)</f>
        <v/>
      </c>
      <c r="Z2260">
        <f>IF(A2260&lt;Y2260,"Yes","No")</f>
        <v/>
      </c>
    </row>
    <row r="2261">
      <c r="A2261" t="n">
        <v>2023</v>
      </c>
      <c r="B2261" t="inlineStr">
        <is>
          <t>Q2</t>
        </is>
      </c>
      <c r="C2261" t="inlineStr">
        <is>
          <t>Australia</t>
        </is>
      </c>
      <c r="D2261" t="inlineStr">
        <is>
          <t>Model 3</t>
        </is>
      </c>
      <c r="E2261" t="n">
        <v>4432</v>
      </c>
      <c r="F2261" t="n">
        <v>42905.15</v>
      </c>
      <c r="G2261" t="n">
        <v>47</v>
      </c>
      <c r="H2261" t="inlineStr">
        <is>
          <t>Standard</t>
        </is>
      </c>
      <c r="I2261" t="inlineStr">
        <is>
          <t>RWD</t>
        </is>
      </c>
      <c r="J2261" t="inlineStr">
        <is>
          <t>Red</t>
        </is>
      </c>
      <c r="K2261" t="n">
        <v>469</v>
      </c>
      <c r="L2261" t="n">
        <v>80</v>
      </c>
      <c r="M2261" t="n">
        <v>17</v>
      </c>
      <c r="N2261" t="n">
        <v>3880.92</v>
      </c>
      <c r="O2261" t="n">
        <v>3.92</v>
      </c>
      <c r="P2261" t="n">
        <v>4</v>
      </c>
      <c r="Q2261" t="n">
        <v>3</v>
      </c>
      <c r="R2261" t="n">
        <v>2022.1</v>
      </c>
      <c r="S2261" t="b">
        <v>0</v>
      </c>
      <c r="T2261" t="n">
        <v>4336347</v>
      </c>
      <c r="U2261" t="n">
        <v>9</v>
      </c>
      <c r="V2261" t="n">
        <v>0.0393</v>
      </c>
      <c r="W2261" t="n">
        <v>1.1</v>
      </c>
      <c r="X2261" t="n">
        <v>82.34999999999999</v>
      </c>
      <c r="Y2261">
        <f>VLOOKUP(D2261,$AB$2:$AC$7,2,FALSE)</f>
        <v/>
      </c>
      <c r="Z2261">
        <f>IF(A2261&lt;Y2261,"Yes","No")</f>
        <v/>
      </c>
    </row>
    <row r="2262">
      <c r="A2262" t="n">
        <v>2018</v>
      </c>
      <c r="B2262" t="inlineStr">
        <is>
          <t>Q3</t>
        </is>
      </c>
      <c r="C2262" t="inlineStr">
        <is>
          <t>Asia</t>
        </is>
      </c>
      <c r="D2262" t="inlineStr">
        <is>
          <t>Semi</t>
        </is>
      </c>
      <c r="E2262" t="n">
        <v>2122</v>
      </c>
      <c r="F2262" t="n">
        <v>80801.89</v>
      </c>
      <c r="G2262" t="n">
        <v>7</v>
      </c>
      <c r="H2262" t="inlineStr">
        <is>
          <t>Performance</t>
        </is>
      </c>
      <c r="I2262" t="inlineStr">
        <is>
          <t>RWD</t>
        </is>
      </c>
      <c r="J2262" t="inlineStr">
        <is>
          <t>Black</t>
        </is>
      </c>
      <c r="K2262" t="n">
        <v>664</v>
      </c>
      <c r="L2262" t="n">
        <v>65</v>
      </c>
      <c r="M2262" t="n">
        <v>20.91</v>
      </c>
      <c r="N2262" t="n">
        <v>1509.73</v>
      </c>
      <c r="O2262" t="n">
        <v>3.69</v>
      </c>
      <c r="P2262" t="n">
        <v>6</v>
      </c>
      <c r="Q2262" t="n">
        <v>2</v>
      </c>
      <c r="R2262" t="n">
        <v>2024.9</v>
      </c>
      <c r="S2262" t="b">
        <v>0</v>
      </c>
      <c r="T2262" t="n">
        <v>4051647</v>
      </c>
      <c r="U2262" t="n">
        <v>6</v>
      </c>
      <c r="V2262" t="n">
        <v>0.0839</v>
      </c>
      <c r="W2262" t="n">
        <v>2.3</v>
      </c>
      <c r="X2262" t="n">
        <v>70.54000000000001</v>
      </c>
      <c r="Y2262">
        <f>VLOOKUP(D2262,$AB$2:$AC$7,2,FALSE)</f>
        <v/>
      </c>
      <c r="Z2262">
        <f>IF(A2262&lt;Y2262,"Yes","No")</f>
        <v/>
      </c>
    </row>
    <row r="2263">
      <c r="A2263" t="n">
        <v>2015</v>
      </c>
      <c r="B2263" t="inlineStr">
        <is>
          <t>Q1</t>
        </is>
      </c>
      <c r="C2263" t="inlineStr">
        <is>
          <t>Asia</t>
        </is>
      </c>
      <c r="D2263" t="inlineStr">
        <is>
          <t>Model S</t>
        </is>
      </c>
      <c r="E2263" t="n">
        <v>1753</v>
      </c>
      <c r="F2263" t="n">
        <v>61379.11</v>
      </c>
      <c r="G2263" t="n">
        <v>42</v>
      </c>
      <c r="H2263" t="inlineStr">
        <is>
          <t>Long Range</t>
        </is>
      </c>
      <c r="I2263" t="inlineStr">
        <is>
          <t>RWD</t>
        </is>
      </c>
      <c r="J2263" t="inlineStr">
        <is>
          <t>Red</t>
        </is>
      </c>
      <c r="K2263" t="n">
        <v>629</v>
      </c>
      <c r="L2263" t="n">
        <v>75</v>
      </c>
      <c r="M2263" t="n">
        <v>20.95</v>
      </c>
      <c r="N2263" t="n">
        <v>2009.7</v>
      </c>
      <c r="O2263" t="n">
        <v>4.13</v>
      </c>
      <c r="P2263" t="n">
        <v>8</v>
      </c>
      <c r="Q2263" t="n">
        <v>1</v>
      </c>
      <c r="R2263" t="n">
        <v>2024.8</v>
      </c>
      <c r="S2263" t="b">
        <v>0</v>
      </c>
      <c r="T2263" t="n">
        <v>2559166</v>
      </c>
      <c r="U2263" t="n">
        <v>9</v>
      </c>
      <c r="V2263" t="n">
        <v>0.0896</v>
      </c>
      <c r="W2263" t="n">
        <v>0.66</v>
      </c>
      <c r="X2263" t="n">
        <v>69.23999999999999</v>
      </c>
      <c r="Y2263">
        <f>VLOOKUP(D2263,$AB$2:$AC$7,2,FALSE)</f>
        <v/>
      </c>
      <c r="Z2263">
        <f>IF(A2263&lt;Y2263,"Yes","No")</f>
        <v/>
      </c>
    </row>
    <row r="2264">
      <c r="A2264" t="n">
        <v>2014</v>
      </c>
      <c r="B2264" t="inlineStr">
        <is>
          <t>Q3</t>
        </is>
      </c>
      <c r="C2264" t="inlineStr">
        <is>
          <t>Europe</t>
        </is>
      </c>
      <c r="D2264" t="inlineStr">
        <is>
          <t>Semi</t>
        </is>
      </c>
      <c r="E2264" t="n">
        <v>4298</v>
      </c>
      <c r="F2264" t="n">
        <v>106046.22</v>
      </c>
      <c r="G2264" t="n">
        <v>59</v>
      </c>
      <c r="H2264" t="inlineStr">
        <is>
          <t>Performance</t>
        </is>
      </c>
      <c r="I2264" t="inlineStr">
        <is>
          <t>AWD</t>
        </is>
      </c>
      <c r="J2264" t="inlineStr">
        <is>
          <t>White</t>
        </is>
      </c>
      <c r="K2264" t="n">
        <v>394</v>
      </c>
      <c r="L2264" t="n">
        <v>31</v>
      </c>
      <c r="M2264" t="n">
        <v>18.09</v>
      </c>
      <c r="N2264" t="n">
        <v>8824.1</v>
      </c>
      <c r="O2264" t="n">
        <v>4.74</v>
      </c>
      <c r="P2264" t="n">
        <v>5</v>
      </c>
      <c r="Q2264" t="n">
        <v>3</v>
      </c>
      <c r="R2264" t="n">
        <v>2023.7</v>
      </c>
      <c r="S2264" t="b">
        <v>0</v>
      </c>
      <c r="T2264" t="n">
        <v>3638369</v>
      </c>
      <c r="U2264" t="n">
        <v>4</v>
      </c>
      <c r="V2264" t="n">
        <v>0.0954</v>
      </c>
      <c r="W2264" t="n">
        <v>2.05</v>
      </c>
      <c r="X2264" t="n">
        <v>86.3</v>
      </c>
      <c r="Y2264">
        <f>VLOOKUP(D2264,$AB$2:$AC$7,2,FALSE)</f>
        <v/>
      </c>
      <c r="Z2264">
        <f>IF(A2264&lt;Y2264,"Yes","No")</f>
        <v/>
      </c>
    </row>
    <row r="2265">
      <c r="A2265" t="n">
        <v>2019</v>
      </c>
      <c r="B2265" t="inlineStr">
        <is>
          <t>Q1</t>
        </is>
      </c>
      <c r="C2265" t="inlineStr">
        <is>
          <t>Europe</t>
        </is>
      </c>
      <c r="D2265" t="inlineStr">
        <is>
          <t>Cybertruck</t>
        </is>
      </c>
      <c r="E2265" t="n">
        <v>1959</v>
      </c>
      <c r="F2265" t="n">
        <v>53190.13</v>
      </c>
      <c r="G2265" t="n">
        <v>24</v>
      </c>
      <c r="H2265" t="inlineStr">
        <is>
          <t>Long Range</t>
        </is>
      </c>
      <c r="I2265" t="inlineStr">
        <is>
          <t>RWD</t>
        </is>
      </c>
      <c r="J2265" t="inlineStr">
        <is>
          <t>Blue</t>
        </is>
      </c>
      <c r="K2265" t="n">
        <v>481</v>
      </c>
      <c r="L2265" t="n">
        <v>49</v>
      </c>
      <c r="M2265" t="n">
        <v>23.16</v>
      </c>
      <c r="N2265" t="n">
        <v>1110.64</v>
      </c>
      <c r="O2265" t="n">
        <v>4.6</v>
      </c>
      <c r="P2265" t="n">
        <v>6</v>
      </c>
      <c r="Q2265" t="n">
        <v>1</v>
      </c>
      <c r="R2265" t="n">
        <v>2024.8</v>
      </c>
      <c r="S2265" t="b">
        <v>1</v>
      </c>
      <c r="T2265" t="n">
        <v>1039286</v>
      </c>
      <c r="U2265" t="n">
        <v>10</v>
      </c>
      <c r="V2265" t="n">
        <v>0.0267</v>
      </c>
      <c r="W2265" t="n">
        <v>1.91</v>
      </c>
      <c r="X2265" t="n">
        <v>87.06</v>
      </c>
      <c r="Y2265">
        <f>VLOOKUP(D2265,$AB$2:$AC$7,2,FALSE)</f>
        <v/>
      </c>
      <c r="Z2265">
        <f>IF(A2265&lt;Y2265,"Yes","No")</f>
        <v/>
      </c>
    </row>
    <row r="2266">
      <c r="A2266" t="n">
        <v>2015</v>
      </c>
      <c r="B2266" t="inlineStr">
        <is>
          <t>Q3</t>
        </is>
      </c>
      <c r="C2266" t="inlineStr">
        <is>
          <t>North America</t>
        </is>
      </c>
      <c r="D2266" t="inlineStr">
        <is>
          <t>Cybertruck</t>
        </is>
      </c>
      <c r="E2266" t="n">
        <v>2061</v>
      </c>
      <c r="F2266" t="n">
        <v>63503.21</v>
      </c>
      <c r="G2266" t="n">
        <v>48</v>
      </c>
      <c r="H2266" t="inlineStr">
        <is>
          <t>Performance</t>
        </is>
      </c>
      <c r="I2266" t="inlineStr">
        <is>
          <t>AWD</t>
        </is>
      </c>
      <c r="J2266" t="inlineStr">
        <is>
          <t>Blue</t>
        </is>
      </c>
      <c r="K2266" t="n">
        <v>700</v>
      </c>
      <c r="L2266" t="n">
        <v>37</v>
      </c>
      <c r="M2266" t="n">
        <v>24.03</v>
      </c>
      <c r="N2266" t="n">
        <v>3032.26</v>
      </c>
      <c r="O2266" t="n">
        <v>4.53</v>
      </c>
      <c r="P2266" t="n">
        <v>5</v>
      </c>
      <c r="Q2266" t="n">
        <v>0</v>
      </c>
      <c r="R2266" t="n">
        <v>2021.2</v>
      </c>
      <c r="S2266" t="b">
        <v>1</v>
      </c>
      <c r="T2266" t="n">
        <v>3767018</v>
      </c>
      <c r="U2266" t="n">
        <v>8</v>
      </c>
      <c r="V2266" t="n">
        <v>0.0455</v>
      </c>
      <c r="W2266" t="n">
        <v>2.3</v>
      </c>
      <c r="X2266" t="n">
        <v>81.06999999999999</v>
      </c>
      <c r="Y2266">
        <f>VLOOKUP(D2266,$AB$2:$AC$7,2,FALSE)</f>
        <v/>
      </c>
      <c r="Z2266">
        <f>IF(A2266&lt;Y2266,"Yes","No")</f>
        <v/>
      </c>
    </row>
    <row r="2267">
      <c r="A2267" t="n">
        <v>2013</v>
      </c>
      <c r="B2267" t="inlineStr">
        <is>
          <t>Q3</t>
        </is>
      </c>
      <c r="C2267" t="inlineStr">
        <is>
          <t>Australia</t>
        </is>
      </c>
      <c r="D2267" t="inlineStr">
        <is>
          <t>Cybertruck</t>
        </is>
      </c>
      <c r="E2267" t="n">
        <v>4213</v>
      </c>
      <c r="F2267" t="n">
        <v>77362.39</v>
      </c>
      <c r="G2267" t="n">
        <v>57</v>
      </c>
      <c r="H2267" t="inlineStr">
        <is>
          <t>Performance</t>
        </is>
      </c>
      <c r="I2267" t="inlineStr">
        <is>
          <t>RWD</t>
        </is>
      </c>
      <c r="J2267" t="inlineStr">
        <is>
          <t>Silver</t>
        </is>
      </c>
      <c r="K2267" t="n">
        <v>631</v>
      </c>
      <c r="L2267" t="n">
        <v>62</v>
      </c>
      <c r="M2267" t="n">
        <v>24.86</v>
      </c>
      <c r="N2267" t="n">
        <v>5052.7</v>
      </c>
      <c r="O2267" t="n">
        <v>4.25</v>
      </c>
      <c r="P2267" t="n">
        <v>8</v>
      </c>
      <c r="Q2267" t="n">
        <v>2</v>
      </c>
      <c r="R2267" t="n">
        <v>2023.12</v>
      </c>
      <c r="S2267" t="b">
        <v>0</v>
      </c>
      <c r="T2267" t="n">
        <v>815566</v>
      </c>
      <c r="U2267" t="n">
        <v>3</v>
      </c>
      <c r="V2267" t="n">
        <v>0.0363</v>
      </c>
      <c r="W2267" t="n">
        <v>1.7</v>
      </c>
      <c r="X2267" t="n">
        <v>73.73999999999999</v>
      </c>
      <c r="Y2267">
        <f>VLOOKUP(D2267,$AB$2:$AC$7,2,FALSE)</f>
        <v/>
      </c>
      <c r="Z2267">
        <f>IF(A2267&lt;Y2267,"Yes","No")</f>
        <v/>
      </c>
    </row>
    <row r="2268">
      <c r="A2268" t="n">
        <v>2021</v>
      </c>
      <c r="B2268" t="inlineStr">
        <is>
          <t>Q3</t>
        </is>
      </c>
      <c r="C2268" t="inlineStr">
        <is>
          <t>Australia</t>
        </is>
      </c>
      <c r="D2268" t="inlineStr">
        <is>
          <t>Model S</t>
        </is>
      </c>
      <c r="E2268" t="n">
        <v>493</v>
      </c>
      <c r="F2268" t="n">
        <v>114136.82</v>
      </c>
      <c r="G2268" t="n">
        <v>37</v>
      </c>
      <c r="H2268" t="inlineStr">
        <is>
          <t>Performance</t>
        </is>
      </c>
      <c r="I2268" t="inlineStr">
        <is>
          <t>AWD</t>
        </is>
      </c>
      <c r="J2268" t="inlineStr">
        <is>
          <t>Black</t>
        </is>
      </c>
      <c r="K2268" t="n">
        <v>676</v>
      </c>
      <c r="L2268" t="n">
        <v>75</v>
      </c>
      <c r="M2268" t="n">
        <v>19.85</v>
      </c>
      <c r="N2268" t="n">
        <v>595.89</v>
      </c>
      <c r="O2268" t="n">
        <v>3.53</v>
      </c>
      <c r="P2268" t="n">
        <v>5</v>
      </c>
      <c r="Q2268" t="n">
        <v>1</v>
      </c>
      <c r="R2268" t="n">
        <v>2023.11</v>
      </c>
      <c r="S2268" t="b">
        <v>0</v>
      </c>
      <c r="T2268" t="n">
        <v>3392378</v>
      </c>
      <c r="U2268" t="n">
        <v>10</v>
      </c>
      <c r="V2268" t="n">
        <v>0.0871</v>
      </c>
      <c r="W2268" t="n">
        <v>1.58</v>
      </c>
      <c r="X2268" t="n">
        <v>79.81</v>
      </c>
      <c r="Y2268">
        <f>VLOOKUP(D2268,$AB$2:$AC$7,2,FALSE)</f>
        <v/>
      </c>
      <c r="Z2268">
        <f>IF(A2268&lt;Y2268,"Yes","No")</f>
        <v/>
      </c>
    </row>
    <row r="2269">
      <c r="A2269" t="n">
        <v>2021</v>
      </c>
      <c r="B2269" t="inlineStr">
        <is>
          <t>Q3</t>
        </is>
      </c>
      <c r="C2269" t="inlineStr">
        <is>
          <t>Europe</t>
        </is>
      </c>
      <c r="D2269" t="inlineStr">
        <is>
          <t>Model S</t>
        </is>
      </c>
      <c r="E2269" t="n">
        <v>221</v>
      </c>
      <c r="F2269" t="n">
        <v>54463.01</v>
      </c>
      <c r="G2269" t="n">
        <v>60</v>
      </c>
      <c r="H2269" t="inlineStr">
        <is>
          <t>Long Range</t>
        </is>
      </c>
      <c r="I2269" t="inlineStr">
        <is>
          <t>RWD</t>
        </is>
      </c>
      <c r="J2269" t="inlineStr">
        <is>
          <t>Red</t>
        </is>
      </c>
      <c r="K2269" t="n">
        <v>678</v>
      </c>
      <c r="L2269" t="n">
        <v>44</v>
      </c>
      <c r="M2269" t="n">
        <v>24.95</v>
      </c>
      <c r="N2269" t="n">
        <v>498.68</v>
      </c>
      <c r="O2269" t="n">
        <v>4.87</v>
      </c>
      <c r="P2269" t="n">
        <v>6</v>
      </c>
      <c r="Q2269" t="n">
        <v>0</v>
      </c>
      <c r="R2269" t="n">
        <v>2020.5</v>
      </c>
      <c r="S2269" t="b">
        <v>1</v>
      </c>
      <c r="T2269" t="n">
        <v>429981</v>
      </c>
      <c r="U2269" t="n">
        <v>9</v>
      </c>
      <c r="V2269" t="n">
        <v>0.0998</v>
      </c>
      <c r="W2269" t="n">
        <v>1.25</v>
      </c>
      <c r="X2269" t="n">
        <v>62.86</v>
      </c>
      <c r="Y2269">
        <f>VLOOKUP(D2269,$AB$2:$AC$7,2,FALSE)</f>
        <v/>
      </c>
      <c r="Z2269">
        <f>IF(A2269&lt;Y2269,"Yes","No")</f>
        <v/>
      </c>
    </row>
    <row r="2270">
      <c r="A2270" t="n">
        <v>2024</v>
      </c>
      <c r="B2270" t="inlineStr">
        <is>
          <t>Q2</t>
        </is>
      </c>
      <c r="C2270" t="inlineStr">
        <is>
          <t>Europe</t>
        </is>
      </c>
      <c r="D2270" t="inlineStr">
        <is>
          <t>Model X</t>
        </is>
      </c>
      <c r="E2270" t="n">
        <v>1506</v>
      </c>
      <c r="F2270" t="n">
        <v>106328.19</v>
      </c>
      <c r="G2270" t="n">
        <v>18</v>
      </c>
      <c r="H2270" t="inlineStr">
        <is>
          <t>Performance</t>
        </is>
      </c>
      <c r="I2270" t="inlineStr">
        <is>
          <t>RWD</t>
        </is>
      </c>
      <c r="J2270" t="inlineStr">
        <is>
          <t>Blue</t>
        </is>
      </c>
      <c r="K2270" t="n">
        <v>573</v>
      </c>
      <c r="L2270" t="n">
        <v>33</v>
      </c>
      <c r="M2270" t="n">
        <v>15.98</v>
      </c>
      <c r="N2270" t="n">
        <v>3733.39</v>
      </c>
      <c r="O2270" t="n">
        <v>4.63</v>
      </c>
      <c r="P2270" t="n">
        <v>8</v>
      </c>
      <c r="Q2270" t="n">
        <v>0</v>
      </c>
      <c r="R2270" t="n">
        <v>2020.9</v>
      </c>
      <c r="S2270" t="b">
        <v>0</v>
      </c>
      <c r="T2270" t="n">
        <v>4858289</v>
      </c>
      <c r="U2270" t="n">
        <v>4</v>
      </c>
      <c r="V2270" t="n">
        <v>0.078</v>
      </c>
      <c r="W2270" t="n">
        <v>1.68</v>
      </c>
      <c r="X2270" t="n">
        <v>61.61</v>
      </c>
      <c r="Y2270">
        <f>VLOOKUP(D2270,$AB$2:$AC$7,2,FALSE)</f>
        <v/>
      </c>
      <c r="Z2270">
        <f>IF(A2270&lt;Y2270,"Yes","No")</f>
        <v/>
      </c>
    </row>
    <row r="2271">
      <c r="A2271" t="n">
        <v>2024</v>
      </c>
      <c r="B2271" t="inlineStr">
        <is>
          <t>Q3</t>
        </is>
      </c>
      <c r="C2271" t="inlineStr">
        <is>
          <t>Europe</t>
        </is>
      </c>
      <c r="D2271" t="inlineStr">
        <is>
          <t>Cybertruck</t>
        </is>
      </c>
      <c r="E2271" t="n">
        <v>3524</v>
      </c>
      <c r="F2271" t="n">
        <v>81133.39999999999</v>
      </c>
      <c r="G2271" t="n">
        <v>25</v>
      </c>
      <c r="H2271" t="inlineStr">
        <is>
          <t>Standard</t>
        </is>
      </c>
      <c r="I2271" t="inlineStr">
        <is>
          <t>AWD</t>
        </is>
      </c>
      <c r="J2271" t="inlineStr">
        <is>
          <t>Green</t>
        </is>
      </c>
      <c r="K2271" t="n">
        <v>640</v>
      </c>
      <c r="L2271" t="n">
        <v>58</v>
      </c>
      <c r="M2271" t="n">
        <v>17.93</v>
      </c>
      <c r="N2271" t="n">
        <v>4417.33</v>
      </c>
      <c r="O2271" t="n">
        <v>3.67</v>
      </c>
      <c r="P2271" t="n">
        <v>5</v>
      </c>
      <c r="Q2271" t="n">
        <v>2</v>
      </c>
      <c r="R2271" t="n">
        <v>2022.11</v>
      </c>
      <c r="S2271" t="b">
        <v>0</v>
      </c>
      <c r="T2271" t="n">
        <v>3489220</v>
      </c>
      <c r="U2271" t="n">
        <v>3</v>
      </c>
      <c r="V2271" t="n">
        <v>0.0994</v>
      </c>
      <c r="W2271" t="n">
        <v>1.94</v>
      </c>
      <c r="X2271" t="n">
        <v>89.61</v>
      </c>
      <c r="Y2271">
        <f>VLOOKUP(D2271,$AB$2:$AC$7,2,FALSE)</f>
        <v/>
      </c>
      <c r="Z2271">
        <f>IF(A2271&lt;Y2271,"Yes","No")</f>
        <v/>
      </c>
    </row>
    <row r="2272">
      <c r="A2272" t="n">
        <v>2013</v>
      </c>
      <c r="B2272" t="inlineStr">
        <is>
          <t>Q3</t>
        </is>
      </c>
      <c r="C2272" t="inlineStr">
        <is>
          <t>Europe</t>
        </is>
      </c>
      <c r="D2272" t="inlineStr">
        <is>
          <t>Semi</t>
        </is>
      </c>
      <c r="E2272" t="n">
        <v>4245</v>
      </c>
      <c r="F2272" t="n">
        <v>88289.14999999999</v>
      </c>
      <c r="G2272" t="n">
        <v>43</v>
      </c>
      <c r="H2272" t="inlineStr">
        <is>
          <t>Long Range</t>
        </is>
      </c>
      <c r="I2272" t="inlineStr">
        <is>
          <t>RWD</t>
        </is>
      </c>
      <c r="J2272" t="inlineStr">
        <is>
          <t>Black</t>
        </is>
      </c>
      <c r="K2272" t="n">
        <v>383</v>
      </c>
      <c r="L2272" t="n">
        <v>41</v>
      </c>
      <c r="M2272" t="n">
        <v>23.44</v>
      </c>
      <c r="N2272" t="n">
        <v>9867.52</v>
      </c>
      <c r="O2272" t="n">
        <v>3.55</v>
      </c>
      <c r="P2272" t="n">
        <v>6</v>
      </c>
      <c r="Q2272" t="n">
        <v>0</v>
      </c>
      <c r="R2272" t="n">
        <v>2022.1</v>
      </c>
      <c r="S2272" t="b">
        <v>1</v>
      </c>
      <c r="T2272" t="n">
        <v>1571110</v>
      </c>
      <c r="U2272" t="n">
        <v>6</v>
      </c>
      <c r="V2272" t="n">
        <v>0.0194</v>
      </c>
      <c r="W2272" t="n">
        <v>1.85</v>
      </c>
      <c r="X2272" t="n">
        <v>60.96</v>
      </c>
      <c r="Y2272">
        <f>VLOOKUP(D2272,$AB$2:$AC$7,2,FALSE)</f>
        <v/>
      </c>
      <c r="Z2272">
        <f>IF(A2272&lt;Y2272,"Yes","No")</f>
        <v/>
      </c>
    </row>
    <row r="2273">
      <c r="A2273" t="n">
        <v>2018</v>
      </c>
      <c r="B2273" t="inlineStr">
        <is>
          <t>Q3</t>
        </is>
      </c>
      <c r="C2273" t="inlineStr">
        <is>
          <t>Europe</t>
        </is>
      </c>
      <c r="D2273" t="inlineStr">
        <is>
          <t>Model 3</t>
        </is>
      </c>
      <c r="E2273" t="n">
        <v>4071</v>
      </c>
      <c r="F2273" t="n">
        <v>96440.99000000001</v>
      </c>
      <c r="G2273" t="n">
        <v>13</v>
      </c>
      <c r="H2273" t="inlineStr">
        <is>
          <t>Standard</t>
        </is>
      </c>
      <c r="I2273" t="inlineStr">
        <is>
          <t>AWD</t>
        </is>
      </c>
      <c r="J2273" t="inlineStr">
        <is>
          <t>White</t>
        </is>
      </c>
      <c r="K2273" t="n">
        <v>674</v>
      </c>
      <c r="L2273" t="n">
        <v>39</v>
      </c>
      <c r="M2273" t="n">
        <v>16.74</v>
      </c>
      <c r="N2273" t="n">
        <v>4415.86</v>
      </c>
      <c r="O2273" t="n">
        <v>4.44</v>
      </c>
      <c r="P2273" t="n">
        <v>4</v>
      </c>
      <c r="Q2273" t="n">
        <v>3</v>
      </c>
      <c r="R2273" t="n">
        <v>2023.3</v>
      </c>
      <c r="S2273" t="b">
        <v>1</v>
      </c>
      <c r="T2273" t="n">
        <v>4129258</v>
      </c>
      <c r="U2273" t="n">
        <v>9</v>
      </c>
      <c r="V2273" t="n">
        <v>0.0645</v>
      </c>
      <c r="W2273" t="n">
        <v>2.35</v>
      </c>
      <c r="X2273" t="n">
        <v>84.44</v>
      </c>
      <c r="Y2273">
        <f>VLOOKUP(D2273,$AB$2:$AC$7,2,FALSE)</f>
        <v/>
      </c>
      <c r="Z2273">
        <f>IF(A2273&lt;Y2273,"Yes","No")</f>
        <v/>
      </c>
    </row>
    <row r="2274">
      <c r="A2274" t="n">
        <v>2023</v>
      </c>
      <c r="B2274" t="inlineStr">
        <is>
          <t>Q3</t>
        </is>
      </c>
      <c r="C2274" t="inlineStr">
        <is>
          <t>Europe</t>
        </is>
      </c>
      <c r="D2274" t="inlineStr">
        <is>
          <t>Semi</t>
        </is>
      </c>
      <c r="E2274" t="n">
        <v>1505</v>
      </c>
      <c r="F2274" t="n">
        <v>43376.42</v>
      </c>
      <c r="G2274" t="n">
        <v>52</v>
      </c>
      <c r="H2274" t="inlineStr">
        <is>
          <t>Standard</t>
        </is>
      </c>
      <c r="I2274" t="inlineStr">
        <is>
          <t>RWD</t>
        </is>
      </c>
      <c r="J2274" t="inlineStr">
        <is>
          <t>Black</t>
        </is>
      </c>
      <c r="K2274" t="n">
        <v>603</v>
      </c>
      <c r="L2274" t="n">
        <v>87</v>
      </c>
      <c r="M2274" t="n">
        <v>16.21</v>
      </c>
      <c r="N2274" t="n">
        <v>3061.03</v>
      </c>
      <c r="O2274" t="n">
        <v>3.62</v>
      </c>
      <c r="P2274" t="n">
        <v>6</v>
      </c>
      <c r="Q2274" t="n">
        <v>0</v>
      </c>
      <c r="R2274" t="n">
        <v>2023.6</v>
      </c>
      <c r="S2274" t="b">
        <v>1</v>
      </c>
      <c r="T2274" t="n">
        <v>4213242</v>
      </c>
      <c r="U2274" t="n">
        <v>12</v>
      </c>
      <c r="V2274" t="n">
        <v>0.0611</v>
      </c>
      <c r="W2274" t="n">
        <v>0.97</v>
      </c>
      <c r="X2274" t="n">
        <v>66.75</v>
      </c>
      <c r="Y2274">
        <f>VLOOKUP(D2274,$AB$2:$AC$7,2,FALSE)</f>
        <v/>
      </c>
      <c r="Z2274">
        <f>IF(A2274&lt;Y2274,"Yes","No")</f>
        <v/>
      </c>
    </row>
    <row r="2275">
      <c r="A2275" t="n">
        <v>2016</v>
      </c>
      <c r="B2275" t="inlineStr">
        <is>
          <t>Q1</t>
        </is>
      </c>
      <c r="C2275" t="inlineStr">
        <is>
          <t>Asia</t>
        </is>
      </c>
      <c r="D2275" t="inlineStr">
        <is>
          <t>Cybertruck</t>
        </is>
      </c>
      <c r="E2275" t="n">
        <v>3240</v>
      </c>
      <c r="F2275" t="n">
        <v>104399.92</v>
      </c>
      <c r="G2275" t="n">
        <v>39</v>
      </c>
      <c r="H2275" t="inlineStr">
        <is>
          <t>Long Range</t>
        </is>
      </c>
      <c r="I2275" t="inlineStr">
        <is>
          <t>RWD</t>
        </is>
      </c>
      <c r="J2275" t="inlineStr">
        <is>
          <t>Red</t>
        </is>
      </c>
      <c r="K2275" t="n">
        <v>662</v>
      </c>
      <c r="L2275" t="n">
        <v>55</v>
      </c>
      <c r="M2275" t="n">
        <v>17.71</v>
      </c>
      <c r="N2275" t="n">
        <v>4739.62</v>
      </c>
      <c r="O2275" t="n">
        <v>3.91</v>
      </c>
      <c r="P2275" t="n">
        <v>8</v>
      </c>
      <c r="Q2275" t="n">
        <v>0</v>
      </c>
      <c r="R2275" t="n">
        <v>2023.6</v>
      </c>
      <c r="S2275" t="b">
        <v>0</v>
      </c>
      <c r="T2275" t="n">
        <v>4356729</v>
      </c>
      <c r="U2275" t="n">
        <v>8</v>
      </c>
      <c r="V2275" t="n">
        <v>0.0247</v>
      </c>
      <c r="W2275" t="n">
        <v>2.04</v>
      </c>
      <c r="X2275" t="n">
        <v>85.43000000000001</v>
      </c>
      <c r="Y2275">
        <f>VLOOKUP(D2275,$AB$2:$AC$7,2,FALSE)</f>
        <v/>
      </c>
      <c r="Z2275">
        <f>IF(A2275&lt;Y2275,"Yes","No")</f>
        <v/>
      </c>
    </row>
    <row r="2276">
      <c r="A2276" t="n">
        <v>2019</v>
      </c>
      <c r="B2276" t="inlineStr">
        <is>
          <t>Q3</t>
        </is>
      </c>
      <c r="C2276" t="inlineStr">
        <is>
          <t>Australia</t>
        </is>
      </c>
      <c r="D2276" t="inlineStr">
        <is>
          <t>Model Y</t>
        </is>
      </c>
      <c r="E2276" t="n">
        <v>840</v>
      </c>
      <c r="F2276" t="n">
        <v>92467.99000000001</v>
      </c>
      <c r="G2276" t="n">
        <v>29</v>
      </c>
      <c r="H2276" t="inlineStr">
        <is>
          <t>Standard</t>
        </is>
      </c>
      <c r="I2276" t="inlineStr">
        <is>
          <t>AWD</t>
        </is>
      </c>
      <c r="J2276" t="inlineStr">
        <is>
          <t>Red</t>
        </is>
      </c>
      <c r="K2276" t="n">
        <v>644</v>
      </c>
      <c r="L2276" t="n">
        <v>67</v>
      </c>
      <c r="M2276" t="n">
        <v>19.85</v>
      </c>
      <c r="N2276" t="n">
        <v>747.55</v>
      </c>
      <c r="O2276" t="n">
        <v>4.54</v>
      </c>
      <c r="P2276" t="n">
        <v>4</v>
      </c>
      <c r="Q2276" t="n">
        <v>3</v>
      </c>
      <c r="R2276" t="n">
        <v>2023.12</v>
      </c>
      <c r="S2276" t="b">
        <v>0</v>
      </c>
      <c r="T2276" t="n">
        <v>108733</v>
      </c>
      <c r="U2276" t="n">
        <v>12</v>
      </c>
      <c r="V2276" t="n">
        <v>0.0876</v>
      </c>
      <c r="W2276" t="n">
        <v>2.46</v>
      </c>
      <c r="X2276" t="n">
        <v>79.11</v>
      </c>
      <c r="Y2276">
        <f>VLOOKUP(D2276,$AB$2:$AC$7,2,FALSE)</f>
        <v/>
      </c>
      <c r="Z2276">
        <f>IF(A2276&lt;Y2276,"Yes","No")</f>
        <v/>
      </c>
    </row>
    <row r="2277">
      <c r="A2277" t="n">
        <v>2012</v>
      </c>
      <c r="B2277" t="inlineStr">
        <is>
          <t>Q2</t>
        </is>
      </c>
      <c r="C2277" t="inlineStr">
        <is>
          <t>Europe</t>
        </is>
      </c>
      <c r="D2277" t="inlineStr">
        <is>
          <t>Semi</t>
        </is>
      </c>
      <c r="E2277" t="n">
        <v>3642</v>
      </c>
      <c r="F2277" t="n">
        <v>84080.78</v>
      </c>
      <c r="G2277" t="n">
        <v>27</v>
      </c>
      <c r="H2277" t="inlineStr">
        <is>
          <t>Standard</t>
        </is>
      </c>
      <c r="I2277" t="inlineStr">
        <is>
          <t>RWD</t>
        </is>
      </c>
      <c r="J2277" t="inlineStr">
        <is>
          <t>White</t>
        </is>
      </c>
      <c r="K2277" t="n">
        <v>522</v>
      </c>
      <c r="L2277" t="n">
        <v>41</v>
      </c>
      <c r="M2277" t="n">
        <v>18.31</v>
      </c>
      <c r="N2277" t="n">
        <v>9035.23</v>
      </c>
      <c r="O2277" t="n">
        <v>3.94</v>
      </c>
      <c r="P2277" t="n">
        <v>5</v>
      </c>
      <c r="Q2277" t="n">
        <v>0</v>
      </c>
      <c r="R2277" t="n">
        <v>2020.4</v>
      </c>
      <c r="S2277" t="b">
        <v>0</v>
      </c>
      <c r="T2277" t="n">
        <v>4300273</v>
      </c>
      <c r="U2277" t="n">
        <v>12</v>
      </c>
      <c r="V2277" t="n">
        <v>0.0779</v>
      </c>
      <c r="W2277" t="n">
        <v>1.34</v>
      </c>
      <c r="X2277" t="n">
        <v>83.48999999999999</v>
      </c>
      <c r="Y2277">
        <f>VLOOKUP(D2277,$AB$2:$AC$7,2,FALSE)</f>
        <v/>
      </c>
      <c r="Z2277">
        <f>IF(A2277&lt;Y2277,"Yes","No")</f>
        <v/>
      </c>
    </row>
    <row r="2278">
      <c r="A2278" t="n">
        <v>2016</v>
      </c>
      <c r="B2278" t="inlineStr">
        <is>
          <t>Q4</t>
        </is>
      </c>
      <c r="C2278" t="inlineStr">
        <is>
          <t>Asia</t>
        </is>
      </c>
      <c r="D2278" t="inlineStr">
        <is>
          <t>Cybertruck</t>
        </is>
      </c>
      <c r="E2278" t="n">
        <v>2569</v>
      </c>
      <c r="F2278" t="n">
        <v>97711.89</v>
      </c>
      <c r="G2278" t="n">
        <v>5</v>
      </c>
      <c r="H2278" t="inlineStr">
        <is>
          <t>Performance</t>
        </is>
      </c>
      <c r="I2278" t="inlineStr">
        <is>
          <t>RWD</t>
        </is>
      </c>
      <c r="J2278" t="inlineStr">
        <is>
          <t>Silver</t>
        </is>
      </c>
      <c r="K2278" t="n">
        <v>680</v>
      </c>
      <c r="L2278" t="n">
        <v>76</v>
      </c>
      <c r="M2278" t="n">
        <v>22.88</v>
      </c>
      <c r="N2278" t="n">
        <v>2846.6</v>
      </c>
      <c r="O2278" t="n">
        <v>4.48</v>
      </c>
      <c r="P2278" t="n">
        <v>8</v>
      </c>
      <c r="Q2278" t="n">
        <v>2</v>
      </c>
      <c r="R2278" t="n">
        <v>2024.12</v>
      </c>
      <c r="S2278" t="b">
        <v>1</v>
      </c>
      <c r="T2278" t="n">
        <v>1596663</v>
      </c>
      <c r="U2278" t="n">
        <v>2</v>
      </c>
      <c r="V2278" t="n">
        <v>0.0289</v>
      </c>
      <c r="W2278" t="n">
        <v>1.66</v>
      </c>
      <c r="X2278" t="n">
        <v>65.01000000000001</v>
      </c>
      <c r="Y2278">
        <f>VLOOKUP(D2278,$AB$2:$AC$7,2,FALSE)</f>
        <v/>
      </c>
      <c r="Z2278">
        <f>IF(A2278&lt;Y2278,"Yes","No")</f>
        <v/>
      </c>
    </row>
    <row r="2279">
      <c r="A2279" t="n">
        <v>2020</v>
      </c>
      <c r="B2279" t="inlineStr">
        <is>
          <t>Q4</t>
        </is>
      </c>
      <c r="C2279" t="inlineStr">
        <is>
          <t>South America</t>
        </is>
      </c>
      <c r="D2279" t="inlineStr">
        <is>
          <t>Model Y</t>
        </is>
      </c>
      <c r="E2279" t="n">
        <v>259</v>
      </c>
      <c r="F2279" t="n">
        <v>90094.64999999999</v>
      </c>
      <c r="G2279" t="n">
        <v>13</v>
      </c>
      <c r="H2279" t="inlineStr">
        <is>
          <t>Long Range</t>
        </is>
      </c>
      <c r="I2279" t="inlineStr">
        <is>
          <t>RWD</t>
        </is>
      </c>
      <c r="J2279" t="inlineStr">
        <is>
          <t>White</t>
        </is>
      </c>
      <c r="K2279" t="n">
        <v>601</v>
      </c>
      <c r="L2279" t="n">
        <v>64</v>
      </c>
      <c r="M2279" t="n">
        <v>17.42</v>
      </c>
      <c r="N2279" t="n">
        <v>574.26</v>
      </c>
      <c r="O2279" t="n">
        <v>3.99</v>
      </c>
      <c r="P2279" t="n">
        <v>8</v>
      </c>
      <c r="Q2279" t="n">
        <v>2</v>
      </c>
      <c r="R2279" t="n">
        <v>2021.1</v>
      </c>
      <c r="S2279" t="b">
        <v>1</v>
      </c>
      <c r="T2279" t="n">
        <v>2286582</v>
      </c>
      <c r="U2279" t="n">
        <v>8</v>
      </c>
      <c r="V2279" t="n">
        <v>0.0359</v>
      </c>
      <c r="W2279" t="n">
        <v>0.54</v>
      </c>
      <c r="X2279" t="n">
        <v>75.16</v>
      </c>
      <c r="Y2279">
        <f>VLOOKUP(D2279,$AB$2:$AC$7,2,FALSE)</f>
        <v/>
      </c>
      <c r="Z2279">
        <f>IF(A2279&lt;Y2279,"Yes","No")</f>
        <v/>
      </c>
    </row>
    <row r="2280">
      <c r="A2280" t="n">
        <v>2015</v>
      </c>
      <c r="B2280" t="inlineStr">
        <is>
          <t>Q2</t>
        </is>
      </c>
      <c r="C2280" t="inlineStr">
        <is>
          <t>Europe</t>
        </is>
      </c>
      <c r="D2280" t="inlineStr">
        <is>
          <t>Model 3</t>
        </is>
      </c>
      <c r="E2280" t="n">
        <v>2884</v>
      </c>
      <c r="F2280" t="n">
        <v>118169.49</v>
      </c>
      <c r="G2280" t="n">
        <v>23</v>
      </c>
      <c r="H2280" t="inlineStr">
        <is>
          <t>Standard</t>
        </is>
      </c>
      <c r="I2280" t="inlineStr">
        <is>
          <t>RWD</t>
        </is>
      </c>
      <c r="J2280" t="inlineStr">
        <is>
          <t>Red</t>
        </is>
      </c>
      <c r="K2280" t="n">
        <v>420</v>
      </c>
      <c r="L2280" t="n">
        <v>40</v>
      </c>
      <c r="M2280" t="n">
        <v>18.06</v>
      </c>
      <c r="N2280" t="n">
        <v>3206.48</v>
      </c>
      <c r="O2280" t="n">
        <v>3.86</v>
      </c>
      <c r="P2280" t="n">
        <v>6</v>
      </c>
      <c r="Q2280" t="n">
        <v>0</v>
      </c>
      <c r="R2280" t="n">
        <v>2024.5</v>
      </c>
      <c r="S2280" t="b">
        <v>0</v>
      </c>
      <c r="T2280" t="n">
        <v>3202679</v>
      </c>
      <c r="U2280" t="n">
        <v>12</v>
      </c>
      <c r="V2280" t="n">
        <v>0.068</v>
      </c>
      <c r="W2280" t="n">
        <v>0.96</v>
      </c>
      <c r="X2280" t="n">
        <v>68.59</v>
      </c>
      <c r="Y2280">
        <f>VLOOKUP(D2280,$AB$2:$AC$7,2,FALSE)</f>
        <v/>
      </c>
      <c r="Z2280">
        <f>IF(A2280&lt;Y2280,"Yes","No")</f>
        <v/>
      </c>
    </row>
    <row r="2281">
      <c r="A2281" t="n">
        <v>2021</v>
      </c>
      <c r="B2281" t="inlineStr">
        <is>
          <t>Q2</t>
        </is>
      </c>
      <c r="C2281" t="inlineStr">
        <is>
          <t>Australia</t>
        </is>
      </c>
      <c r="D2281" t="inlineStr">
        <is>
          <t>Model Y</t>
        </is>
      </c>
      <c r="E2281" t="n">
        <v>1502</v>
      </c>
      <c r="F2281" t="n">
        <v>47366.53</v>
      </c>
      <c r="G2281" t="n">
        <v>42</v>
      </c>
      <c r="H2281" t="inlineStr">
        <is>
          <t>Long Range</t>
        </is>
      </c>
      <c r="I2281" t="inlineStr">
        <is>
          <t>RWD</t>
        </is>
      </c>
      <c r="J2281" t="inlineStr">
        <is>
          <t>Blue</t>
        </is>
      </c>
      <c r="K2281" t="n">
        <v>569</v>
      </c>
      <c r="L2281" t="n">
        <v>30</v>
      </c>
      <c r="M2281" t="n">
        <v>15.42</v>
      </c>
      <c r="N2281" t="n">
        <v>2419.53</v>
      </c>
      <c r="O2281" t="n">
        <v>4.71</v>
      </c>
      <c r="P2281" t="n">
        <v>4</v>
      </c>
      <c r="Q2281" t="n">
        <v>3</v>
      </c>
      <c r="R2281" t="n">
        <v>2020.1</v>
      </c>
      <c r="S2281" t="b">
        <v>1</v>
      </c>
      <c r="T2281" t="n">
        <v>1312053</v>
      </c>
      <c r="U2281" t="n">
        <v>6</v>
      </c>
      <c r="V2281" t="n">
        <v>0.0385</v>
      </c>
      <c r="W2281" t="n">
        <v>2.05</v>
      </c>
      <c r="X2281" t="n">
        <v>81.48</v>
      </c>
      <c r="Y2281">
        <f>VLOOKUP(D2281,$AB$2:$AC$7,2,FALSE)</f>
        <v/>
      </c>
      <c r="Z2281">
        <f>IF(A2281&lt;Y2281,"Yes","No")</f>
        <v/>
      </c>
    </row>
    <row r="2282">
      <c r="A2282" t="n">
        <v>2022</v>
      </c>
      <c r="B2282" t="inlineStr">
        <is>
          <t>Q4</t>
        </is>
      </c>
      <c r="C2282" t="inlineStr">
        <is>
          <t>Asia</t>
        </is>
      </c>
      <c r="D2282" t="inlineStr">
        <is>
          <t>Model S</t>
        </is>
      </c>
      <c r="E2282" t="n">
        <v>3816</v>
      </c>
      <c r="F2282" t="n">
        <v>90695.62</v>
      </c>
      <c r="G2282" t="n">
        <v>15</v>
      </c>
      <c r="H2282" t="inlineStr">
        <is>
          <t>Performance</t>
        </is>
      </c>
      <c r="I2282" t="inlineStr">
        <is>
          <t>RWD</t>
        </is>
      </c>
      <c r="J2282" t="inlineStr">
        <is>
          <t>Silver</t>
        </is>
      </c>
      <c r="K2282" t="n">
        <v>594</v>
      </c>
      <c r="L2282" t="n">
        <v>68</v>
      </c>
      <c r="M2282" t="n">
        <v>15.94</v>
      </c>
      <c r="N2282" t="n">
        <v>8573.59</v>
      </c>
      <c r="O2282" t="n">
        <v>4.67</v>
      </c>
      <c r="P2282" t="n">
        <v>5</v>
      </c>
      <c r="Q2282" t="n">
        <v>1</v>
      </c>
      <c r="R2282" t="n">
        <v>2021.9</v>
      </c>
      <c r="S2282" t="b">
        <v>1</v>
      </c>
      <c r="T2282" t="n">
        <v>1743486</v>
      </c>
      <c r="U2282" t="n">
        <v>10</v>
      </c>
      <c r="V2282" t="n">
        <v>0.0501</v>
      </c>
      <c r="W2282" t="n">
        <v>1.36</v>
      </c>
      <c r="X2282" t="n">
        <v>75.37</v>
      </c>
      <c r="Y2282">
        <f>VLOOKUP(D2282,$AB$2:$AC$7,2,FALSE)</f>
        <v/>
      </c>
      <c r="Z2282">
        <f>IF(A2282&lt;Y2282,"Yes","No")</f>
        <v/>
      </c>
    </row>
    <row r="2283">
      <c r="A2283" t="n">
        <v>2020</v>
      </c>
      <c r="B2283" t="inlineStr">
        <is>
          <t>Q4</t>
        </is>
      </c>
      <c r="C2283" t="inlineStr">
        <is>
          <t>South America</t>
        </is>
      </c>
      <c r="D2283" t="inlineStr">
        <is>
          <t>Cybertruck</t>
        </is>
      </c>
      <c r="E2283" t="n">
        <v>4386</v>
      </c>
      <c r="F2283" t="n">
        <v>47720.41</v>
      </c>
      <c r="G2283" t="n">
        <v>32</v>
      </c>
      <c r="H2283" t="inlineStr">
        <is>
          <t>Standard</t>
        </is>
      </c>
      <c r="I2283" t="inlineStr">
        <is>
          <t>RWD</t>
        </is>
      </c>
      <c r="J2283" t="inlineStr">
        <is>
          <t>Black</t>
        </is>
      </c>
      <c r="K2283" t="n">
        <v>635</v>
      </c>
      <c r="L2283" t="n">
        <v>85</v>
      </c>
      <c r="M2283" t="n">
        <v>21.64</v>
      </c>
      <c r="N2283" t="n">
        <v>10673.46</v>
      </c>
      <c r="O2283" t="n">
        <v>3.65</v>
      </c>
      <c r="P2283" t="n">
        <v>8</v>
      </c>
      <c r="Q2283" t="n">
        <v>2</v>
      </c>
      <c r="R2283" t="n">
        <v>2021.12</v>
      </c>
      <c r="S2283" t="b">
        <v>1</v>
      </c>
      <c r="T2283" t="n">
        <v>2192745</v>
      </c>
      <c r="U2283" t="n">
        <v>7</v>
      </c>
      <c r="V2283" t="n">
        <v>0.0133</v>
      </c>
      <c r="W2283" t="n">
        <v>2.12</v>
      </c>
      <c r="X2283" t="n">
        <v>79.05</v>
      </c>
      <c r="Y2283">
        <f>VLOOKUP(D2283,$AB$2:$AC$7,2,FALSE)</f>
        <v/>
      </c>
      <c r="Z2283">
        <f>IF(A2283&lt;Y2283,"Yes","No")</f>
        <v/>
      </c>
    </row>
    <row r="2284">
      <c r="A2284" t="n">
        <v>2023</v>
      </c>
      <c r="B2284" t="inlineStr">
        <is>
          <t>Q2</t>
        </is>
      </c>
      <c r="C2284" t="inlineStr">
        <is>
          <t>Australia</t>
        </is>
      </c>
      <c r="D2284" t="inlineStr">
        <is>
          <t>Cybertruck</t>
        </is>
      </c>
      <c r="E2284" t="n">
        <v>4068</v>
      </c>
      <c r="F2284" t="n">
        <v>54791.76</v>
      </c>
      <c r="G2284" t="n">
        <v>40</v>
      </c>
      <c r="H2284" t="inlineStr">
        <is>
          <t>Long Range</t>
        </is>
      </c>
      <c r="I2284" t="inlineStr">
        <is>
          <t>AWD</t>
        </is>
      </c>
      <c r="J2284" t="inlineStr">
        <is>
          <t>Red</t>
        </is>
      </c>
      <c r="K2284" t="n">
        <v>646</v>
      </c>
      <c r="L2284" t="n">
        <v>68</v>
      </c>
      <c r="M2284" t="n">
        <v>19.27</v>
      </c>
      <c r="N2284" t="n">
        <v>5100.46</v>
      </c>
      <c r="O2284" t="n">
        <v>4.27</v>
      </c>
      <c r="P2284" t="n">
        <v>8</v>
      </c>
      <c r="Q2284" t="n">
        <v>0</v>
      </c>
      <c r="R2284" t="n">
        <v>2021.4</v>
      </c>
      <c r="S2284" t="b">
        <v>0</v>
      </c>
      <c r="T2284" t="n">
        <v>1580670</v>
      </c>
      <c r="U2284" t="n">
        <v>11</v>
      </c>
      <c r="V2284" t="n">
        <v>0.09180000000000001</v>
      </c>
      <c r="W2284" t="n">
        <v>2.06</v>
      </c>
      <c r="X2284" t="n">
        <v>81.73999999999999</v>
      </c>
      <c r="Y2284">
        <f>VLOOKUP(D2284,$AB$2:$AC$7,2,FALSE)</f>
        <v/>
      </c>
      <c r="Z2284">
        <f>IF(A2284&lt;Y2284,"Yes","No")</f>
        <v/>
      </c>
    </row>
    <row r="2285">
      <c r="A2285" t="n">
        <v>2012</v>
      </c>
      <c r="B2285" t="inlineStr">
        <is>
          <t>Q4</t>
        </is>
      </c>
      <c r="C2285" t="inlineStr">
        <is>
          <t>Australia</t>
        </is>
      </c>
      <c r="D2285" t="inlineStr">
        <is>
          <t>Model 3</t>
        </is>
      </c>
      <c r="E2285" t="n">
        <v>1313</v>
      </c>
      <c r="F2285" t="n">
        <v>69707.67999999999</v>
      </c>
      <c r="G2285" t="n">
        <v>40</v>
      </c>
      <c r="H2285" t="inlineStr">
        <is>
          <t>Long Range</t>
        </is>
      </c>
      <c r="I2285" t="inlineStr">
        <is>
          <t>AWD</t>
        </is>
      </c>
      <c r="J2285" t="inlineStr">
        <is>
          <t>Silver</t>
        </is>
      </c>
      <c r="K2285" t="n">
        <v>395</v>
      </c>
      <c r="L2285" t="n">
        <v>87</v>
      </c>
      <c r="M2285" t="n">
        <v>13.68</v>
      </c>
      <c r="N2285" t="n">
        <v>1717.82</v>
      </c>
      <c r="O2285" t="n">
        <v>4.19</v>
      </c>
      <c r="P2285" t="n">
        <v>8</v>
      </c>
      <c r="Q2285" t="n">
        <v>3</v>
      </c>
      <c r="R2285" t="n">
        <v>2023.11</v>
      </c>
      <c r="S2285" t="b">
        <v>1</v>
      </c>
      <c r="T2285" t="n">
        <v>4144571</v>
      </c>
      <c r="U2285" t="n">
        <v>3</v>
      </c>
      <c r="V2285" t="n">
        <v>0.0579</v>
      </c>
      <c r="W2285" t="n">
        <v>0.64</v>
      </c>
      <c r="X2285" t="n">
        <v>78.26000000000001</v>
      </c>
      <c r="Y2285">
        <f>VLOOKUP(D2285,$AB$2:$AC$7,2,FALSE)</f>
        <v/>
      </c>
      <c r="Z2285">
        <f>IF(A2285&lt;Y2285,"Yes","No")</f>
        <v/>
      </c>
    </row>
    <row r="2286">
      <c r="A2286" t="n">
        <v>2017</v>
      </c>
      <c r="B2286" t="inlineStr">
        <is>
          <t>Q4</t>
        </is>
      </c>
      <c r="C2286" t="inlineStr">
        <is>
          <t>Asia</t>
        </is>
      </c>
      <c r="D2286" t="inlineStr">
        <is>
          <t>Model Y</t>
        </is>
      </c>
      <c r="E2286" t="n">
        <v>4157</v>
      </c>
      <c r="F2286" t="n">
        <v>115717.74</v>
      </c>
      <c r="G2286" t="n">
        <v>36</v>
      </c>
      <c r="H2286" t="inlineStr">
        <is>
          <t>Performance</t>
        </is>
      </c>
      <c r="I2286" t="inlineStr">
        <is>
          <t>AWD</t>
        </is>
      </c>
      <c r="J2286" t="inlineStr">
        <is>
          <t>Black</t>
        </is>
      </c>
      <c r="K2286" t="n">
        <v>366</v>
      </c>
      <c r="L2286" t="n">
        <v>53</v>
      </c>
      <c r="M2286" t="n">
        <v>15.59</v>
      </c>
      <c r="N2286" t="n">
        <v>6118.34</v>
      </c>
      <c r="O2286" t="n">
        <v>3.56</v>
      </c>
      <c r="P2286" t="n">
        <v>8</v>
      </c>
      <c r="Q2286" t="n">
        <v>1</v>
      </c>
      <c r="R2286" t="n">
        <v>2022.3</v>
      </c>
      <c r="S2286" t="b">
        <v>0</v>
      </c>
      <c r="T2286" t="n">
        <v>1084392</v>
      </c>
      <c r="U2286" t="n">
        <v>2</v>
      </c>
      <c r="V2286" t="n">
        <v>0.0738</v>
      </c>
      <c r="W2286" t="n">
        <v>0.98</v>
      </c>
      <c r="X2286" t="n">
        <v>68.39</v>
      </c>
      <c r="Y2286">
        <f>VLOOKUP(D2286,$AB$2:$AC$7,2,FALSE)</f>
        <v/>
      </c>
      <c r="Z2286">
        <f>IF(A2286&lt;Y2286,"Yes","No")</f>
        <v/>
      </c>
    </row>
    <row r="2287">
      <c r="A2287" t="n">
        <v>2020</v>
      </c>
      <c r="B2287" t="inlineStr">
        <is>
          <t>Q4</t>
        </is>
      </c>
      <c r="C2287" t="inlineStr">
        <is>
          <t>Australia</t>
        </is>
      </c>
      <c r="D2287" t="inlineStr">
        <is>
          <t>Model 3</t>
        </is>
      </c>
      <c r="E2287" t="n">
        <v>3241</v>
      </c>
      <c r="F2287" t="n">
        <v>64765.64</v>
      </c>
      <c r="G2287" t="n">
        <v>33</v>
      </c>
      <c r="H2287" t="inlineStr">
        <is>
          <t>Performance</t>
        </is>
      </c>
      <c r="I2287" t="inlineStr">
        <is>
          <t>RWD</t>
        </is>
      </c>
      <c r="J2287" t="inlineStr">
        <is>
          <t>Silver</t>
        </is>
      </c>
      <c r="K2287" t="n">
        <v>406</v>
      </c>
      <c r="L2287" t="n">
        <v>69</v>
      </c>
      <c r="M2287" t="n">
        <v>19.44</v>
      </c>
      <c r="N2287" t="n">
        <v>4270.71</v>
      </c>
      <c r="O2287" t="n">
        <v>4.09</v>
      </c>
      <c r="P2287" t="n">
        <v>5</v>
      </c>
      <c r="Q2287" t="n">
        <v>1</v>
      </c>
      <c r="R2287" t="n">
        <v>2024.5</v>
      </c>
      <c r="S2287" t="b">
        <v>1</v>
      </c>
      <c r="T2287" t="n">
        <v>3457256</v>
      </c>
      <c r="U2287" t="n">
        <v>5</v>
      </c>
      <c r="V2287" t="n">
        <v>0.095</v>
      </c>
      <c r="W2287" t="n">
        <v>2.44</v>
      </c>
      <c r="X2287" t="n">
        <v>65.47</v>
      </c>
      <c r="Y2287">
        <f>VLOOKUP(D2287,$AB$2:$AC$7,2,FALSE)</f>
        <v/>
      </c>
      <c r="Z2287">
        <f>IF(A2287&lt;Y2287,"Yes","No")</f>
        <v/>
      </c>
    </row>
    <row r="2288">
      <c r="A2288" t="n">
        <v>2019</v>
      </c>
      <c r="B2288" t="inlineStr">
        <is>
          <t>Q4</t>
        </is>
      </c>
      <c r="C2288" t="inlineStr">
        <is>
          <t>Europe</t>
        </is>
      </c>
      <c r="D2288" t="inlineStr">
        <is>
          <t>Cybertruck</t>
        </is>
      </c>
      <c r="E2288" t="n">
        <v>4561</v>
      </c>
      <c r="F2288" t="n">
        <v>64600.41</v>
      </c>
      <c r="G2288" t="n">
        <v>48</v>
      </c>
      <c r="H2288" t="inlineStr">
        <is>
          <t>Standard</t>
        </is>
      </c>
      <c r="I2288" t="inlineStr">
        <is>
          <t>RWD</t>
        </is>
      </c>
      <c r="J2288" t="inlineStr">
        <is>
          <t>Green</t>
        </is>
      </c>
      <c r="K2288" t="n">
        <v>617</v>
      </c>
      <c r="L2288" t="n">
        <v>50</v>
      </c>
      <c r="M2288" t="n">
        <v>13.41</v>
      </c>
      <c r="N2288" t="n">
        <v>6522.91</v>
      </c>
      <c r="O2288" t="n">
        <v>4.33</v>
      </c>
      <c r="P2288" t="n">
        <v>6</v>
      </c>
      <c r="Q2288" t="n">
        <v>1</v>
      </c>
      <c r="R2288" t="n">
        <v>2024.11</v>
      </c>
      <c r="S2288" t="b">
        <v>0</v>
      </c>
      <c r="T2288" t="n">
        <v>4501257</v>
      </c>
      <c r="U2288" t="n">
        <v>2</v>
      </c>
      <c r="V2288" t="n">
        <v>0.0124</v>
      </c>
      <c r="W2288" t="n">
        <v>1.74</v>
      </c>
      <c r="X2288" t="n">
        <v>77.66</v>
      </c>
      <c r="Y2288">
        <f>VLOOKUP(D2288,$AB$2:$AC$7,2,FALSE)</f>
        <v/>
      </c>
      <c r="Z2288">
        <f>IF(A2288&lt;Y2288,"Yes","No")</f>
        <v/>
      </c>
    </row>
    <row r="2289">
      <c r="A2289" t="n">
        <v>2020</v>
      </c>
      <c r="B2289" t="inlineStr">
        <is>
          <t>Q4</t>
        </is>
      </c>
      <c r="C2289" t="inlineStr">
        <is>
          <t>Australia</t>
        </is>
      </c>
      <c r="D2289" t="inlineStr">
        <is>
          <t>Semi</t>
        </is>
      </c>
      <c r="E2289" t="n">
        <v>4706</v>
      </c>
      <c r="F2289" t="n">
        <v>48688.96</v>
      </c>
      <c r="G2289" t="n">
        <v>44</v>
      </c>
      <c r="H2289" t="inlineStr">
        <is>
          <t>Long Range</t>
        </is>
      </c>
      <c r="I2289" t="inlineStr">
        <is>
          <t>RWD</t>
        </is>
      </c>
      <c r="J2289" t="inlineStr">
        <is>
          <t>Green</t>
        </is>
      </c>
      <c r="K2289" t="n">
        <v>358</v>
      </c>
      <c r="L2289" t="n">
        <v>89</v>
      </c>
      <c r="M2289" t="n">
        <v>16.92</v>
      </c>
      <c r="N2289" t="n">
        <v>10553.05</v>
      </c>
      <c r="O2289" t="n">
        <v>4.42</v>
      </c>
      <c r="P2289" t="n">
        <v>6</v>
      </c>
      <c r="Q2289" t="n">
        <v>3</v>
      </c>
      <c r="R2289" t="n">
        <v>2021.6</v>
      </c>
      <c r="S2289" t="b">
        <v>0</v>
      </c>
      <c r="T2289" t="n">
        <v>3243273</v>
      </c>
      <c r="U2289" t="n">
        <v>6</v>
      </c>
      <c r="V2289" t="n">
        <v>0.0303</v>
      </c>
      <c r="W2289" t="n">
        <v>1.07</v>
      </c>
      <c r="X2289" t="n">
        <v>83.84999999999999</v>
      </c>
      <c r="Y2289">
        <f>VLOOKUP(D2289,$AB$2:$AC$7,2,FALSE)</f>
        <v/>
      </c>
      <c r="Z2289">
        <f>IF(A2289&lt;Y2289,"Yes","No")</f>
        <v/>
      </c>
    </row>
    <row r="2290">
      <c r="A2290" t="n">
        <v>2015</v>
      </c>
      <c r="B2290" t="inlineStr">
        <is>
          <t>Q4</t>
        </is>
      </c>
      <c r="C2290" t="inlineStr">
        <is>
          <t>Asia</t>
        </is>
      </c>
      <c r="D2290" t="inlineStr">
        <is>
          <t>Cybertruck</t>
        </is>
      </c>
      <c r="E2290" t="n">
        <v>4681</v>
      </c>
      <c r="F2290" t="n">
        <v>68298.86</v>
      </c>
      <c r="G2290" t="n">
        <v>45</v>
      </c>
      <c r="H2290" t="inlineStr">
        <is>
          <t>Standard</t>
        </is>
      </c>
      <c r="I2290" t="inlineStr">
        <is>
          <t>RWD</t>
        </is>
      </c>
      <c r="J2290" t="inlineStr">
        <is>
          <t>Blue</t>
        </is>
      </c>
      <c r="K2290" t="n">
        <v>643</v>
      </c>
      <c r="L2290" t="n">
        <v>68</v>
      </c>
      <c r="M2290" t="n">
        <v>20.63</v>
      </c>
      <c r="N2290" t="n">
        <v>6614.48</v>
      </c>
      <c r="O2290" t="n">
        <v>3.72</v>
      </c>
      <c r="P2290" t="n">
        <v>5</v>
      </c>
      <c r="Q2290" t="n">
        <v>3</v>
      </c>
      <c r="R2290" t="n">
        <v>2022.7</v>
      </c>
      <c r="S2290" t="b">
        <v>1</v>
      </c>
      <c r="T2290" t="n">
        <v>2815832</v>
      </c>
      <c r="U2290" t="n">
        <v>5</v>
      </c>
      <c r="V2290" t="n">
        <v>0.0313</v>
      </c>
      <c r="W2290" t="n">
        <v>0.57</v>
      </c>
      <c r="X2290" t="n">
        <v>64.43000000000001</v>
      </c>
      <c r="Y2290">
        <f>VLOOKUP(D2290,$AB$2:$AC$7,2,FALSE)</f>
        <v/>
      </c>
      <c r="Z2290">
        <f>IF(A2290&lt;Y2290,"Yes","No")</f>
        <v/>
      </c>
    </row>
    <row r="2291">
      <c r="A2291" t="n">
        <v>2012</v>
      </c>
      <c r="B2291" t="inlineStr">
        <is>
          <t>Q2</t>
        </is>
      </c>
      <c r="C2291" t="inlineStr">
        <is>
          <t>Australia</t>
        </is>
      </c>
      <c r="D2291" t="inlineStr">
        <is>
          <t>Model X</t>
        </is>
      </c>
      <c r="E2291" t="n">
        <v>540</v>
      </c>
      <c r="F2291" t="n">
        <v>107765.71</v>
      </c>
      <c r="G2291" t="n">
        <v>30</v>
      </c>
      <c r="H2291" t="inlineStr">
        <is>
          <t>Long Range</t>
        </is>
      </c>
      <c r="I2291" t="inlineStr">
        <is>
          <t>RWD</t>
        </is>
      </c>
      <c r="J2291" t="inlineStr">
        <is>
          <t>Green</t>
        </is>
      </c>
      <c r="K2291" t="n">
        <v>573</v>
      </c>
      <c r="L2291" t="n">
        <v>74</v>
      </c>
      <c r="M2291" t="n">
        <v>19.76</v>
      </c>
      <c r="N2291" t="n">
        <v>1194.9</v>
      </c>
      <c r="O2291" t="n">
        <v>4.54</v>
      </c>
      <c r="P2291" t="n">
        <v>6</v>
      </c>
      <c r="Q2291" t="n">
        <v>0</v>
      </c>
      <c r="R2291" t="n">
        <v>2022.6</v>
      </c>
      <c r="S2291" t="b">
        <v>1</v>
      </c>
      <c r="T2291" t="n">
        <v>4748036</v>
      </c>
      <c r="U2291" t="n">
        <v>8</v>
      </c>
      <c r="V2291" t="n">
        <v>0.0684</v>
      </c>
      <c r="W2291" t="n">
        <v>1.85</v>
      </c>
      <c r="X2291" t="n">
        <v>63.51</v>
      </c>
      <c r="Y2291">
        <f>VLOOKUP(D2291,$AB$2:$AC$7,2,FALSE)</f>
        <v/>
      </c>
      <c r="Z2291">
        <f>IF(A2291&lt;Y2291,"Yes","No")</f>
        <v/>
      </c>
    </row>
    <row r="2292">
      <c r="A2292" t="n">
        <v>2018</v>
      </c>
      <c r="B2292" t="inlineStr">
        <is>
          <t>Q1</t>
        </is>
      </c>
      <c r="C2292" t="inlineStr">
        <is>
          <t>Europe</t>
        </is>
      </c>
      <c r="D2292" t="inlineStr">
        <is>
          <t>Model S</t>
        </is>
      </c>
      <c r="E2292" t="n">
        <v>4129</v>
      </c>
      <c r="F2292" t="n">
        <v>64073.48</v>
      </c>
      <c r="G2292" t="n">
        <v>0</v>
      </c>
      <c r="H2292" t="inlineStr">
        <is>
          <t>Standard</t>
        </is>
      </c>
      <c r="I2292" t="inlineStr">
        <is>
          <t>AWD</t>
        </is>
      </c>
      <c r="J2292" t="inlineStr">
        <is>
          <t>Blue</t>
        </is>
      </c>
      <c r="K2292" t="n">
        <v>663</v>
      </c>
      <c r="L2292" t="n">
        <v>84</v>
      </c>
      <c r="M2292" t="n">
        <v>22.24</v>
      </c>
      <c r="N2292" t="n">
        <v>7166.11</v>
      </c>
      <c r="O2292" t="n">
        <v>3.62</v>
      </c>
      <c r="P2292" t="n">
        <v>6</v>
      </c>
      <c r="Q2292" t="n">
        <v>2</v>
      </c>
      <c r="R2292" t="n">
        <v>2024.6</v>
      </c>
      <c r="S2292" t="b">
        <v>1</v>
      </c>
      <c r="T2292" t="n">
        <v>1415133</v>
      </c>
      <c r="U2292" t="n">
        <v>4</v>
      </c>
      <c r="V2292" t="n">
        <v>0.08799999999999999</v>
      </c>
      <c r="W2292" t="n">
        <v>1.01</v>
      </c>
      <c r="X2292" t="n">
        <v>70.68000000000001</v>
      </c>
      <c r="Y2292">
        <f>VLOOKUP(D2292,$AB$2:$AC$7,2,FALSE)</f>
        <v/>
      </c>
      <c r="Z2292">
        <f>IF(A2292&lt;Y2292,"Yes","No")</f>
        <v/>
      </c>
    </row>
    <row r="2293">
      <c r="A2293" t="n">
        <v>2018</v>
      </c>
      <c r="B2293" t="inlineStr">
        <is>
          <t>Q3</t>
        </is>
      </c>
      <c r="C2293" t="inlineStr">
        <is>
          <t>Europe</t>
        </is>
      </c>
      <c r="D2293" t="inlineStr">
        <is>
          <t>Model 3</t>
        </is>
      </c>
      <c r="E2293" t="n">
        <v>1536</v>
      </c>
      <c r="F2293" t="n">
        <v>45809.37</v>
      </c>
      <c r="G2293" t="n">
        <v>19</v>
      </c>
      <c r="H2293" t="inlineStr">
        <is>
          <t>Performance</t>
        </is>
      </c>
      <c r="I2293" t="inlineStr">
        <is>
          <t>RWD</t>
        </is>
      </c>
      <c r="J2293" t="inlineStr">
        <is>
          <t>White</t>
        </is>
      </c>
      <c r="K2293" t="n">
        <v>392</v>
      </c>
      <c r="L2293" t="n">
        <v>42</v>
      </c>
      <c r="M2293" t="n">
        <v>20.46</v>
      </c>
      <c r="N2293" t="n">
        <v>3144.54</v>
      </c>
      <c r="O2293" t="n">
        <v>4.36</v>
      </c>
      <c r="P2293" t="n">
        <v>4</v>
      </c>
      <c r="Q2293" t="n">
        <v>3</v>
      </c>
      <c r="R2293" t="n">
        <v>2023.1</v>
      </c>
      <c r="S2293" t="b">
        <v>1</v>
      </c>
      <c r="T2293" t="n">
        <v>1849943</v>
      </c>
      <c r="U2293" t="n">
        <v>2</v>
      </c>
      <c r="V2293" t="n">
        <v>0.0315</v>
      </c>
      <c r="W2293" t="n">
        <v>0.66</v>
      </c>
      <c r="X2293" t="n">
        <v>73.02</v>
      </c>
      <c r="Y2293">
        <f>VLOOKUP(D2293,$AB$2:$AC$7,2,FALSE)</f>
        <v/>
      </c>
      <c r="Z2293">
        <f>IF(A2293&lt;Y2293,"Yes","No")</f>
        <v/>
      </c>
    </row>
    <row r="2294">
      <c r="A2294" t="n">
        <v>2017</v>
      </c>
      <c r="B2294" t="inlineStr">
        <is>
          <t>Q1</t>
        </is>
      </c>
      <c r="C2294" t="inlineStr">
        <is>
          <t>Australia</t>
        </is>
      </c>
      <c r="D2294" t="inlineStr">
        <is>
          <t>Model S</t>
        </is>
      </c>
      <c r="E2294" t="n">
        <v>2910</v>
      </c>
      <c r="F2294" t="n">
        <v>97730.7</v>
      </c>
      <c r="G2294" t="n">
        <v>43</v>
      </c>
      <c r="H2294" t="inlineStr">
        <is>
          <t>Long Range</t>
        </is>
      </c>
      <c r="I2294" t="inlineStr">
        <is>
          <t>RWD</t>
        </is>
      </c>
      <c r="J2294" t="inlineStr">
        <is>
          <t>Green</t>
        </is>
      </c>
      <c r="K2294" t="n">
        <v>383</v>
      </c>
      <c r="L2294" t="n">
        <v>30</v>
      </c>
      <c r="M2294" t="n">
        <v>23.07</v>
      </c>
      <c r="N2294" t="n">
        <v>6240.33</v>
      </c>
      <c r="O2294" t="n">
        <v>3.81</v>
      </c>
      <c r="P2294" t="n">
        <v>4</v>
      </c>
      <c r="Q2294" t="n">
        <v>0</v>
      </c>
      <c r="R2294" t="n">
        <v>2021.9</v>
      </c>
      <c r="S2294" t="b">
        <v>0</v>
      </c>
      <c r="T2294" t="n">
        <v>2543343</v>
      </c>
      <c r="U2294" t="n">
        <v>2</v>
      </c>
      <c r="V2294" t="n">
        <v>0.07340000000000001</v>
      </c>
      <c r="W2294" t="n">
        <v>1.5</v>
      </c>
      <c r="X2294" t="n">
        <v>63.39</v>
      </c>
      <c r="Y2294">
        <f>VLOOKUP(D2294,$AB$2:$AC$7,2,FALSE)</f>
        <v/>
      </c>
      <c r="Z2294">
        <f>IF(A2294&lt;Y2294,"Yes","No")</f>
        <v/>
      </c>
    </row>
    <row r="2295">
      <c r="A2295" t="n">
        <v>2019</v>
      </c>
      <c r="B2295" t="inlineStr">
        <is>
          <t>Q2</t>
        </is>
      </c>
      <c r="C2295" t="inlineStr">
        <is>
          <t>North America</t>
        </is>
      </c>
      <c r="D2295" t="inlineStr">
        <is>
          <t>Semi</t>
        </is>
      </c>
      <c r="E2295" t="n">
        <v>3128</v>
      </c>
      <c r="F2295" t="n">
        <v>84122.06</v>
      </c>
      <c r="G2295" t="n">
        <v>38</v>
      </c>
      <c r="H2295" t="inlineStr">
        <is>
          <t>Standard</t>
        </is>
      </c>
      <c r="I2295" t="inlineStr">
        <is>
          <t>AWD</t>
        </is>
      </c>
      <c r="J2295" t="inlineStr">
        <is>
          <t>Red</t>
        </is>
      </c>
      <c r="K2295" t="n">
        <v>491</v>
      </c>
      <c r="L2295" t="n">
        <v>50</v>
      </c>
      <c r="M2295" t="n">
        <v>14.59</v>
      </c>
      <c r="N2295" t="n">
        <v>4321.68</v>
      </c>
      <c r="O2295" t="n">
        <v>5</v>
      </c>
      <c r="P2295" t="n">
        <v>8</v>
      </c>
      <c r="Q2295" t="n">
        <v>1</v>
      </c>
      <c r="R2295" t="n">
        <v>2024.1</v>
      </c>
      <c r="S2295" t="b">
        <v>1</v>
      </c>
      <c r="T2295" t="n">
        <v>162454</v>
      </c>
      <c r="U2295" t="n">
        <v>12</v>
      </c>
      <c r="V2295" t="n">
        <v>0.0268</v>
      </c>
      <c r="W2295" t="n">
        <v>1.07</v>
      </c>
      <c r="X2295" t="n">
        <v>70.81999999999999</v>
      </c>
      <c r="Y2295">
        <f>VLOOKUP(D2295,$AB$2:$AC$7,2,FALSE)</f>
        <v/>
      </c>
      <c r="Z2295">
        <f>IF(A2295&lt;Y2295,"Yes","No")</f>
        <v/>
      </c>
    </row>
    <row r="2296">
      <c r="A2296" t="n">
        <v>2013</v>
      </c>
      <c r="B2296" t="inlineStr">
        <is>
          <t>Q3</t>
        </is>
      </c>
      <c r="C2296" t="inlineStr">
        <is>
          <t>North America</t>
        </is>
      </c>
      <c r="D2296" t="inlineStr">
        <is>
          <t>Model X</t>
        </is>
      </c>
      <c r="E2296" t="n">
        <v>3190</v>
      </c>
      <c r="F2296" t="n">
        <v>108471.15</v>
      </c>
      <c r="G2296" t="n">
        <v>35</v>
      </c>
      <c r="H2296" t="inlineStr">
        <is>
          <t>Standard</t>
        </is>
      </c>
      <c r="I2296" t="inlineStr">
        <is>
          <t>AWD</t>
        </is>
      </c>
      <c r="J2296" t="inlineStr">
        <is>
          <t>Silver</t>
        </is>
      </c>
      <c r="K2296" t="n">
        <v>399</v>
      </c>
      <c r="L2296" t="n">
        <v>39</v>
      </c>
      <c r="M2296" t="n">
        <v>20.83</v>
      </c>
      <c r="N2296" t="n">
        <v>1935.54</v>
      </c>
      <c r="O2296" t="n">
        <v>4.55</v>
      </c>
      <c r="P2296" t="n">
        <v>6</v>
      </c>
      <c r="Q2296" t="n">
        <v>3</v>
      </c>
      <c r="R2296" t="n">
        <v>2022.5</v>
      </c>
      <c r="S2296" t="b">
        <v>1</v>
      </c>
      <c r="T2296" t="n">
        <v>4696361</v>
      </c>
      <c r="U2296" t="n">
        <v>6</v>
      </c>
      <c r="V2296" t="n">
        <v>0.0345</v>
      </c>
      <c r="W2296" t="n">
        <v>0.53</v>
      </c>
      <c r="X2296" t="n">
        <v>86.22</v>
      </c>
      <c r="Y2296">
        <f>VLOOKUP(D2296,$AB$2:$AC$7,2,FALSE)</f>
        <v/>
      </c>
      <c r="Z2296">
        <f>IF(A2296&lt;Y2296,"Yes","No")</f>
        <v/>
      </c>
    </row>
    <row r="2297">
      <c r="A2297" t="n">
        <v>2020</v>
      </c>
      <c r="B2297" t="inlineStr">
        <is>
          <t>Q4</t>
        </is>
      </c>
      <c r="C2297" t="inlineStr">
        <is>
          <t>Asia</t>
        </is>
      </c>
      <c r="D2297" t="inlineStr">
        <is>
          <t>Model X</t>
        </is>
      </c>
      <c r="E2297" t="n">
        <v>3810</v>
      </c>
      <c r="F2297" t="n">
        <v>40897.63</v>
      </c>
      <c r="G2297" t="n">
        <v>49</v>
      </c>
      <c r="H2297" t="inlineStr">
        <is>
          <t>Standard</t>
        </is>
      </c>
      <c r="I2297" t="inlineStr">
        <is>
          <t>RWD</t>
        </is>
      </c>
      <c r="J2297" t="inlineStr">
        <is>
          <t>Green</t>
        </is>
      </c>
      <c r="K2297" t="n">
        <v>376</v>
      </c>
      <c r="L2297" t="n">
        <v>73</v>
      </c>
      <c r="M2297" t="n">
        <v>24.43</v>
      </c>
      <c r="N2297" t="n">
        <v>3836.58</v>
      </c>
      <c r="O2297" t="n">
        <v>4.19</v>
      </c>
      <c r="P2297" t="n">
        <v>8</v>
      </c>
      <c r="Q2297" t="n">
        <v>0</v>
      </c>
      <c r="R2297" t="n">
        <v>2022.7</v>
      </c>
      <c r="S2297" t="b">
        <v>0</v>
      </c>
      <c r="T2297" t="n">
        <v>1384928</v>
      </c>
      <c r="U2297" t="n">
        <v>5</v>
      </c>
      <c r="V2297" t="n">
        <v>0.0125</v>
      </c>
      <c r="W2297" t="n">
        <v>2.07</v>
      </c>
      <c r="X2297" t="n">
        <v>81.8</v>
      </c>
      <c r="Y2297">
        <f>VLOOKUP(D2297,$AB$2:$AC$7,2,FALSE)</f>
        <v/>
      </c>
      <c r="Z2297">
        <f>IF(A2297&lt;Y2297,"Yes","No")</f>
        <v/>
      </c>
    </row>
    <row r="2298">
      <c r="A2298" t="n">
        <v>2017</v>
      </c>
      <c r="B2298" t="inlineStr">
        <is>
          <t>Q4</t>
        </is>
      </c>
      <c r="C2298" t="inlineStr">
        <is>
          <t>North America</t>
        </is>
      </c>
      <c r="D2298" t="inlineStr">
        <is>
          <t>Cybertruck</t>
        </is>
      </c>
      <c r="E2298" t="n">
        <v>2579</v>
      </c>
      <c r="F2298" t="n">
        <v>58138.29</v>
      </c>
      <c r="G2298" t="n">
        <v>25</v>
      </c>
      <c r="H2298" t="inlineStr">
        <is>
          <t>Standard</t>
        </is>
      </c>
      <c r="I2298" t="inlineStr">
        <is>
          <t>RWD</t>
        </is>
      </c>
      <c r="J2298" t="inlineStr">
        <is>
          <t>Red</t>
        </is>
      </c>
      <c r="K2298" t="n">
        <v>399</v>
      </c>
      <c r="L2298" t="n">
        <v>38</v>
      </c>
      <c r="M2298" t="n">
        <v>23.08</v>
      </c>
      <c r="N2298" t="n">
        <v>5972.2</v>
      </c>
      <c r="O2298" t="n">
        <v>4.51</v>
      </c>
      <c r="P2298" t="n">
        <v>5</v>
      </c>
      <c r="Q2298" t="n">
        <v>2</v>
      </c>
      <c r="R2298" t="n">
        <v>2020.7</v>
      </c>
      <c r="S2298" t="b">
        <v>0</v>
      </c>
      <c r="T2298" t="n">
        <v>3245516</v>
      </c>
      <c r="U2298" t="n">
        <v>8</v>
      </c>
      <c r="V2298" t="n">
        <v>0.0489</v>
      </c>
      <c r="W2298" t="n">
        <v>0.61</v>
      </c>
      <c r="X2298" t="n">
        <v>89.56</v>
      </c>
      <c r="Y2298">
        <f>VLOOKUP(D2298,$AB$2:$AC$7,2,FALSE)</f>
        <v/>
      </c>
      <c r="Z2298">
        <f>IF(A2298&lt;Y2298,"Yes","No")</f>
        <v/>
      </c>
    </row>
    <row r="2299">
      <c r="A2299" t="n">
        <v>2017</v>
      </c>
      <c r="B2299" t="inlineStr">
        <is>
          <t>Q1</t>
        </is>
      </c>
      <c r="C2299" t="inlineStr">
        <is>
          <t>Asia</t>
        </is>
      </c>
      <c r="D2299" t="inlineStr">
        <is>
          <t>Cybertruck</t>
        </is>
      </c>
      <c r="E2299" t="n">
        <v>220</v>
      </c>
      <c r="F2299" t="n">
        <v>105926.29</v>
      </c>
      <c r="G2299" t="n">
        <v>54</v>
      </c>
      <c r="H2299" t="inlineStr">
        <is>
          <t>Long Range</t>
        </is>
      </c>
      <c r="I2299" t="inlineStr">
        <is>
          <t>RWD</t>
        </is>
      </c>
      <c r="J2299" t="inlineStr">
        <is>
          <t>Green</t>
        </is>
      </c>
      <c r="K2299" t="n">
        <v>584</v>
      </c>
      <c r="L2299" t="n">
        <v>57</v>
      </c>
      <c r="M2299" t="n">
        <v>16.96</v>
      </c>
      <c r="N2299" t="n">
        <v>346.64</v>
      </c>
      <c r="O2299" t="n">
        <v>4.36</v>
      </c>
      <c r="P2299" t="n">
        <v>8</v>
      </c>
      <c r="Q2299" t="n">
        <v>1</v>
      </c>
      <c r="R2299" t="n">
        <v>2024.2</v>
      </c>
      <c r="S2299" t="b">
        <v>0</v>
      </c>
      <c r="T2299" t="n">
        <v>4189562</v>
      </c>
      <c r="U2299" t="n">
        <v>6</v>
      </c>
      <c r="V2299" t="n">
        <v>0.0303</v>
      </c>
      <c r="W2299" t="n">
        <v>0.8</v>
      </c>
      <c r="X2299" t="n">
        <v>77.01000000000001</v>
      </c>
      <c r="Y2299">
        <f>VLOOKUP(D2299,$AB$2:$AC$7,2,FALSE)</f>
        <v/>
      </c>
      <c r="Z2299">
        <f>IF(A2299&lt;Y2299,"Yes","No")</f>
        <v/>
      </c>
    </row>
    <row r="2300">
      <c r="A2300" t="n">
        <v>2021</v>
      </c>
      <c r="B2300" t="inlineStr">
        <is>
          <t>Q1</t>
        </is>
      </c>
      <c r="C2300" t="inlineStr">
        <is>
          <t>Europe</t>
        </is>
      </c>
      <c r="D2300" t="inlineStr">
        <is>
          <t>Model X</t>
        </is>
      </c>
      <c r="E2300" t="n">
        <v>1298</v>
      </c>
      <c r="F2300" t="n">
        <v>42025.17</v>
      </c>
      <c r="G2300" t="n">
        <v>50</v>
      </c>
      <c r="H2300" t="inlineStr">
        <is>
          <t>Performance</t>
        </is>
      </c>
      <c r="I2300" t="inlineStr">
        <is>
          <t>RWD</t>
        </is>
      </c>
      <c r="J2300" t="inlineStr">
        <is>
          <t>Red</t>
        </is>
      </c>
      <c r="K2300" t="n">
        <v>653</v>
      </c>
      <c r="L2300" t="n">
        <v>37</v>
      </c>
      <c r="M2300" t="n">
        <v>13.32</v>
      </c>
      <c r="N2300" t="n">
        <v>1831.66</v>
      </c>
      <c r="O2300" t="n">
        <v>4.86</v>
      </c>
      <c r="P2300" t="n">
        <v>6</v>
      </c>
      <c r="Q2300" t="n">
        <v>3</v>
      </c>
      <c r="R2300" t="n">
        <v>2020.5</v>
      </c>
      <c r="S2300" t="b">
        <v>1</v>
      </c>
      <c r="T2300" t="n">
        <v>2206919</v>
      </c>
      <c r="U2300" t="n">
        <v>12</v>
      </c>
      <c r="V2300" t="n">
        <v>0.0687</v>
      </c>
      <c r="W2300" t="n">
        <v>0.84</v>
      </c>
      <c r="X2300" t="n">
        <v>63.02</v>
      </c>
      <c r="Y2300">
        <f>VLOOKUP(D2300,$AB$2:$AC$7,2,FALSE)</f>
        <v/>
      </c>
      <c r="Z2300">
        <f>IF(A2300&lt;Y2300,"Yes","No")</f>
        <v/>
      </c>
    </row>
    <row r="2301">
      <c r="A2301" t="n">
        <v>2022</v>
      </c>
      <c r="B2301" t="inlineStr">
        <is>
          <t>Q1</t>
        </is>
      </c>
      <c r="C2301" t="inlineStr">
        <is>
          <t>Europe</t>
        </is>
      </c>
      <c r="D2301" t="inlineStr">
        <is>
          <t>Model Y</t>
        </is>
      </c>
      <c r="E2301" t="n">
        <v>3462</v>
      </c>
      <c r="F2301" t="n">
        <v>99762.72</v>
      </c>
      <c r="G2301" t="n">
        <v>8</v>
      </c>
      <c r="H2301" t="inlineStr">
        <is>
          <t>Standard</t>
        </is>
      </c>
      <c r="I2301" t="inlineStr">
        <is>
          <t>RWD</t>
        </is>
      </c>
      <c r="J2301" t="inlineStr">
        <is>
          <t>Blue</t>
        </is>
      </c>
      <c r="K2301" t="n">
        <v>448</v>
      </c>
      <c r="L2301" t="n">
        <v>70</v>
      </c>
      <c r="M2301" t="n">
        <v>24.18</v>
      </c>
      <c r="N2301" t="n">
        <v>2486.18</v>
      </c>
      <c r="O2301" t="n">
        <v>3.83</v>
      </c>
      <c r="P2301" t="n">
        <v>5</v>
      </c>
      <c r="Q2301" t="n">
        <v>0</v>
      </c>
      <c r="R2301" t="n">
        <v>2024.9</v>
      </c>
      <c r="S2301" t="b">
        <v>1</v>
      </c>
      <c r="T2301" t="n">
        <v>919892</v>
      </c>
      <c r="U2301" t="n">
        <v>6</v>
      </c>
      <c r="V2301" t="n">
        <v>0.0433</v>
      </c>
      <c r="W2301" t="n">
        <v>0.82</v>
      </c>
      <c r="X2301" t="n">
        <v>74.72</v>
      </c>
      <c r="Y2301">
        <f>VLOOKUP(D2301,$AB$2:$AC$7,2,FALSE)</f>
        <v/>
      </c>
      <c r="Z2301">
        <f>IF(A2301&lt;Y2301,"Yes","No")</f>
        <v/>
      </c>
    </row>
    <row r="2302">
      <c r="A2302" t="n">
        <v>2024</v>
      </c>
      <c r="B2302" t="inlineStr">
        <is>
          <t>Q1</t>
        </is>
      </c>
      <c r="C2302" t="inlineStr">
        <is>
          <t>Europe</t>
        </is>
      </c>
      <c r="D2302" t="inlineStr">
        <is>
          <t>Model X</t>
        </is>
      </c>
      <c r="E2302" t="n">
        <v>3211</v>
      </c>
      <c r="F2302" t="n">
        <v>53433.76</v>
      </c>
      <c r="G2302" t="n">
        <v>12</v>
      </c>
      <c r="H2302" t="inlineStr">
        <is>
          <t>Performance</t>
        </is>
      </c>
      <c r="I2302" t="inlineStr">
        <is>
          <t>AWD</t>
        </is>
      </c>
      <c r="J2302" t="inlineStr">
        <is>
          <t>Silver</t>
        </is>
      </c>
      <c r="K2302" t="n">
        <v>576</v>
      </c>
      <c r="L2302" t="n">
        <v>46</v>
      </c>
      <c r="M2302" t="n">
        <v>20.6</v>
      </c>
      <c r="N2302" t="n">
        <v>6763.15</v>
      </c>
      <c r="O2302" t="n">
        <v>4.13</v>
      </c>
      <c r="P2302" t="n">
        <v>8</v>
      </c>
      <c r="Q2302" t="n">
        <v>3</v>
      </c>
      <c r="R2302" t="n">
        <v>2023.9</v>
      </c>
      <c r="S2302" t="b">
        <v>1</v>
      </c>
      <c r="T2302" t="n">
        <v>2898963</v>
      </c>
      <c r="U2302" t="n">
        <v>10</v>
      </c>
      <c r="V2302" t="n">
        <v>0.0137</v>
      </c>
      <c r="W2302" t="n">
        <v>0.6</v>
      </c>
      <c r="X2302" t="n">
        <v>70.81</v>
      </c>
      <c r="Y2302">
        <f>VLOOKUP(D2302,$AB$2:$AC$7,2,FALSE)</f>
        <v/>
      </c>
      <c r="Z2302">
        <f>IF(A2302&lt;Y2302,"Yes","No")</f>
        <v/>
      </c>
    </row>
    <row r="2303">
      <c r="A2303" t="n">
        <v>2020</v>
      </c>
      <c r="B2303" t="inlineStr">
        <is>
          <t>Q3</t>
        </is>
      </c>
      <c r="C2303" t="inlineStr">
        <is>
          <t>Europe</t>
        </is>
      </c>
      <c r="D2303" t="inlineStr">
        <is>
          <t>Cybertruck</t>
        </is>
      </c>
      <c r="E2303" t="n">
        <v>998</v>
      </c>
      <c r="F2303" t="n">
        <v>62848.23</v>
      </c>
      <c r="G2303" t="n">
        <v>53</v>
      </c>
      <c r="H2303" t="inlineStr">
        <is>
          <t>Long Range</t>
        </is>
      </c>
      <c r="I2303" t="inlineStr">
        <is>
          <t>AWD</t>
        </is>
      </c>
      <c r="J2303" t="inlineStr">
        <is>
          <t>Red</t>
        </is>
      </c>
      <c r="K2303" t="n">
        <v>510</v>
      </c>
      <c r="L2303" t="n">
        <v>47</v>
      </c>
      <c r="M2303" t="n">
        <v>15.65</v>
      </c>
      <c r="N2303" t="n">
        <v>1583.82</v>
      </c>
      <c r="O2303" t="n">
        <v>4.53</v>
      </c>
      <c r="P2303" t="n">
        <v>6</v>
      </c>
      <c r="Q2303" t="n">
        <v>3</v>
      </c>
      <c r="R2303" t="n">
        <v>2024.2</v>
      </c>
      <c r="S2303" t="b">
        <v>1</v>
      </c>
      <c r="T2303" t="n">
        <v>4133960</v>
      </c>
      <c r="U2303" t="n">
        <v>9</v>
      </c>
      <c r="V2303" t="n">
        <v>0.0659</v>
      </c>
      <c r="W2303" t="n">
        <v>2.32</v>
      </c>
      <c r="X2303" t="n">
        <v>84.01000000000001</v>
      </c>
      <c r="Y2303">
        <f>VLOOKUP(D2303,$AB$2:$AC$7,2,FALSE)</f>
        <v/>
      </c>
      <c r="Z2303">
        <f>IF(A2303&lt;Y2303,"Yes","No")</f>
        <v/>
      </c>
    </row>
    <row r="2304">
      <c r="A2304" t="n">
        <v>2021</v>
      </c>
      <c r="B2304" t="inlineStr">
        <is>
          <t>Q1</t>
        </is>
      </c>
      <c r="C2304" t="inlineStr">
        <is>
          <t>Asia</t>
        </is>
      </c>
      <c r="D2304" t="inlineStr">
        <is>
          <t>Cybertruck</t>
        </is>
      </c>
      <c r="E2304" t="n">
        <v>4306</v>
      </c>
      <c r="F2304" t="n">
        <v>109062.57</v>
      </c>
      <c r="G2304" t="n">
        <v>7</v>
      </c>
      <c r="H2304" t="inlineStr">
        <is>
          <t>Long Range</t>
        </is>
      </c>
      <c r="I2304" t="inlineStr">
        <is>
          <t>AWD</t>
        </is>
      </c>
      <c r="J2304" t="inlineStr">
        <is>
          <t>White</t>
        </is>
      </c>
      <c r="K2304" t="n">
        <v>488</v>
      </c>
      <c r="L2304" t="n">
        <v>57</v>
      </c>
      <c r="M2304" t="n">
        <v>17.88</v>
      </c>
      <c r="N2304" t="n">
        <v>9805.67</v>
      </c>
      <c r="O2304" t="n">
        <v>4.49</v>
      </c>
      <c r="P2304" t="n">
        <v>6</v>
      </c>
      <c r="Q2304" t="n">
        <v>2</v>
      </c>
      <c r="R2304" t="n">
        <v>2020.8</v>
      </c>
      <c r="S2304" t="b">
        <v>1</v>
      </c>
      <c r="T2304" t="n">
        <v>398077</v>
      </c>
      <c r="U2304" t="n">
        <v>2</v>
      </c>
      <c r="V2304" t="n">
        <v>0.0881</v>
      </c>
      <c r="W2304" t="n">
        <v>1.31</v>
      </c>
      <c r="X2304" t="n">
        <v>70.90000000000001</v>
      </c>
      <c r="Y2304">
        <f>VLOOKUP(D2304,$AB$2:$AC$7,2,FALSE)</f>
        <v/>
      </c>
      <c r="Z2304">
        <f>IF(A2304&lt;Y2304,"Yes","No")</f>
        <v/>
      </c>
    </row>
    <row r="2305">
      <c r="A2305" t="n">
        <v>2014</v>
      </c>
      <c r="B2305" t="inlineStr">
        <is>
          <t>Q4</t>
        </is>
      </c>
      <c r="C2305" t="inlineStr">
        <is>
          <t>Australia</t>
        </is>
      </c>
      <c r="D2305" t="inlineStr">
        <is>
          <t>Model Y</t>
        </is>
      </c>
      <c r="E2305" t="n">
        <v>4443</v>
      </c>
      <c r="F2305" t="n">
        <v>82029.2</v>
      </c>
      <c r="G2305" t="n">
        <v>18</v>
      </c>
      <c r="H2305" t="inlineStr">
        <is>
          <t>Long Range</t>
        </is>
      </c>
      <c r="I2305" t="inlineStr">
        <is>
          <t>RWD</t>
        </is>
      </c>
      <c r="J2305" t="inlineStr">
        <is>
          <t>Black</t>
        </is>
      </c>
      <c r="K2305" t="n">
        <v>674</v>
      </c>
      <c r="L2305" t="n">
        <v>73</v>
      </c>
      <c r="M2305" t="n">
        <v>17.79</v>
      </c>
      <c r="N2305" t="n">
        <v>6643.4</v>
      </c>
      <c r="O2305" t="n">
        <v>4.7</v>
      </c>
      <c r="P2305" t="n">
        <v>8</v>
      </c>
      <c r="Q2305" t="n">
        <v>3</v>
      </c>
      <c r="R2305" t="n">
        <v>2022.1</v>
      </c>
      <c r="S2305" t="b">
        <v>0</v>
      </c>
      <c r="T2305" t="n">
        <v>482100</v>
      </c>
      <c r="U2305" t="n">
        <v>4</v>
      </c>
      <c r="V2305" t="n">
        <v>0.0696</v>
      </c>
      <c r="W2305" t="n">
        <v>1.05</v>
      </c>
      <c r="X2305" t="n">
        <v>87.68000000000001</v>
      </c>
      <c r="Y2305">
        <f>VLOOKUP(D2305,$AB$2:$AC$7,2,FALSE)</f>
        <v/>
      </c>
      <c r="Z2305">
        <f>IF(A2305&lt;Y2305,"Yes","No")</f>
        <v/>
      </c>
    </row>
    <row r="2306">
      <c r="A2306" t="n">
        <v>2024</v>
      </c>
      <c r="B2306" t="inlineStr">
        <is>
          <t>Q2</t>
        </is>
      </c>
      <c r="C2306" t="inlineStr">
        <is>
          <t>Europe</t>
        </is>
      </c>
      <c r="D2306" t="inlineStr">
        <is>
          <t>Cybertruck</t>
        </is>
      </c>
      <c r="E2306" t="n">
        <v>887</v>
      </c>
      <c r="F2306" t="n">
        <v>105953.51</v>
      </c>
      <c r="G2306" t="n">
        <v>11</v>
      </c>
      <c r="H2306" t="inlineStr">
        <is>
          <t>Standard</t>
        </is>
      </c>
      <c r="I2306" t="inlineStr">
        <is>
          <t>RWD</t>
        </is>
      </c>
      <c r="J2306" t="inlineStr">
        <is>
          <t>Blue</t>
        </is>
      </c>
      <c r="K2306" t="n">
        <v>487</v>
      </c>
      <c r="L2306" t="n">
        <v>62</v>
      </c>
      <c r="M2306" t="n">
        <v>23.16</v>
      </c>
      <c r="N2306" t="n">
        <v>1532.56</v>
      </c>
      <c r="O2306" t="n">
        <v>3.66</v>
      </c>
      <c r="P2306" t="n">
        <v>8</v>
      </c>
      <c r="Q2306" t="n">
        <v>0</v>
      </c>
      <c r="R2306" t="n">
        <v>2022.7</v>
      </c>
      <c r="S2306" t="b">
        <v>1</v>
      </c>
      <c r="T2306" t="n">
        <v>4702552</v>
      </c>
      <c r="U2306" t="n">
        <v>10</v>
      </c>
      <c r="V2306" t="n">
        <v>0.031</v>
      </c>
      <c r="W2306" t="n">
        <v>0.9399999999999999</v>
      </c>
      <c r="X2306" t="n">
        <v>70.05</v>
      </c>
      <c r="Y2306">
        <f>VLOOKUP(D2306,$AB$2:$AC$7,2,FALSE)</f>
        <v/>
      </c>
      <c r="Z2306">
        <f>IF(A2306&lt;Y2306,"Yes","No")</f>
        <v/>
      </c>
    </row>
    <row r="2307">
      <c r="A2307" t="n">
        <v>2012</v>
      </c>
      <c r="B2307" t="inlineStr">
        <is>
          <t>Q3</t>
        </is>
      </c>
      <c r="C2307" t="inlineStr">
        <is>
          <t>Europe</t>
        </is>
      </c>
      <c r="D2307" t="inlineStr">
        <is>
          <t>Model 3</t>
        </is>
      </c>
      <c r="E2307" t="n">
        <v>760</v>
      </c>
      <c r="F2307" t="n">
        <v>90952.16</v>
      </c>
      <c r="G2307" t="n">
        <v>5</v>
      </c>
      <c r="H2307" t="inlineStr">
        <is>
          <t>Performance</t>
        </is>
      </c>
      <c r="I2307" t="inlineStr">
        <is>
          <t>AWD</t>
        </is>
      </c>
      <c r="J2307" t="inlineStr">
        <is>
          <t>Red</t>
        </is>
      </c>
      <c r="K2307" t="n">
        <v>696</v>
      </c>
      <c r="L2307" t="n">
        <v>42</v>
      </c>
      <c r="M2307" t="n">
        <v>17.15</v>
      </c>
      <c r="N2307" t="n">
        <v>552.8</v>
      </c>
      <c r="O2307" t="n">
        <v>3.66</v>
      </c>
      <c r="P2307" t="n">
        <v>8</v>
      </c>
      <c r="Q2307" t="n">
        <v>0</v>
      </c>
      <c r="R2307" t="n">
        <v>2021.8</v>
      </c>
      <c r="S2307" t="b">
        <v>0</v>
      </c>
      <c r="T2307" t="n">
        <v>4083089</v>
      </c>
      <c r="U2307" t="n">
        <v>5</v>
      </c>
      <c r="V2307" t="n">
        <v>0.0367</v>
      </c>
      <c r="W2307" t="n">
        <v>1.41</v>
      </c>
      <c r="X2307" t="n">
        <v>84.91</v>
      </c>
      <c r="Y2307">
        <f>VLOOKUP(D2307,$AB$2:$AC$7,2,FALSE)</f>
        <v/>
      </c>
      <c r="Z2307">
        <f>IF(A2307&lt;Y2307,"Yes","No")</f>
        <v/>
      </c>
    </row>
    <row r="2308">
      <c r="A2308" t="n">
        <v>2024</v>
      </c>
      <c r="B2308" t="inlineStr">
        <is>
          <t>Q2</t>
        </is>
      </c>
      <c r="C2308" t="inlineStr">
        <is>
          <t>Australia</t>
        </is>
      </c>
      <c r="D2308" t="inlineStr">
        <is>
          <t>Model 3</t>
        </is>
      </c>
      <c r="E2308" t="n">
        <v>1489</v>
      </c>
      <c r="F2308" t="n">
        <v>54266.32</v>
      </c>
      <c r="G2308" t="n">
        <v>39</v>
      </c>
      <c r="H2308" t="inlineStr">
        <is>
          <t>Performance</t>
        </is>
      </c>
      <c r="I2308" t="inlineStr">
        <is>
          <t>AWD</t>
        </is>
      </c>
      <c r="J2308" t="inlineStr">
        <is>
          <t>Blue</t>
        </is>
      </c>
      <c r="K2308" t="n">
        <v>544</v>
      </c>
      <c r="L2308" t="n">
        <v>34</v>
      </c>
      <c r="M2308" t="n">
        <v>20.32</v>
      </c>
      <c r="N2308" t="n">
        <v>3639.24</v>
      </c>
      <c r="O2308" t="n">
        <v>4.11</v>
      </c>
      <c r="P2308" t="n">
        <v>5</v>
      </c>
      <c r="Q2308" t="n">
        <v>1</v>
      </c>
      <c r="R2308" t="n">
        <v>2022.9</v>
      </c>
      <c r="S2308" t="b">
        <v>0</v>
      </c>
      <c r="T2308" t="n">
        <v>4484457</v>
      </c>
      <c r="U2308" t="n">
        <v>6</v>
      </c>
      <c r="V2308" t="n">
        <v>0.06950000000000001</v>
      </c>
      <c r="W2308" t="n">
        <v>0.74</v>
      </c>
      <c r="X2308" t="n">
        <v>79.04000000000001</v>
      </c>
      <c r="Y2308">
        <f>VLOOKUP(D2308,$AB$2:$AC$7,2,FALSE)</f>
        <v/>
      </c>
      <c r="Z2308">
        <f>IF(A2308&lt;Y2308,"Yes","No")</f>
        <v/>
      </c>
    </row>
    <row r="2309">
      <c r="A2309" t="n">
        <v>2024</v>
      </c>
      <c r="B2309" t="inlineStr">
        <is>
          <t>Q3</t>
        </is>
      </c>
      <c r="C2309" t="inlineStr">
        <is>
          <t>Australia</t>
        </is>
      </c>
      <c r="D2309" t="inlineStr">
        <is>
          <t>Model X</t>
        </is>
      </c>
      <c r="E2309" t="n">
        <v>173</v>
      </c>
      <c r="F2309" t="n">
        <v>79856.49000000001</v>
      </c>
      <c r="G2309" t="n">
        <v>19</v>
      </c>
      <c r="H2309" t="inlineStr">
        <is>
          <t>Long Range</t>
        </is>
      </c>
      <c r="I2309" t="inlineStr">
        <is>
          <t>RWD</t>
        </is>
      </c>
      <c r="J2309" t="inlineStr">
        <is>
          <t>Red</t>
        </is>
      </c>
      <c r="K2309" t="n">
        <v>581</v>
      </c>
      <c r="L2309" t="n">
        <v>42</v>
      </c>
      <c r="M2309" t="n">
        <v>20.32</v>
      </c>
      <c r="N2309" t="n">
        <v>138.91</v>
      </c>
      <c r="O2309" t="n">
        <v>4.44</v>
      </c>
      <c r="P2309" t="n">
        <v>4</v>
      </c>
      <c r="Q2309" t="n">
        <v>3</v>
      </c>
      <c r="R2309" t="n">
        <v>2022.7</v>
      </c>
      <c r="S2309" t="b">
        <v>0</v>
      </c>
      <c r="T2309" t="n">
        <v>3785016</v>
      </c>
      <c r="U2309" t="n">
        <v>9</v>
      </c>
      <c r="V2309" t="n">
        <v>0.0631</v>
      </c>
      <c r="W2309" t="n">
        <v>2.12</v>
      </c>
      <c r="X2309" t="n">
        <v>61.67</v>
      </c>
      <c r="Y2309">
        <f>VLOOKUP(D2309,$AB$2:$AC$7,2,FALSE)</f>
        <v/>
      </c>
      <c r="Z2309">
        <f>IF(A2309&lt;Y2309,"Yes","No")</f>
        <v/>
      </c>
    </row>
    <row r="2310">
      <c r="A2310" t="n">
        <v>2013</v>
      </c>
      <c r="B2310" t="inlineStr">
        <is>
          <t>Q2</t>
        </is>
      </c>
      <c r="C2310" t="inlineStr">
        <is>
          <t>Asia</t>
        </is>
      </c>
      <c r="D2310" t="inlineStr">
        <is>
          <t>Model X</t>
        </is>
      </c>
      <c r="E2310" t="n">
        <v>1273</v>
      </c>
      <c r="F2310" t="n">
        <v>62948.24</v>
      </c>
      <c r="G2310" t="n">
        <v>5</v>
      </c>
      <c r="H2310" t="inlineStr">
        <is>
          <t>Performance</t>
        </is>
      </c>
      <c r="I2310" t="inlineStr">
        <is>
          <t>AWD</t>
        </is>
      </c>
      <c r="J2310" t="inlineStr">
        <is>
          <t>Silver</t>
        </is>
      </c>
      <c r="K2310" t="n">
        <v>511</v>
      </c>
      <c r="L2310" t="n">
        <v>46</v>
      </c>
      <c r="M2310" t="n">
        <v>17</v>
      </c>
      <c r="N2310" t="n">
        <v>834.9</v>
      </c>
      <c r="O2310" t="n">
        <v>4.85</v>
      </c>
      <c r="P2310" t="n">
        <v>5</v>
      </c>
      <c r="Q2310" t="n">
        <v>2</v>
      </c>
      <c r="R2310" t="n">
        <v>2020.6</v>
      </c>
      <c r="S2310" t="b">
        <v>1</v>
      </c>
      <c r="T2310" t="n">
        <v>4410670</v>
      </c>
      <c r="U2310" t="n">
        <v>8</v>
      </c>
      <c r="V2310" t="n">
        <v>0.0313</v>
      </c>
      <c r="W2310" t="n">
        <v>1.59</v>
      </c>
      <c r="X2310" t="n">
        <v>60.18</v>
      </c>
      <c r="Y2310">
        <f>VLOOKUP(D2310,$AB$2:$AC$7,2,FALSE)</f>
        <v/>
      </c>
      <c r="Z2310">
        <f>IF(A2310&lt;Y2310,"Yes","No")</f>
        <v/>
      </c>
    </row>
    <row r="2311">
      <c r="A2311" t="n">
        <v>2018</v>
      </c>
      <c r="B2311" t="inlineStr">
        <is>
          <t>Q1</t>
        </is>
      </c>
      <c r="C2311" t="inlineStr">
        <is>
          <t>Australia</t>
        </is>
      </c>
      <c r="D2311" t="inlineStr">
        <is>
          <t>Model S</t>
        </is>
      </c>
      <c r="E2311" t="n">
        <v>3168</v>
      </c>
      <c r="F2311" t="n">
        <v>56413.18</v>
      </c>
      <c r="G2311" t="n">
        <v>58</v>
      </c>
      <c r="H2311" t="inlineStr">
        <is>
          <t>Standard</t>
        </is>
      </c>
      <c r="I2311" t="inlineStr">
        <is>
          <t>RWD</t>
        </is>
      </c>
      <c r="J2311" t="inlineStr">
        <is>
          <t>White</t>
        </is>
      </c>
      <c r="K2311" t="n">
        <v>516</v>
      </c>
      <c r="L2311" t="n">
        <v>43</v>
      </c>
      <c r="M2311" t="n">
        <v>24.99</v>
      </c>
      <c r="N2311" t="n">
        <v>4702.92</v>
      </c>
      <c r="O2311" t="n">
        <v>4.94</v>
      </c>
      <c r="P2311" t="n">
        <v>5</v>
      </c>
      <c r="Q2311" t="n">
        <v>0</v>
      </c>
      <c r="R2311" t="n">
        <v>2020.6</v>
      </c>
      <c r="S2311" t="b">
        <v>0</v>
      </c>
      <c r="T2311" t="n">
        <v>902181</v>
      </c>
      <c r="U2311" t="n">
        <v>6</v>
      </c>
      <c r="V2311" t="n">
        <v>0.0492</v>
      </c>
      <c r="W2311" t="n">
        <v>1.85</v>
      </c>
      <c r="X2311" t="n">
        <v>71.39</v>
      </c>
      <c r="Y2311">
        <f>VLOOKUP(D2311,$AB$2:$AC$7,2,FALSE)</f>
        <v/>
      </c>
      <c r="Z2311">
        <f>IF(A2311&lt;Y2311,"Yes","No")</f>
        <v/>
      </c>
    </row>
    <row r="2312">
      <c r="A2312" t="n">
        <v>2016</v>
      </c>
      <c r="B2312" t="inlineStr">
        <is>
          <t>Q1</t>
        </is>
      </c>
      <c r="C2312" t="inlineStr">
        <is>
          <t>Asia</t>
        </is>
      </c>
      <c r="D2312" t="inlineStr">
        <is>
          <t>Model Y</t>
        </is>
      </c>
      <c r="E2312" t="n">
        <v>1916</v>
      </c>
      <c r="F2312" t="n">
        <v>50962.07</v>
      </c>
      <c r="G2312" t="n">
        <v>27</v>
      </c>
      <c r="H2312" t="inlineStr">
        <is>
          <t>Performance</t>
        </is>
      </c>
      <c r="I2312" t="inlineStr">
        <is>
          <t>RWD</t>
        </is>
      </c>
      <c r="J2312" t="inlineStr">
        <is>
          <t>Red</t>
        </is>
      </c>
      <c r="K2312" t="n">
        <v>666</v>
      </c>
      <c r="L2312" t="n">
        <v>35</v>
      </c>
      <c r="M2312" t="n">
        <v>15.42</v>
      </c>
      <c r="N2312" t="n">
        <v>1232.76</v>
      </c>
      <c r="O2312" t="n">
        <v>4.24</v>
      </c>
      <c r="P2312" t="n">
        <v>4</v>
      </c>
      <c r="Q2312" t="n">
        <v>0</v>
      </c>
      <c r="R2312" t="n">
        <v>2024.1</v>
      </c>
      <c r="S2312" t="b">
        <v>0</v>
      </c>
      <c r="T2312" t="n">
        <v>1033449</v>
      </c>
      <c r="U2312" t="n">
        <v>11</v>
      </c>
      <c r="V2312" t="n">
        <v>0.0437</v>
      </c>
      <c r="W2312" t="n">
        <v>1.78</v>
      </c>
      <c r="X2312" t="n">
        <v>79.70999999999999</v>
      </c>
      <c r="Y2312">
        <f>VLOOKUP(D2312,$AB$2:$AC$7,2,FALSE)</f>
        <v/>
      </c>
      <c r="Z2312">
        <f>IF(A2312&lt;Y2312,"Yes","No")</f>
        <v/>
      </c>
    </row>
    <row r="2313">
      <c r="A2313" t="n">
        <v>2016</v>
      </c>
      <c r="B2313" t="inlineStr">
        <is>
          <t>Q3</t>
        </is>
      </c>
      <c r="C2313" t="inlineStr">
        <is>
          <t>North America</t>
        </is>
      </c>
      <c r="D2313" t="inlineStr">
        <is>
          <t>Model X</t>
        </is>
      </c>
      <c r="E2313" t="n">
        <v>4824</v>
      </c>
      <c r="F2313" t="n">
        <v>65466.81</v>
      </c>
      <c r="G2313" t="n">
        <v>17</v>
      </c>
      <c r="H2313" t="inlineStr">
        <is>
          <t>Performance</t>
        </is>
      </c>
      <c r="I2313" t="inlineStr">
        <is>
          <t>RWD</t>
        </is>
      </c>
      <c r="J2313" t="inlineStr">
        <is>
          <t>White</t>
        </is>
      </c>
      <c r="K2313" t="n">
        <v>622</v>
      </c>
      <c r="L2313" t="n">
        <v>79</v>
      </c>
      <c r="M2313" t="n">
        <v>15.27</v>
      </c>
      <c r="N2313" t="n">
        <v>7104.17</v>
      </c>
      <c r="O2313" t="n">
        <v>3.82</v>
      </c>
      <c r="P2313" t="n">
        <v>4</v>
      </c>
      <c r="Q2313" t="n">
        <v>3</v>
      </c>
      <c r="R2313" t="n">
        <v>2021.1</v>
      </c>
      <c r="S2313" t="b">
        <v>0</v>
      </c>
      <c r="T2313" t="n">
        <v>3676396</v>
      </c>
      <c r="U2313" t="n">
        <v>3</v>
      </c>
      <c r="V2313" t="n">
        <v>0.08599999999999999</v>
      </c>
      <c r="W2313" t="n">
        <v>1.53</v>
      </c>
      <c r="X2313" t="n">
        <v>76.05</v>
      </c>
      <c r="Y2313">
        <f>VLOOKUP(D2313,$AB$2:$AC$7,2,FALSE)</f>
        <v/>
      </c>
      <c r="Z2313">
        <f>IF(A2313&lt;Y2313,"Yes","No")</f>
        <v/>
      </c>
    </row>
    <row r="2314">
      <c r="A2314" t="n">
        <v>2015</v>
      </c>
      <c r="B2314" t="inlineStr">
        <is>
          <t>Q1</t>
        </is>
      </c>
      <c r="C2314" t="inlineStr">
        <is>
          <t>Australia</t>
        </is>
      </c>
      <c r="D2314" t="inlineStr">
        <is>
          <t>Cybertruck</t>
        </is>
      </c>
      <c r="E2314" t="n">
        <v>2597</v>
      </c>
      <c r="F2314" t="n">
        <v>80004.35000000001</v>
      </c>
      <c r="G2314" t="n">
        <v>54</v>
      </c>
      <c r="H2314" t="inlineStr">
        <is>
          <t>Long Range</t>
        </is>
      </c>
      <c r="I2314" t="inlineStr">
        <is>
          <t>AWD</t>
        </is>
      </c>
      <c r="J2314" t="inlineStr">
        <is>
          <t>Black</t>
        </is>
      </c>
      <c r="K2314" t="n">
        <v>683</v>
      </c>
      <c r="L2314" t="n">
        <v>86</v>
      </c>
      <c r="M2314" t="n">
        <v>13.28</v>
      </c>
      <c r="N2314" t="n">
        <v>4386.41</v>
      </c>
      <c r="O2314" t="n">
        <v>3.55</v>
      </c>
      <c r="P2314" t="n">
        <v>4</v>
      </c>
      <c r="Q2314" t="n">
        <v>2</v>
      </c>
      <c r="R2314" t="n">
        <v>2023.5</v>
      </c>
      <c r="S2314" t="b">
        <v>0</v>
      </c>
      <c r="T2314" t="n">
        <v>2955357</v>
      </c>
      <c r="U2314" t="n">
        <v>2</v>
      </c>
      <c r="V2314" t="n">
        <v>0.0312</v>
      </c>
      <c r="W2314" t="n">
        <v>1.83</v>
      </c>
      <c r="X2314" t="n">
        <v>71.33</v>
      </c>
      <c r="Y2314">
        <f>VLOOKUP(D2314,$AB$2:$AC$7,2,FALSE)</f>
        <v/>
      </c>
      <c r="Z2314">
        <f>IF(A2314&lt;Y2314,"Yes","No")</f>
        <v/>
      </c>
    </row>
    <row r="2315">
      <c r="A2315" t="n">
        <v>2012</v>
      </c>
      <c r="B2315" t="inlineStr">
        <is>
          <t>Q3</t>
        </is>
      </c>
      <c r="C2315" t="inlineStr">
        <is>
          <t>Asia</t>
        </is>
      </c>
      <c r="D2315" t="inlineStr">
        <is>
          <t>Semi</t>
        </is>
      </c>
      <c r="E2315" t="n">
        <v>1068</v>
      </c>
      <c r="F2315" t="n">
        <v>92296.25</v>
      </c>
      <c r="G2315" t="n">
        <v>39</v>
      </c>
      <c r="H2315" t="inlineStr">
        <is>
          <t>Standard</t>
        </is>
      </c>
      <c r="I2315" t="inlineStr">
        <is>
          <t>AWD</t>
        </is>
      </c>
      <c r="J2315" t="inlineStr">
        <is>
          <t>Silver</t>
        </is>
      </c>
      <c r="K2315" t="n">
        <v>595</v>
      </c>
      <c r="L2315" t="n">
        <v>44</v>
      </c>
      <c r="M2315" t="n">
        <v>15.53</v>
      </c>
      <c r="N2315" t="n">
        <v>594.9299999999999</v>
      </c>
      <c r="O2315" t="n">
        <v>4.24</v>
      </c>
      <c r="P2315" t="n">
        <v>8</v>
      </c>
      <c r="Q2315" t="n">
        <v>1</v>
      </c>
      <c r="R2315" t="n">
        <v>2021.8</v>
      </c>
      <c r="S2315" t="b">
        <v>1</v>
      </c>
      <c r="T2315" t="n">
        <v>1495257</v>
      </c>
      <c r="U2315" t="n">
        <v>5</v>
      </c>
      <c r="V2315" t="n">
        <v>0.0804</v>
      </c>
      <c r="W2315" t="n">
        <v>0.9399999999999999</v>
      </c>
      <c r="X2315" t="n">
        <v>72.8</v>
      </c>
      <c r="Y2315">
        <f>VLOOKUP(D2315,$AB$2:$AC$7,2,FALSE)</f>
        <v/>
      </c>
      <c r="Z2315">
        <f>IF(A2315&lt;Y2315,"Yes","No")</f>
        <v/>
      </c>
    </row>
    <row r="2316">
      <c r="A2316" t="n">
        <v>2017</v>
      </c>
      <c r="B2316" t="inlineStr">
        <is>
          <t>Q1</t>
        </is>
      </c>
      <c r="C2316" t="inlineStr">
        <is>
          <t>Asia</t>
        </is>
      </c>
      <c r="D2316" t="inlineStr">
        <is>
          <t>Model 3</t>
        </is>
      </c>
      <c r="E2316" t="n">
        <v>1247</v>
      </c>
      <c r="F2316" t="n">
        <v>112927.99</v>
      </c>
      <c r="G2316" t="n">
        <v>24</v>
      </c>
      <c r="H2316" t="inlineStr">
        <is>
          <t>Standard</t>
        </is>
      </c>
      <c r="I2316" t="inlineStr">
        <is>
          <t>RWD</t>
        </is>
      </c>
      <c r="J2316" t="inlineStr">
        <is>
          <t>Silver</t>
        </is>
      </c>
      <c r="K2316" t="n">
        <v>374</v>
      </c>
      <c r="L2316" t="n">
        <v>46</v>
      </c>
      <c r="M2316" t="n">
        <v>18.57</v>
      </c>
      <c r="N2316" t="n">
        <v>1512.96</v>
      </c>
      <c r="O2316" t="n">
        <v>3.99</v>
      </c>
      <c r="P2316" t="n">
        <v>5</v>
      </c>
      <c r="Q2316" t="n">
        <v>1</v>
      </c>
      <c r="R2316" t="n">
        <v>2023.11</v>
      </c>
      <c r="S2316" t="b">
        <v>0</v>
      </c>
      <c r="T2316" t="n">
        <v>2282515</v>
      </c>
      <c r="U2316" t="n">
        <v>11</v>
      </c>
      <c r="V2316" t="n">
        <v>0.0285</v>
      </c>
      <c r="W2316" t="n">
        <v>2.43</v>
      </c>
      <c r="X2316" t="n">
        <v>84.48999999999999</v>
      </c>
      <c r="Y2316">
        <f>VLOOKUP(D2316,$AB$2:$AC$7,2,FALSE)</f>
        <v/>
      </c>
      <c r="Z2316">
        <f>IF(A2316&lt;Y2316,"Yes","No")</f>
        <v/>
      </c>
    </row>
    <row r="2317">
      <c r="A2317" t="n">
        <v>2017</v>
      </c>
      <c r="B2317" t="inlineStr">
        <is>
          <t>Q2</t>
        </is>
      </c>
      <c r="C2317" t="inlineStr">
        <is>
          <t>South America</t>
        </is>
      </c>
      <c r="D2317" t="inlineStr">
        <is>
          <t>Model Y</t>
        </is>
      </c>
      <c r="E2317" t="n">
        <v>1605</v>
      </c>
      <c r="F2317" t="n">
        <v>100353.73</v>
      </c>
      <c r="G2317" t="n">
        <v>53</v>
      </c>
      <c r="H2317" t="inlineStr">
        <is>
          <t>Long Range</t>
        </is>
      </c>
      <c r="I2317" t="inlineStr">
        <is>
          <t>AWD</t>
        </is>
      </c>
      <c r="J2317" t="inlineStr">
        <is>
          <t>Black</t>
        </is>
      </c>
      <c r="K2317" t="n">
        <v>696</v>
      </c>
      <c r="L2317" t="n">
        <v>72</v>
      </c>
      <c r="M2317" t="n">
        <v>17.16</v>
      </c>
      <c r="N2317" t="n">
        <v>2775.28</v>
      </c>
      <c r="O2317" t="n">
        <v>4.15</v>
      </c>
      <c r="P2317" t="n">
        <v>5</v>
      </c>
      <c r="Q2317" t="n">
        <v>3</v>
      </c>
      <c r="R2317" t="n">
        <v>2020.11</v>
      </c>
      <c r="S2317" t="b">
        <v>0</v>
      </c>
      <c r="T2317" t="n">
        <v>619539</v>
      </c>
      <c r="U2317" t="n">
        <v>2</v>
      </c>
      <c r="V2317" t="n">
        <v>0.0649</v>
      </c>
      <c r="W2317" t="n">
        <v>1.74</v>
      </c>
      <c r="X2317" t="n">
        <v>73.75</v>
      </c>
      <c r="Y2317">
        <f>VLOOKUP(D2317,$AB$2:$AC$7,2,FALSE)</f>
        <v/>
      </c>
      <c r="Z2317">
        <f>IF(A2317&lt;Y2317,"Yes","No")</f>
        <v/>
      </c>
    </row>
    <row r="2318">
      <c r="A2318" t="n">
        <v>2019</v>
      </c>
      <c r="B2318" t="inlineStr">
        <is>
          <t>Q3</t>
        </is>
      </c>
      <c r="C2318" t="inlineStr">
        <is>
          <t>North America</t>
        </is>
      </c>
      <c r="D2318" t="inlineStr">
        <is>
          <t>Semi</t>
        </is>
      </c>
      <c r="E2318" t="n">
        <v>2624</v>
      </c>
      <c r="F2318" t="n">
        <v>42625.72</v>
      </c>
      <c r="G2318" t="n">
        <v>41</v>
      </c>
      <c r="H2318" t="inlineStr">
        <is>
          <t>Performance</t>
        </is>
      </c>
      <c r="I2318" t="inlineStr">
        <is>
          <t>AWD</t>
        </is>
      </c>
      <c r="J2318" t="inlineStr">
        <is>
          <t>Red</t>
        </is>
      </c>
      <c r="K2318" t="n">
        <v>548</v>
      </c>
      <c r="L2318" t="n">
        <v>48</v>
      </c>
      <c r="M2318" t="n">
        <v>14.09</v>
      </c>
      <c r="N2318" t="n">
        <v>1673.39</v>
      </c>
      <c r="O2318" t="n">
        <v>4.42</v>
      </c>
      <c r="P2318" t="n">
        <v>4</v>
      </c>
      <c r="Q2318" t="n">
        <v>1</v>
      </c>
      <c r="R2318" t="n">
        <v>2023.6</v>
      </c>
      <c r="S2318" t="b">
        <v>0</v>
      </c>
      <c r="T2318" t="n">
        <v>2704416</v>
      </c>
      <c r="U2318" t="n">
        <v>2</v>
      </c>
      <c r="V2318" t="n">
        <v>0.09760000000000001</v>
      </c>
      <c r="W2318" t="n">
        <v>2.46</v>
      </c>
      <c r="X2318" t="n">
        <v>64.69</v>
      </c>
      <c r="Y2318">
        <f>VLOOKUP(D2318,$AB$2:$AC$7,2,FALSE)</f>
        <v/>
      </c>
      <c r="Z2318">
        <f>IF(A2318&lt;Y2318,"Yes","No")</f>
        <v/>
      </c>
    </row>
    <row r="2319">
      <c r="A2319" t="n">
        <v>2017</v>
      </c>
      <c r="B2319" t="inlineStr">
        <is>
          <t>Q3</t>
        </is>
      </c>
      <c r="C2319" t="inlineStr">
        <is>
          <t>Europe</t>
        </is>
      </c>
      <c r="D2319" t="inlineStr">
        <is>
          <t>Model Y</t>
        </is>
      </c>
      <c r="E2319" t="n">
        <v>383</v>
      </c>
      <c r="F2319" t="n">
        <v>38582.61</v>
      </c>
      <c r="G2319" t="n">
        <v>8</v>
      </c>
      <c r="H2319" t="inlineStr">
        <is>
          <t>Performance</t>
        </is>
      </c>
      <c r="I2319" t="inlineStr">
        <is>
          <t>AWD</t>
        </is>
      </c>
      <c r="J2319" t="inlineStr">
        <is>
          <t>Black</t>
        </is>
      </c>
      <c r="K2319" t="n">
        <v>446</v>
      </c>
      <c r="L2319" t="n">
        <v>63</v>
      </c>
      <c r="M2319" t="n">
        <v>16.12</v>
      </c>
      <c r="N2319" t="n">
        <v>467.26</v>
      </c>
      <c r="O2319" t="n">
        <v>4.19</v>
      </c>
      <c r="P2319" t="n">
        <v>5</v>
      </c>
      <c r="Q2319" t="n">
        <v>2</v>
      </c>
      <c r="R2319" t="n">
        <v>2024.5</v>
      </c>
      <c r="S2319" t="b">
        <v>0</v>
      </c>
      <c r="T2319" t="n">
        <v>4816850</v>
      </c>
      <c r="U2319" t="n">
        <v>11</v>
      </c>
      <c r="V2319" t="n">
        <v>0.0251</v>
      </c>
      <c r="W2319" t="n">
        <v>1.15</v>
      </c>
      <c r="X2319" t="n">
        <v>79.23</v>
      </c>
      <c r="Y2319">
        <f>VLOOKUP(D2319,$AB$2:$AC$7,2,FALSE)</f>
        <v/>
      </c>
      <c r="Z2319">
        <f>IF(A2319&lt;Y2319,"Yes","No")</f>
        <v/>
      </c>
    </row>
    <row r="2320">
      <c r="A2320" t="n">
        <v>2016</v>
      </c>
      <c r="B2320" t="inlineStr">
        <is>
          <t>Q4</t>
        </is>
      </c>
      <c r="C2320" t="inlineStr">
        <is>
          <t>Asia</t>
        </is>
      </c>
      <c r="D2320" t="inlineStr">
        <is>
          <t>Model 3</t>
        </is>
      </c>
      <c r="E2320" t="n">
        <v>4936</v>
      </c>
      <c r="F2320" t="n">
        <v>58016.54</v>
      </c>
      <c r="G2320" t="n">
        <v>28</v>
      </c>
      <c r="H2320" t="inlineStr">
        <is>
          <t>Long Range</t>
        </is>
      </c>
      <c r="I2320" t="inlineStr">
        <is>
          <t>RWD</t>
        </is>
      </c>
      <c r="J2320" t="inlineStr">
        <is>
          <t>Blue</t>
        </is>
      </c>
      <c r="K2320" t="n">
        <v>537</v>
      </c>
      <c r="L2320" t="n">
        <v>50</v>
      </c>
      <c r="M2320" t="n">
        <v>14.23</v>
      </c>
      <c r="N2320" t="n">
        <v>7551.22</v>
      </c>
      <c r="O2320" t="n">
        <v>4.67</v>
      </c>
      <c r="P2320" t="n">
        <v>6</v>
      </c>
      <c r="Q2320" t="n">
        <v>3</v>
      </c>
      <c r="R2320" t="n">
        <v>2021.9</v>
      </c>
      <c r="S2320" t="b">
        <v>1</v>
      </c>
      <c r="T2320" t="n">
        <v>3691648</v>
      </c>
      <c r="U2320" t="n">
        <v>9</v>
      </c>
      <c r="V2320" t="n">
        <v>0.0467</v>
      </c>
      <c r="W2320" t="n">
        <v>1.19</v>
      </c>
      <c r="X2320" t="n">
        <v>73.62</v>
      </c>
      <c r="Y2320">
        <f>VLOOKUP(D2320,$AB$2:$AC$7,2,FALSE)</f>
        <v/>
      </c>
      <c r="Z2320">
        <f>IF(A2320&lt;Y2320,"Yes","No")</f>
        <v/>
      </c>
    </row>
    <row r="2321">
      <c r="A2321" t="n">
        <v>2015</v>
      </c>
      <c r="B2321" t="inlineStr">
        <is>
          <t>Q1</t>
        </is>
      </c>
      <c r="C2321" t="inlineStr">
        <is>
          <t>North America</t>
        </is>
      </c>
      <c r="D2321" t="inlineStr">
        <is>
          <t>Model S</t>
        </is>
      </c>
      <c r="E2321" t="n">
        <v>1423</v>
      </c>
      <c r="F2321" t="n">
        <v>45847.72</v>
      </c>
      <c r="G2321" t="n">
        <v>4</v>
      </c>
      <c r="H2321" t="inlineStr">
        <is>
          <t>Standard</t>
        </is>
      </c>
      <c r="I2321" t="inlineStr">
        <is>
          <t>AWD</t>
        </is>
      </c>
      <c r="J2321" t="inlineStr">
        <is>
          <t>Green</t>
        </is>
      </c>
      <c r="K2321" t="n">
        <v>614</v>
      </c>
      <c r="L2321" t="n">
        <v>61</v>
      </c>
      <c r="M2321" t="n">
        <v>17.28</v>
      </c>
      <c r="N2321" t="n">
        <v>1309.78</v>
      </c>
      <c r="O2321" t="n">
        <v>4.67</v>
      </c>
      <c r="P2321" t="n">
        <v>6</v>
      </c>
      <c r="Q2321" t="n">
        <v>1</v>
      </c>
      <c r="R2321" t="n">
        <v>2020.5</v>
      </c>
      <c r="S2321" t="b">
        <v>0</v>
      </c>
      <c r="T2321" t="n">
        <v>4389313</v>
      </c>
      <c r="U2321" t="n">
        <v>5</v>
      </c>
      <c r="V2321" t="n">
        <v>0.0842</v>
      </c>
      <c r="W2321" t="n">
        <v>1.17</v>
      </c>
      <c r="X2321" t="n">
        <v>80.28</v>
      </c>
      <c r="Y2321">
        <f>VLOOKUP(D2321,$AB$2:$AC$7,2,FALSE)</f>
        <v/>
      </c>
      <c r="Z2321">
        <f>IF(A2321&lt;Y2321,"Yes","No")</f>
        <v/>
      </c>
    </row>
    <row r="2322">
      <c r="A2322" t="n">
        <v>2024</v>
      </c>
      <c r="B2322" t="inlineStr">
        <is>
          <t>Q3</t>
        </is>
      </c>
      <c r="C2322" t="inlineStr">
        <is>
          <t>Australia</t>
        </is>
      </c>
      <c r="D2322" t="inlineStr">
        <is>
          <t>Model X</t>
        </is>
      </c>
      <c r="E2322" t="n">
        <v>4669</v>
      </c>
      <c r="F2322" t="n">
        <v>78050.84</v>
      </c>
      <c r="G2322" t="n">
        <v>45</v>
      </c>
      <c r="H2322" t="inlineStr">
        <is>
          <t>Performance</t>
        </is>
      </c>
      <c r="I2322" t="inlineStr">
        <is>
          <t>AWD</t>
        </is>
      </c>
      <c r="J2322" t="inlineStr">
        <is>
          <t>Silver</t>
        </is>
      </c>
      <c r="K2322" t="n">
        <v>567</v>
      </c>
      <c r="L2322" t="n">
        <v>86</v>
      </c>
      <c r="M2322" t="n">
        <v>19.24</v>
      </c>
      <c r="N2322" t="n">
        <v>4203.94</v>
      </c>
      <c r="O2322" t="n">
        <v>4.54</v>
      </c>
      <c r="P2322" t="n">
        <v>6</v>
      </c>
      <c r="Q2322" t="n">
        <v>1</v>
      </c>
      <c r="R2322" t="n">
        <v>2022.5</v>
      </c>
      <c r="S2322" t="b">
        <v>1</v>
      </c>
      <c r="T2322" t="n">
        <v>401300</v>
      </c>
      <c r="U2322" t="n">
        <v>11</v>
      </c>
      <c r="V2322" t="n">
        <v>0.0871</v>
      </c>
      <c r="W2322" t="n">
        <v>2.38</v>
      </c>
      <c r="X2322" t="n">
        <v>80.68000000000001</v>
      </c>
      <c r="Y2322">
        <f>VLOOKUP(D2322,$AB$2:$AC$7,2,FALSE)</f>
        <v/>
      </c>
      <c r="Z2322">
        <f>IF(A2322&lt;Y2322,"Yes","No")</f>
        <v/>
      </c>
    </row>
    <row r="2323">
      <c r="A2323" t="n">
        <v>2024</v>
      </c>
      <c r="B2323" t="inlineStr">
        <is>
          <t>Q3</t>
        </is>
      </c>
      <c r="C2323" t="inlineStr">
        <is>
          <t>Europe</t>
        </is>
      </c>
      <c r="D2323" t="inlineStr">
        <is>
          <t>Model S</t>
        </is>
      </c>
      <c r="E2323" t="n">
        <v>2933</v>
      </c>
      <c r="F2323" t="n">
        <v>40369.57</v>
      </c>
      <c r="G2323" t="n">
        <v>12</v>
      </c>
      <c r="H2323" t="inlineStr">
        <is>
          <t>Performance</t>
        </is>
      </c>
      <c r="I2323" t="inlineStr">
        <is>
          <t>RWD</t>
        </is>
      </c>
      <c r="J2323" t="inlineStr">
        <is>
          <t>Blue</t>
        </is>
      </c>
      <c r="K2323" t="n">
        <v>565</v>
      </c>
      <c r="L2323" t="n">
        <v>90</v>
      </c>
      <c r="M2323" t="n">
        <v>23.2</v>
      </c>
      <c r="N2323" t="n">
        <v>6982.45</v>
      </c>
      <c r="O2323" t="n">
        <v>4.15</v>
      </c>
      <c r="P2323" t="n">
        <v>5</v>
      </c>
      <c r="Q2323" t="n">
        <v>2</v>
      </c>
      <c r="R2323" t="n">
        <v>2023.2</v>
      </c>
      <c r="S2323" t="b">
        <v>0</v>
      </c>
      <c r="T2323" t="n">
        <v>4091504</v>
      </c>
      <c r="U2323" t="n">
        <v>7</v>
      </c>
      <c r="V2323" t="n">
        <v>0.0474</v>
      </c>
      <c r="W2323" t="n">
        <v>0.71</v>
      </c>
      <c r="X2323" t="n">
        <v>76.37</v>
      </c>
      <c r="Y2323">
        <f>VLOOKUP(D2323,$AB$2:$AC$7,2,FALSE)</f>
        <v/>
      </c>
      <c r="Z2323">
        <f>IF(A2323&lt;Y2323,"Yes","No")</f>
        <v/>
      </c>
    </row>
    <row r="2324">
      <c r="A2324" t="n">
        <v>2022</v>
      </c>
      <c r="B2324" t="inlineStr">
        <is>
          <t>Q1</t>
        </is>
      </c>
      <c r="C2324" t="inlineStr">
        <is>
          <t>North America</t>
        </is>
      </c>
      <c r="D2324" t="inlineStr">
        <is>
          <t>Model 3</t>
        </is>
      </c>
      <c r="E2324" t="n">
        <v>215</v>
      </c>
      <c r="F2324" t="n">
        <v>48798.46</v>
      </c>
      <c r="G2324" t="n">
        <v>56</v>
      </c>
      <c r="H2324" t="inlineStr">
        <is>
          <t>Standard</t>
        </is>
      </c>
      <c r="I2324" t="inlineStr">
        <is>
          <t>AWD</t>
        </is>
      </c>
      <c r="J2324" t="inlineStr">
        <is>
          <t>Black</t>
        </is>
      </c>
      <c r="K2324" t="n">
        <v>648</v>
      </c>
      <c r="L2324" t="n">
        <v>51</v>
      </c>
      <c r="M2324" t="n">
        <v>24.53</v>
      </c>
      <c r="N2324" t="n">
        <v>153.34</v>
      </c>
      <c r="O2324" t="n">
        <v>3.64</v>
      </c>
      <c r="P2324" t="n">
        <v>8</v>
      </c>
      <c r="Q2324" t="n">
        <v>1</v>
      </c>
      <c r="R2324" t="n">
        <v>2021.4</v>
      </c>
      <c r="S2324" t="b">
        <v>1</v>
      </c>
      <c r="T2324" t="n">
        <v>4759762</v>
      </c>
      <c r="U2324" t="n">
        <v>7</v>
      </c>
      <c r="V2324" t="n">
        <v>0.092</v>
      </c>
      <c r="W2324" t="n">
        <v>0.7</v>
      </c>
      <c r="X2324" t="n">
        <v>89.29000000000001</v>
      </c>
      <c r="Y2324">
        <f>VLOOKUP(D2324,$AB$2:$AC$7,2,FALSE)</f>
        <v/>
      </c>
      <c r="Z2324">
        <f>IF(A2324&lt;Y2324,"Yes","No")</f>
        <v/>
      </c>
    </row>
    <row r="2325">
      <c r="A2325" t="n">
        <v>2014</v>
      </c>
      <c r="B2325" t="inlineStr">
        <is>
          <t>Q4</t>
        </is>
      </c>
      <c r="C2325" t="inlineStr">
        <is>
          <t>Europe</t>
        </is>
      </c>
      <c r="D2325" t="inlineStr">
        <is>
          <t>Semi</t>
        </is>
      </c>
      <c r="E2325" t="n">
        <v>1140</v>
      </c>
      <c r="F2325" t="n">
        <v>70059.12</v>
      </c>
      <c r="G2325" t="n">
        <v>47</v>
      </c>
      <c r="H2325" t="inlineStr">
        <is>
          <t>Standard</t>
        </is>
      </c>
      <c r="I2325" t="inlineStr">
        <is>
          <t>AWD</t>
        </is>
      </c>
      <c r="J2325" t="inlineStr">
        <is>
          <t>White</t>
        </is>
      </c>
      <c r="K2325" t="n">
        <v>485</v>
      </c>
      <c r="L2325" t="n">
        <v>50</v>
      </c>
      <c r="M2325" t="n">
        <v>15.43</v>
      </c>
      <c r="N2325" t="n">
        <v>1652.56</v>
      </c>
      <c r="O2325" t="n">
        <v>4</v>
      </c>
      <c r="P2325" t="n">
        <v>4</v>
      </c>
      <c r="Q2325" t="n">
        <v>2</v>
      </c>
      <c r="R2325" t="n">
        <v>2022.2</v>
      </c>
      <c r="S2325" t="b">
        <v>0</v>
      </c>
      <c r="T2325" t="n">
        <v>4197831</v>
      </c>
      <c r="U2325" t="n">
        <v>10</v>
      </c>
      <c r="V2325" t="n">
        <v>0.0876</v>
      </c>
      <c r="W2325" t="n">
        <v>1.49</v>
      </c>
      <c r="X2325" t="n">
        <v>75</v>
      </c>
      <c r="Y2325">
        <f>VLOOKUP(D2325,$AB$2:$AC$7,2,FALSE)</f>
        <v/>
      </c>
      <c r="Z2325">
        <f>IF(A2325&lt;Y2325,"Yes","No")</f>
        <v/>
      </c>
    </row>
    <row r="2326">
      <c r="A2326" t="n">
        <v>2012</v>
      </c>
      <c r="B2326" t="inlineStr">
        <is>
          <t>Q1</t>
        </is>
      </c>
      <c r="C2326" t="inlineStr">
        <is>
          <t>North America</t>
        </is>
      </c>
      <c r="D2326" t="inlineStr">
        <is>
          <t>Semi</t>
        </is>
      </c>
      <c r="E2326" t="n">
        <v>2941</v>
      </c>
      <c r="F2326" t="n">
        <v>99732.24000000001</v>
      </c>
      <c r="G2326" t="n">
        <v>6</v>
      </c>
      <c r="H2326" t="inlineStr">
        <is>
          <t>Standard</t>
        </is>
      </c>
      <c r="I2326" t="inlineStr">
        <is>
          <t>AWD</t>
        </is>
      </c>
      <c r="J2326" t="inlineStr">
        <is>
          <t>Blue</t>
        </is>
      </c>
      <c r="K2326" t="n">
        <v>624</v>
      </c>
      <c r="L2326" t="n">
        <v>49</v>
      </c>
      <c r="M2326" t="n">
        <v>15.23</v>
      </c>
      <c r="N2326" t="n">
        <v>6801.76</v>
      </c>
      <c r="O2326" t="n">
        <v>4.56</v>
      </c>
      <c r="P2326" t="n">
        <v>8</v>
      </c>
      <c r="Q2326" t="n">
        <v>1</v>
      </c>
      <c r="R2326" t="n">
        <v>2022.6</v>
      </c>
      <c r="S2326" t="b">
        <v>0</v>
      </c>
      <c r="T2326" t="n">
        <v>3577253</v>
      </c>
      <c r="U2326" t="n">
        <v>11</v>
      </c>
      <c r="V2326" t="n">
        <v>0.0712</v>
      </c>
      <c r="W2326" t="n">
        <v>0.92</v>
      </c>
      <c r="X2326" t="n">
        <v>81.52</v>
      </c>
      <c r="Y2326">
        <f>VLOOKUP(D2326,$AB$2:$AC$7,2,FALSE)</f>
        <v/>
      </c>
      <c r="Z2326">
        <f>IF(A2326&lt;Y2326,"Yes","No")</f>
        <v/>
      </c>
    </row>
    <row r="2327">
      <c r="A2327" t="n">
        <v>2023</v>
      </c>
      <c r="B2327" t="inlineStr">
        <is>
          <t>Q2</t>
        </is>
      </c>
      <c r="C2327" t="inlineStr">
        <is>
          <t>North America</t>
        </is>
      </c>
      <c r="D2327" t="inlineStr">
        <is>
          <t>Model S</t>
        </is>
      </c>
      <c r="E2327" t="n">
        <v>2845</v>
      </c>
      <c r="F2327" t="n">
        <v>72776.69</v>
      </c>
      <c r="G2327" t="n">
        <v>36</v>
      </c>
      <c r="H2327" t="inlineStr">
        <is>
          <t>Long Range</t>
        </is>
      </c>
      <c r="I2327" t="inlineStr">
        <is>
          <t>AWD</t>
        </is>
      </c>
      <c r="J2327" t="inlineStr">
        <is>
          <t>Black</t>
        </is>
      </c>
      <c r="K2327" t="n">
        <v>452</v>
      </c>
      <c r="L2327" t="n">
        <v>75</v>
      </c>
      <c r="M2327" t="n">
        <v>19.58</v>
      </c>
      <c r="N2327" t="n">
        <v>3436.8</v>
      </c>
      <c r="O2327" t="n">
        <v>4.01</v>
      </c>
      <c r="P2327" t="n">
        <v>5</v>
      </c>
      <c r="Q2327" t="n">
        <v>3</v>
      </c>
      <c r="R2327" t="n">
        <v>2024.12</v>
      </c>
      <c r="S2327" t="b">
        <v>0</v>
      </c>
      <c r="T2327" t="n">
        <v>3766157</v>
      </c>
      <c r="U2327" t="n">
        <v>12</v>
      </c>
      <c r="V2327" t="n">
        <v>0.08</v>
      </c>
      <c r="W2327" t="n">
        <v>1.76</v>
      </c>
      <c r="X2327" t="n">
        <v>60.2</v>
      </c>
      <c r="Y2327">
        <f>VLOOKUP(D2327,$AB$2:$AC$7,2,FALSE)</f>
        <v/>
      </c>
      <c r="Z2327">
        <f>IF(A2327&lt;Y2327,"Yes","No")</f>
        <v/>
      </c>
    </row>
    <row r="2328">
      <c r="A2328" t="n">
        <v>2014</v>
      </c>
      <c r="B2328" t="inlineStr">
        <is>
          <t>Q2</t>
        </is>
      </c>
      <c r="C2328" t="inlineStr">
        <is>
          <t>Asia</t>
        </is>
      </c>
      <c r="D2328" t="inlineStr">
        <is>
          <t>Model Y</t>
        </is>
      </c>
      <c r="E2328" t="n">
        <v>2378</v>
      </c>
      <c r="F2328" t="n">
        <v>36861.6</v>
      </c>
      <c r="G2328" t="n">
        <v>43</v>
      </c>
      <c r="H2328" t="inlineStr">
        <is>
          <t>Performance</t>
        </is>
      </c>
      <c r="I2328" t="inlineStr">
        <is>
          <t>AWD</t>
        </is>
      </c>
      <c r="J2328" t="inlineStr">
        <is>
          <t>Red</t>
        </is>
      </c>
      <c r="K2328" t="n">
        <v>668</v>
      </c>
      <c r="L2328" t="n">
        <v>69</v>
      </c>
      <c r="M2328" t="n">
        <v>22.12</v>
      </c>
      <c r="N2328" t="n">
        <v>3729.06</v>
      </c>
      <c r="O2328" t="n">
        <v>4.26</v>
      </c>
      <c r="P2328" t="n">
        <v>4</v>
      </c>
      <c r="Q2328" t="n">
        <v>2</v>
      </c>
      <c r="R2328" t="n">
        <v>2020.8</v>
      </c>
      <c r="S2328" t="b">
        <v>0</v>
      </c>
      <c r="T2328" t="n">
        <v>4256080</v>
      </c>
      <c r="U2328" t="n">
        <v>11</v>
      </c>
      <c r="V2328" t="n">
        <v>0.0992</v>
      </c>
      <c r="W2328" t="n">
        <v>1.64</v>
      </c>
      <c r="X2328" t="n">
        <v>78.2</v>
      </c>
      <c r="Y2328">
        <f>VLOOKUP(D2328,$AB$2:$AC$7,2,FALSE)</f>
        <v/>
      </c>
      <c r="Z2328">
        <f>IF(A2328&lt;Y2328,"Yes","No")</f>
        <v/>
      </c>
    </row>
    <row r="2329">
      <c r="A2329" t="n">
        <v>2015</v>
      </c>
      <c r="B2329" t="inlineStr">
        <is>
          <t>Q1</t>
        </is>
      </c>
      <c r="C2329" t="inlineStr">
        <is>
          <t>South America</t>
        </is>
      </c>
      <c r="D2329" t="inlineStr">
        <is>
          <t>Semi</t>
        </is>
      </c>
      <c r="E2329" t="n">
        <v>1060</v>
      </c>
      <c r="F2329" t="n">
        <v>110387.87</v>
      </c>
      <c r="G2329" t="n">
        <v>40</v>
      </c>
      <c r="H2329" t="inlineStr">
        <is>
          <t>Performance</t>
        </is>
      </c>
      <c r="I2329" t="inlineStr">
        <is>
          <t>RWD</t>
        </is>
      </c>
      <c r="J2329" t="inlineStr">
        <is>
          <t>Silver</t>
        </is>
      </c>
      <c r="K2329" t="n">
        <v>699</v>
      </c>
      <c r="L2329" t="n">
        <v>59</v>
      </c>
      <c r="M2329" t="n">
        <v>16.27</v>
      </c>
      <c r="N2329" t="n">
        <v>779.54</v>
      </c>
      <c r="O2329" t="n">
        <v>3.85</v>
      </c>
      <c r="P2329" t="n">
        <v>4</v>
      </c>
      <c r="Q2329" t="n">
        <v>0</v>
      </c>
      <c r="R2329" t="n">
        <v>2020.3</v>
      </c>
      <c r="S2329" t="b">
        <v>0</v>
      </c>
      <c r="T2329" t="n">
        <v>863737</v>
      </c>
      <c r="U2329" t="n">
        <v>7</v>
      </c>
      <c r="V2329" t="n">
        <v>0.0403</v>
      </c>
      <c r="W2329" t="n">
        <v>1.49</v>
      </c>
      <c r="X2329" t="n">
        <v>87.38</v>
      </c>
      <c r="Y2329">
        <f>VLOOKUP(D2329,$AB$2:$AC$7,2,FALSE)</f>
        <v/>
      </c>
      <c r="Z2329">
        <f>IF(A2329&lt;Y2329,"Yes","No")</f>
        <v/>
      </c>
    </row>
    <row r="2330">
      <c r="A2330" t="n">
        <v>2020</v>
      </c>
      <c r="B2330" t="inlineStr">
        <is>
          <t>Q4</t>
        </is>
      </c>
      <c r="C2330" t="inlineStr">
        <is>
          <t>Europe</t>
        </is>
      </c>
      <c r="D2330" t="inlineStr">
        <is>
          <t>Model Y</t>
        </is>
      </c>
      <c r="E2330" t="n">
        <v>1776</v>
      </c>
      <c r="F2330" t="n">
        <v>63325.09</v>
      </c>
      <c r="G2330" t="n">
        <v>12</v>
      </c>
      <c r="H2330" t="inlineStr">
        <is>
          <t>Standard</t>
        </is>
      </c>
      <c r="I2330" t="inlineStr">
        <is>
          <t>RWD</t>
        </is>
      </c>
      <c r="J2330" t="inlineStr">
        <is>
          <t>Red</t>
        </is>
      </c>
      <c r="K2330" t="n">
        <v>416</v>
      </c>
      <c r="L2330" t="n">
        <v>62</v>
      </c>
      <c r="M2330" t="n">
        <v>22.3</v>
      </c>
      <c r="N2330" t="n">
        <v>2994.83</v>
      </c>
      <c r="O2330" t="n">
        <v>4.1</v>
      </c>
      <c r="P2330" t="n">
        <v>8</v>
      </c>
      <c r="Q2330" t="n">
        <v>3</v>
      </c>
      <c r="R2330" t="n">
        <v>2024.6</v>
      </c>
      <c r="S2330" t="b">
        <v>0</v>
      </c>
      <c r="T2330" t="n">
        <v>1882834</v>
      </c>
      <c r="U2330" t="n">
        <v>3</v>
      </c>
      <c r="V2330" t="n">
        <v>0.018</v>
      </c>
      <c r="W2330" t="n">
        <v>0.82</v>
      </c>
      <c r="X2330" t="n">
        <v>62.01</v>
      </c>
      <c r="Y2330">
        <f>VLOOKUP(D2330,$AB$2:$AC$7,2,FALSE)</f>
        <v/>
      </c>
      <c r="Z2330">
        <f>IF(A2330&lt;Y2330,"Yes","No")</f>
        <v/>
      </c>
    </row>
    <row r="2331">
      <c r="A2331" t="n">
        <v>2023</v>
      </c>
      <c r="B2331" t="inlineStr">
        <is>
          <t>Q4</t>
        </is>
      </c>
      <c r="C2331" t="inlineStr">
        <is>
          <t>Asia</t>
        </is>
      </c>
      <c r="D2331" t="inlineStr">
        <is>
          <t>Model S</t>
        </is>
      </c>
      <c r="E2331" t="n">
        <v>2546</v>
      </c>
      <c r="F2331" t="n">
        <v>94565.75</v>
      </c>
      <c r="G2331" t="n">
        <v>16</v>
      </c>
      <c r="H2331" t="inlineStr">
        <is>
          <t>Long Range</t>
        </is>
      </c>
      <c r="I2331" t="inlineStr">
        <is>
          <t>AWD</t>
        </is>
      </c>
      <c r="J2331" t="inlineStr">
        <is>
          <t>Silver</t>
        </is>
      </c>
      <c r="K2331" t="n">
        <v>556</v>
      </c>
      <c r="L2331" t="n">
        <v>76</v>
      </c>
      <c r="M2331" t="n">
        <v>17.36</v>
      </c>
      <c r="N2331" t="n">
        <v>5297.92</v>
      </c>
      <c r="O2331" t="n">
        <v>4.62</v>
      </c>
      <c r="P2331" t="n">
        <v>4</v>
      </c>
      <c r="Q2331" t="n">
        <v>0</v>
      </c>
      <c r="R2331" t="n">
        <v>2022.6</v>
      </c>
      <c r="S2331" t="b">
        <v>0</v>
      </c>
      <c r="T2331" t="n">
        <v>4254624</v>
      </c>
      <c r="U2331" t="n">
        <v>3</v>
      </c>
      <c r="V2331" t="n">
        <v>0.0697</v>
      </c>
      <c r="W2331" t="n">
        <v>2.36</v>
      </c>
      <c r="X2331" t="n">
        <v>80.41</v>
      </c>
      <c r="Y2331">
        <f>VLOOKUP(D2331,$AB$2:$AC$7,2,FALSE)</f>
        <v/>
      </c>
      <c r="Z2331">
        <f>IF(A2331&lt;Y2331,"Yes","No")</f>
        <v/>
      </c>
    </row>
    <row r="2332">
      <c r="A2332" t="n">
        <v>2022</v>
      </c>
      <c r="B2332" t="inlineStr">
        <is>
          <t>Q2</t>
        </is>
      </c>
      <c r="C2332" t="inlineStr">
        <is>
          <t>Australia</t>
        </is>
      </c>
      <c r="D2332" t="inlineStr">
        <is>
          <t>Model X</t>
        </is>
      </c>
      <c r="E2332" t="n">
        <v>4746</v>
      </c>
      <c r="F2332" t="n">
        <v>70219.78</v>
      </c>
      <c r="G2332" t="n">
        <v>35</v>
      </c>
      <c r="H2332" t="inlineStr">
        <is>
          <t>Performance</t>
        </is>
      </c>
      <c r="I2332" t="inlineStr">
        <is>
          <t>RWD</t>
        </is>
      </c>
      <c r="J2332" t="inlineStr">
        <is>
          <t>Silver</t>
        </is>
      </c>
      <c r="K2332" t="n">
        <v>546</v>
      </c>
      <c r="L2332" t="n">
        <v>69</v>
      </c>
      <c r="M2332" t="n">
        <v>18.42</v>
      </c>
      <c r="N2332" t="n">
        <v>4167.48</v>
      </c>
      <c r="O2332" t="n">
        <v>4</v>
      </c>
      <c r="P2332" t="n">
        <v>6</v>
      </c>
      <c r="Q2332" t="n">
        <v>1</v>
      </c>
      <c r="R2332" t="n">
        <v>2022.3</v>
      </c>
      <c r="S2332" t="b">
        <v>1</v>
      </c>
      <c r="T2332" t="n">
        <v>937405</v>
      </c>
      <c r="U2332" t="n">
        <v>6</v>
      </c>
      <c r="V2332" t="n">
        <v>0.0611</v>
      </c>
      <c r="W2332" t="n">
        <v>2.04</v>
      </c>
      <c r="X2332" t="n">
        <v>65.01000000000001</v>
      </c>
      <c r="Y2332">
        <f>VLOOKUP(D2332,$AB$2:$AC$7,2,FALSE)</f>
        <v/>
      </c>
      <c r="Z2332">
        <f>IF(A2332&lt;Y2332,"Yes","No")</f>
        <v/>
      </c>
    </row>
    <row r="2333">
      <c r="A2333" t="n">
        <v>2013</v>
      </c>
      <c r="B2333" t="inlineStr">
        <is>
          <t>Q2</t>
        </is>
      </c>
      <c r="C2333" t="inlineStr">
        <is>
          <t>Asia</t>
        </is>
      </c>
      <c r="D2333" t="inlineStr">
        <is>
          <t>Semi</t>
        </is>
      </c>
      <c r="E2333" t="n">
        <v>4540</v>
      </c>
      <c r="F2333" t="n">
        <v>71825.49000000001</v>
      </c>
      <c r="G2333" t="n">
        <v>27</v>
      </c>
      <c r="H2333" t="inlineStr">
        <is>
          <t>Standard</t>
        </is>
      </c>
      <c r="I2333" t="inlineStr">
        <is>
          <t>AWD</t>
        </is>
      </c>
      <c r="J2333" t="inlineStr">
        <is>
          <t>Silver</t>
        </is>
      </c>
      <c r="K2333" t="n">
        <v>612</v>
      </c>
      <c r="L2333" t="n">
        <v>36</v>
      </c>
      <c r="M2333" t="n">
        <v>19.62</v>
      </c>
      <c r="N2333" t="n">
        <v>8463.73</v>
      </c>
      <c r="O2333" t="n">
        <v>3.57</v>
      </c>
      <c r="P2333" t="n">
        <v>4</v>
      </c>
      <c r="Q2333" t="n">
        <v>2</v>
      </c>
      <c r="R2333" t="n">
        <v>2020.5</v>
      </c>
      <c r="S2333" t="b">
        <v>1</v>
      </c>
      <c r="T2333" t="n">
        <v>2547882</v>
      </c>
      <c r="U2333" t="n">
        <v>2</v>
      </c>
      <c r="V2333" t="n">
        <v>0.0422</v>
      </c>
      <c r="W2333" t="n">
        <v>0.62</v>
      </c>
      <c r="X2333" t="n">
        <v>70.45999999999999</v>
      </c>
      <c r="Y2333">
        <f>VLOOKUP(D2333,$AB$2:$AC$7,2,FALSE)</f>
        <v/>
      </c>
      <c r="Z2333">
        <f>IF(A2333&lt;Y2333,"Yes","No")</f>
        <v/>
      </c>
    </row>
    <row r="2334">
      <c r="A2334" t="n">
        <v>2022</v>
      </c>
      <c r="B2334" t="inlineStr">
        <is>
          <t>Q1</t>
        </is>
      </c>
      <c r="C2334" t="inlineStr">
        <is>
          <t>Europe</t>
        </is>
      </c>
      <c r="D2334" t="inlineStr">
        <is>
          <t>Semi</t>
        </is>
      </c>
      <c r="E2334" t="n">
        <v>2231</v>
      </c>
      <c r="F2334" t="n">
        <v>75731.91</v>
      </c>
      <c r="G2334" t="n">
        <v>17</v>
      </c>
      <c r="H2334" t="inlineStr">
        <is>
          <t>Performance</t>
        </is>
      </c>
      <c r="I2334" t="inlineStr">
        <is>
          <t>AWD</t>
        </is>
      </c>
      <c r="J2334" t="inlineStr">
        <is>
          <t>Silver</t>
        </is>
      </c>
      <c r="K2334" t="n">
        <v>555</v>
      </c>
      <c r="L2334" t="n">
        <v>88</v>
      </c>
      <c r="M2334" t="n">
        <v>15.63</v>
      </c>
      <c r="N2334" t="n">
        <v>2965.63</v>
      </c>
      <c r="O2334" t="n">
        <v>3.61</v>
      </c>
      <c r="P2334" t="n">
        <v>5</v>
      </c>
      <c r="Q2334" t="n">
        <v>1</v>
      </c>
      <c r="R2334" t="n">
        <v>2023.5</v>
      </c>
      <c r="S2334" t="b">
        <v>0</v>
      </c>
      <c r="T2334" t="n">
        <v>1237974</v>
      </c>
      <c r="U2334" t="n">
        <v>7</v>
      </c>
      <c r="V2334" t="n">
        <v>0.0723</v>
      </c>
      <c r="W2334" t="n">
        <v>1.88</v>
      </c>
      <c r="X2334" t="n">
        <v>80.98</v>
      </c>
      <c r="Y2334">
        <f>VLOOKUP(D2334,$AB$2:$AC$7,2,FALSE)</f>
        <v/>
      </c>
      <c r="Z2334">
        <f>IF(A2334&lt;Y2334,"Yes","No")</f>
        <v/>
      </c>
    </row>
    <row r="2335">
      <c r="A2335" t="n">
        <v>2023</v>
      </c>
      <c r="B2335" t="inlineStr">
        <is>
          <t>Q2</t>
        </is>
      </c>
      <c r="C2335" t="inlineStr">
        <is>
          <t>Asia</t>
        </is>
      </c>
      <c r="D2335" t="inlineStr">
        <is>
          <t>Model X</t>
        </is>
      </c>
      <c r="E2335" t="n">
        <v>1785</v>
      </c>
      <c r="F2335" t="n">
        <v>85974.67</v>
      </c>
      <c r="G2335" t="n">
        <v>46</v>
      </c>
      <c r="H2335" t="inlineStr">
        <is>
          <t>Long Range</t>
        </is>
      </c>
      <c r="I2335" t="inlineStr">
        <is>
          <t>AWD</t>
        </is>
      </c>
      <c r="J2335" t="inlineStr">
        <is>
          <t>White</t>
        </is>
      </c>
      <c r="K2335" t="n">
        <v>414</v>
      </c>
      <c r="L2335" t="n">
        <v>46</v>
      </c>
      <c r="M2335" t="n">
        <v>13.31</v>
      </c>
      <c r="N2335" t="n">
        <v>4299.56</v>
      </c>
      <c r="O2335" t="n">
        <v>4.18</v>
      </c>
      <c r="P2335" t="n">
        <v>6</v>
      </c>
      <c r="Q2335" t="n">
        <v>1</v>
      </c>
      <c r="R2335" t="n">
        <v>2022.11</v>
      </c>
      <c r="S2335" t="b">
        <v>1</v>
      </c>
      <c r="T2335" t="n">
        <v>4891554</v>
      </c>
      <c r="U2335" t="n">
        <v>8</v>
      </c>
      <c r="V2335" t="n">
        <v>0.0575</v>
      </c>
      <c r="W2335" t="n">
        <v>1.17</v>
      </c>
      <c r="X2335" t="n">
        <v>78.77</v>
      </c>
      <c r="Y2335">
        <f>VLOOKUP(D2335,$AB$2:$AC$7,2,FALSE)</f>
        <v/>
      </c>
      <c r="Z2335">
        <f>IF(A2335&lt;Y2335,"Yes","No")</f>
        <v/>
      </c>
    </row>
    <row r="2336">
      <c r="A2336" t="n">
        <v>2019</v>
      </c>
      <c r="B2336" t="inlineStr">
        <is>
          <t>Q4</t>
        </is>
      </c>
      <c r="C2336" t="inlineStr">
        <is>
          <t>South America</t>
        </is>
      </c>
      <c r="D2336" t="inlineStr">
        <is>
          <t>Model 3</t>
        </is>
      </c>
      <c r="E2336" t="n">
        <v>206</v>
      </c>
      <c r="F2336" t="n">
        <v>83313.2</v>
      </c>
      <c r="G2336" t="n">
        <v>35</v>
      </c>
      <c r="H2336" t="inlineStr">
        <is>
          <t>Performance</t>
        </is>
      </c>
      <c r="I2336" t="inlineStr">
        <is>
          <t>AWD</t>
        </is>
      </c>
      <c r="J2336" t="inlineStr">
        <is>
          <t>Black</t>
        </is>
      </c>
      <c r="K2336" t="n">
        <v>428</v>
      </c>
      <c r="L2336" t="n">
        <v>49</v>
      </c>
      <c r="M2336" t="n">
        <v>22.4</v>
      </c>
      <c r="N2336" t="n">
        <v>419.92</v>
      </c>
      <c r="O2336" t="n">
        <v>4.08</v>
      </c>
      <c r="P2336" t="n">
        <v>6</v>
      </c>
      <c r="Q2336" t="n">
        <v>1</v>
      </c>
      <c r="R2336" t="n">
        <v>2024.1</v>
      </c>
      <c r="S2336" t="b">
        <v>0</v>
      </c>
      <c r="T2336" t="n">
        <v>113431</v>
      </c>
      <c r="U2336" t="n">
        <v>4</v>
      </c>
      <c r="V2336" t="n">
        <v>0.0107</v>
      </c>
      <c r="W2336" t="n">
        <v>2.02</v>
      </c>
      <c r="X2336" t="n">
        <v>74.04000000000001</v>
      </c>
      <c r="Y2336">
        <f>VLOOKUP(D2336,$AB$2:$AC$7,2,FALSE)</f>
        <v/>
      </c>
      <c r="Z2336">
        <f>IF(A2336&lt;Y2336,"Yes","No")</f>
        <v/>
      </c>
    </row>
    <row r="2337">
      <c r="A2337" t="n">
        <v>2023</v>
      </c>
      <c r="B2337" t="inlineStr">
        <is>
          <t>Q1</t>
        </is>
      </c>
      <c r="C2337" t="inlineStr">
        <is>
          <t>South America</t>
        </is>
      </c>
      <c r="D2337" t="inlineStr">
        <is>
          <t>Model Y</t>
        </is>
      </c>
      <c r="E2337" t="n">
        <v>2072</v>
      </c>
      <c r="F2337" t="n">
        <v>65425.61</v>
      </c>
      <c r="G2337" t="n">
        <v>58</v>
      </c>
      <c r="H2337" t="inlineStr">
        <is>
          <t>Standard</t>
        </is>
      </c>
      <c r="I2337" t="inlineStr">
        <is>
          <t>RWD</t>
        </is>
      </c>
      <c r="J2337" t="inlineStr">
        <is>
          <t>Silver</t>
        </is>
      </c>
      <c r="K2337" t="n">
        <v>389</v>
      </c>
      <c r="L2337" t="n">
        <v>34</v>
      </c>
      <c r="M2337" t="n">
        <v>18.63</v>
      </c>
      <c r="N2337" t="n">
        <v>3727.08</v>
      </c>
      <c r="O2337" t="n">
        <v>3.85</v>
      </c>
      <c r="P2337" t="n">
        <v>8</v>
      </c>
      <c r="Q2337" t="n">
        <v>0</v>
      </c>
      <c r="R2337" t="n">
        <v>2021.11</v>
      </c>
      <c r="S2337" t="b">
        <v>0</v>
      </c>
      <c r="T2337" t="n">
        <v>1809609</v>
      </c>
      <c r="U2337" t="n">
        <v>5</v>
      </c>
      <c r="V2337" t="n">
        <v>0.0549</v>
      </c>
      <c r="W2337" t="n">
        <v>1.45</v>
      </c>
      <c r="X2337" t="n">
        <v>75.94</v>
      </c>
      <c r="Y2337">
        <f>VLOOKUP(D2337,$AB$2:$AC$7,2,FALSE)</f>
        <v/>
      </c>
      <c r="Z2337">
        <f>IF(A2337&lt;Y2337,"Yes","No")</f>
        <v/>
      </c>
    </row>
    <row r="2338">
      <c r="A2338" t="n">
        <v>2012</v>
      </c>
      <c r="B2338" t="inlineStr">
        <is>
          <t>Q3</t>
        </is>
      </c>
      <c r="C2338" t="inlineStr">
        <is>
          <t>Europe</t>
        </is>
      </c>
      <c r="D2338" t="inlineStr">
        <is>
          <t>Model Y</t>
        </is>
      </c>
      <c r="E2338" t="n">
        <v>3970</v>
      </c>
      <c r="F2338" t="n">
        <v>113287.56</v>
      </c>
      <c r="G2338" t="n">
        <v>35</v>
      </c>
      <c r="H2338" t="inlineStr">
        <is>
          <t>Long Range</t>
        </is>
      </c>
      <c r="I2338" t="inlineStr">
        <is>
          <t>AWD</t>
        </is>
      </c>
      <c r="J2338" t="inlineStr">
        <is>
          <t>White</t>
        </is>
      </c>
      <c r="K2338" t="n">
        <v>451</v>
      </c>
      <c r="L2338" t="n">
        <v>59</v>
      </c>
      <c r="M2338" t="n">
        <v>14.04</v>
      </c>
      <c r="N2338" t="n">
        <v>3083.56</v>
      </c>
      <c r="O2338" t="n">
        <v>4.53</v>
      </c>
      <c r="P2338" t="n">
        <v>6</v>
      </c>
      <c r="Q2338" t="n">
        <v>1</v>
      </c>
      <c r="R2338" t="n">
        <v>2021.4</v>
      </c>
      <c r="S2338" t="b">
        <v>1</v>
      </c>
      <c r="T2338" t="n">
        <v>162027</v>
      </c>
      <c r="U2338" t="n">
        <v>5</v>
      </c>
      <c r="V2338" t="n">
        <v>0.09320000000000001</v>
      </c>
      <c r="W2338" t="n">
        <v>0.87</v>
      </c>
      <c r="X2338" t="n">
        <v>88.53</v>
      </c>
      <c r="Y2338">
        <f>VLOOKUP(D2338,$AB$2:$AC$7,2,FALSE)</f>
        <v/>
      </c>
      <c r="Z2338">
        <f>IF(A2338&lt;Y2338,"Yes","No")</f>
        <v/>
      </c>
    </row>
    <row r="2339">
      <c r="A2339" t="n">
        <v>2021</v>
      </c>
      <c r="B2339" t="inlineStr">
        <is>
          <t>Q4</t>
        </is>
      </c>
      <c r="C2339" t="inlineStr">
        <is>
          <t>Asia</t>
        </is>
      </c>
      <c r="D2339" t="inlineStr">
        <is>
          <t>Model Y</t>
        </is>
      </c>
      <c r="E2339" t="n">
        <v>2109</v>
      </c>
      <c r="F2339" t="n">
        <v>112877.11</v>
      </c>
      <c r="G2339" t="n">
        <v>4</v>
      </c>
      <c r="H2339" t="inlineStr">
        <is>
          <t>Standard</t>
        </is>
      </c>
      <c r="I2339" t="inlineStr">
        <is>
          <t>AWD</t>
        </is>
      </c>
      <c r="J2339" t="inlineStr">
        <is>
          <t>Red</t>
        </is>
      </c>
      <c r="K2339" t="n">
        <v>401</v>
      </c>
      <c r="L2339" t="n">
        <v>52</v>
      </c>
      <c r="M2339" t="n">
        <v>14.1</v>
      </c>
      <c r="N2339" t="n">
        <v>2803.13</v>
      </c>
      <c r="O2339" t="n">
        <v>3.84</v>
      </c>
      <c r="P2339" t="n">
        <v>6</v>
      </c>
      <c r="Q2339" t="n">
        <v>2</v>
      </c>
      <c r="R2339" t="n">
        <v>2021.3</v>
      </c>
      <c r="S2339" t="b">
        <v>0</v>
      </c>
      <c r="T2339" t="n">
        <v>3726878</v>
      </c>
      <c r="U2339" t="n">
        <v>5</v>
      </c>
      <c r="V2339" t="n">
        <v>0.0178</v>
      </c>
      <c r="W2339" t="n">
        <v>1.11</v>
      </c>
      <c r="X2339" t="n">
        <v>66.37</v>
      </c>
      <c r="Y2339">
        <f>VLOOKUP(D2339,$AB$2:$AC$7,2,FALSE)</f>
        <v/>
      </c>
      <c r="Z2339">
        <f>IF(A2339&lt;Y2339,"Yes","No")</f>
        <v/>
      </c>
    </row>
    <row r="2340">
      <c r="A2340" t="n">
        <v>2021</v>
      </c>
      <c r="B2340" t="inlineStr">
        <is>
          <t>Q1</t>
        </is>
      </c>
      <c r="C2340" t="inlineStr">
        <is>
          <t>Europe</t>
        </is>
      </c>
      <c r="D2340" t="inlineStr">
        <is>
          <t>Semi</t>
        </is>
      </c>
      <c r="E2340" t="n">
        <v>2599</v>
      </c>
      <c r="F2340" t="n">
        <v>93770.75</v>
      </c>
      <c r="G2340" t="n">
        <v>7</v>
      </c>
      <c r="H2340" t="inlineStr">
        <is>
          <t>Standard</t>
        </is>
      </c>
      <c r="I2340" t="inlineStr">
        <is>
          <t>AWD</t>
        </is>
      </c>
      <c r="J2340" t="inlineStr">
        <is>
          <t>White</t>
        </is>
      </c>
      <c r="K2340" t="n">
        <v>545</v>
      </c>
      <c r="L2340" t="n">
        <v>70</v>
      </c>
      <c r="M2340" t="n">
        <v>17.11</v>
      </c>
      <c r="N2340" t="n">
        <v>5763.89</v>
      </c>
      <c r="O2340" t="n">
        <v>4.56</v>
      </c>
      <c r="P2340" t="n">
        <v>8</v>
      </c>
      <c r="Q2340" t="n">
        <v>3</v>
      </c>
      <c r="R2340" t="n">
        <v>2020.4</v>
      </c>
      <c r="S2340" t="b">
        <v>0</v>
      </c>
      <c r="T2340" t="n">
        <v>2667937</v>
      </c>
      <c r="U2340" t="n">
        <v>8</v>
      </c>
      <c r="V2340" t="n">
        <v>0.08939999999999999</v>
      </c>
      <c r="W2340" t="n">
        <v>1.91</v>
      </c>
      <c r="X2340" t="n">
        <v>69.86</v>
      </c>
      <c r="Y2340">
        <f>VLOOKUP(D2340,$AB$2:$AC$7,2,FALSE)</f>
        <v/>
      </c>
      <c r="Z2340">
        <f>IF(A2340&lt;Y2340,"Yes","No")</f>
        <v/>
      </c>
    </row>
    <row r="2341">
      <c r="A2341" t="n">
        <v>2023</v>
      </c>
      <c r="B2341" t="inlineStr">
        <is>
          <t>Q3</t>
        </is>
      </c>
      <c r="C2341" t="inlineStr">
        <is>
          <t>Asia</t>
        </is>
      </c>
      <c r="D2341" t="inlineStr">
        <is>
          <t>Model 3</t>
        </is>
      </c>
      <c r="E2341" t="n">
        <v>1555</v>
      </c>
      <c r="F2341" t="n">
        <v>78778.22</v>
      </c>
      <c r="G2341" t="n">
        <v>40</v>
      </c>
      <c r="H2341" t="inlineStr">
        <is>
          <t>Standard</t>
        </is>
      </c>
      <c r="I2341" t="inlineStr">
        <is>
          <t>AWD</t>
        </is>
      </c>
      <c r="J2341" t="inlineStr">
        <is>
          <t>Black</t>
        </is>
      </c>
      <c r="K2341" t="n">
        <v>516</v>
      </c>
      <c r="L2341" t="n">
        <v>73</v>
      </c>
      <c r="M2341" t="n">
        <v>15.6</v>
      </c>
      <c r="N2341" t="n">
        <v>1737.85</v>
      </c>
      <c r="O2341" t="n">
        <v>4.49</v>
      </c>
      <c r="P2341" t="n">
        <v>5</v>
      </c>
      <c r="Q2341" t="n">
        <v>3</v>
      </c>
      <c r="R2341" t="n">
        <v>2024.1</v>
      </c>
      <c r="S2341" t="b">
        <v>1</v>
      </c>
      <c r="T2341" t="n">
        <v>2244623</v>
      </c>
      <c r="U2341" t="n">
        <v>11</v>
      </c>
      <c r="V2341" t="n">
        <v>0.0864</v>
      </c>
      <c r="W2341" t="n">
        <v>1.21</v>
      </c>
      <c r="X2341" t="n">
        <v>73.14</v>
      </c>
      <c r="Y2341">
        <f>VLOOKUP(D2341,$AB$2:$AC$7,2,FALSE)</f>
        <v/>
      </c>
      <c r="Z2341">
        <f>IF(A2341&lt;Y2341,"Yes","No")</f>
        <v/>
      </c>
    </row>
    <row r="2342">
      <c r="A2342" t="n">
        <v>2017</v>
      </c>
      <c r="B2342" t="inlineStr">
        <is>
          <t>Q2</t>
        </is>
      </c>
      <c r="C2342" t="inlineStr">
        <is>
          <t>Europe</t>
        </is>
      </c>
      <c r="D2342" t="inlineStr">
        <is>
          <t>Model X</t>
        </is>
      </c>
      <c r="E2342" t="n">
        <v>1494</v>
      </c>
      <c r="F2342" t="n">
        <v>45139.23</v>
      </c>
      <c r="G2342" t="n">
        <v>38</v>
      </c>
      <c r="H2342" t="inlineStr">
        <is>
          <t>Long Range</t>
        </is>
      </c>
      <c r="I2342" t="inlineStr">
        <is>
          <t>AWD</t>
        </is>
      </c>
      <c r="J2342" t="inlineStr">
        <is>
          <t>Green</t>
        </is>
      </c>
      <c r="K2342" t="n">
        <v>548</v>
      </c>
      <c r="L2342" t="n">
        <v>48</v>
      </c>
      <c r="M2342" t="n">
        <v>13.08</v>
      </c>
      <c r="N2342" t="n">
        <v>2041.45</v>
      </c>
      <c r="O2342" t="n">
        <v>3.63</v>
      </c>
      <c r="P2342" t="n">
        <v>5</v>
      </c>
      <c r="Q2342" t="n">
        <v>0</v>
      </c>
      <c r="R2342" t="n">
        <v>2022.5</v>
      </c>
      <c r="S2342" t="b">
        <v>1</v>
      </c>
      <c r="T2342" t="n">
        <v>1404965</v>
      </c>
      <c r="U2342" t="n">
        <v>6</v>
      </c>
      <c r="V2342" t="n">
        <v>0.0335</v>
      </c>
      <c r="W2342" t="n">
        <v>1.42</v>
      </c>
      <c r="X2342" t="n">
        <v>66.13</v>
      </c>
      <c r="Y2342">
        <f>VLOOKUP(D2342,$AB$2:$AC$7,2,FALSE)</f>
        <v/>
      </c>
      <c r="Z2342">
        <f>IF(A2342&lt;Y2342,"Yes","No")</f>
        <v/>
      </c>
    </row>
    <row r="2343">
      <c r="A2343" t="n">
        <v>2019</v>
      </c>
      <c r="B2343" t="inlineStr">
        <is>
          <t>Q3</t>
        </is>
      </c>
      <c r="C2343" t="inlineStr">
        <is>
          <t>North America</t>
        </is>
      </c>
      <c r="D2343" t="inlineStr">
        <is>
          <t>Model S</t>
        </is>
      </c>
      <c r="E2343" t="n">
        <v>3325</v>
      </c>
      <c r="F2343" t="n">
        <v>51730.19</v>
      </c>
      <c r="G2343" t="n">
        <v>31</v>
      </c>
      <c r="H2343" t="inlineStr">
        <is>
          <t>Performance</t>
        </is>
      </c>
      <c r="I2343" t="inlineStr">
        <is>
          <t>AWD</t>
        </is>
      </c>
      <c r="J2343" t="inlineStr">
        <is>
          <t>Black</t>
        </is>
      </c>
      <c r="K2343" t="n">
        <v>683</v>
      </c>
      <c r="L2343" t="n">
        <v>47</v>
      </c>
      <c r="M2343" t="n">
        <v>19.85</v>
      </c>
      <c r="N2343" t="n">
        <v>3342.9</v>
      </c>
      <c r="O2343" t="n">
        <v>4.8</v>
      </c>
      <c r="P2343" t="n">
        <v>6</v>
      </c>
      <c r="Q2343" t="n">
        <v>1</v>
      </c>
      <c r="R2343" t="n">
        <v>2023.1</v>
      </c>
      <c r="S2343" t="b">
        <v>0</v>
      </c>
      <c r="T2343" t="n">
        <v>1786166</v>
      </c>
      <c r="U2343" t="n">
        <v>8</v>
      </c>
      <c r="V2343" t="n">
        <v>0.0941</v>
      </c>
      <c r="W2343" t="n">
        <v>0.83</v>
      </c>
      <c r="X2343" t="n">
        <v>87.98</v>
      </c>
      <c r="Y2343">
        <f>VLOOKUP(D2343,$AB$2:$AC$7,2,FALSE)</f>
        <v/>
      </c>
      <c r="Z2343">
        <f>IF(A2343&lt;Y2343,"Yes","No")</f>
        <v/>
      </c>
    </row>
    <row r="2344">
      <c r="A2344" t="n">
        <v>2023</v>
      </c>
      <c r="B2344" t="inlineStr">
        <is>
          <t>Q1</t>
        </is>
      </c>
      <c r="C2344" t="inlineStr">
        <is>
          <t>Europe</t>
        </is>
      </c>
      <c r="D2344" t="inlineStr">
        <is>
          <t>Model Y</t>
        </is>
      </c>
      <c r="E2344" t="n">
        <v>2192</v>
      </c>
      <c r="F2344" t="n">
        <v>93158.03</v>
      </c>
      <c r="G2344" t="n">
        <v>60</v>
      </c>
      <c r="H2344" t="inlineStr">
        <is>
          <t>Long Range</t>
        </is>
      </c>
      <c r="I2344" t="inlineStr">
        <is>
          <t>AWD</t>
        </is>
      </c>
      <c r="J2344" t="inlineStr">
        <is>
          <t>Blue</t>
        </is>
      </c>
      <c r="K2344" t="n">
        <v>599</v>
      </c>
      <c r="L2344" t="n">
        <v>56</v>
      </c>
      <c r="M2344" t="n">
        <v>19.12</v>
      </c>
      <c r="N2344" t="n">
        <v>5236.18</v>
      </c>
      <c r="O2344" t="n">
        <v>4.22</v>
      </c>
      <c r="P2344" t="n">
        <v>8</v>
      </c>
      <c r="Q2344" t="n">
        <v>3</v>
      </c>
      <c r="R2344" t="n">
        <v>2022.7</v>
      </c>
      <c r="S2344" t="b">
        <v>0</v>
      </c>
      <c r="T2344" t="n">
        <v>1659611</v>
      </c>
      <c r="U2344" t="n">
        <v>8</v>
      </c>
      <c r="V2344" t="n">
        <v>0.0636</v>
      </c>
      <c r="W2344" t="n">
        <v>1.32</v>
      </c>
      <c r="X2344" t="n">
        <v>65.83</v>
      </c>
      <c r="Y2344">
        <f>VLOOKUP(D2344,$AB$2:$AC$7,2,FALSE)</f>
        <v/>
      </c>
      <c r="Z2344">
        <f>IF(A2344&lt;Y2344,"Yes","No")</f>
        <v/>
      </c>
    </row>
    <row r="2345">
      <c r="A2345" t="n">
        <v>2024</v>
      </c>
      <c r="B2345" t="inlineStr">
        <is>
          <t>Q1</t>
        </is>
      </c>
      <c r="C2345" t="inlineStr">
        <is>
          <t>Europe</t>
        </is>
      </c>
      <c r="D2345" t="inlineStr">
        <is>
          <t>Model 3</t>
        </is>
      </c>
      <c r="E2345" t="n">
        <v>1857</v>
      </c>
      <c r="F2345" t="n">
        <v>46270.28</v>
      </c>
      <c r="G2345" t="n">
        <v>39</v>
      </c>
      <c r="H2345" t="inlineStr">
        <is>
          <t>Performance</t>
        </is>
      </c>
      <c r="I2345" t="inlineStr">
        <is>
          <t>AWD</t>
        </is>
      </c>
      <c r="J2345" t="inlineStr">
        <is>
          <t>Red</t>
        </is>
      </c>
      <c r="K2345" t="n">
        <v>581</v>
      </c>
      <c r="L2345" t="n">
        <v>30</v>
      </c>
      <c r="M2345" t="n">
        <v>15.05</v>
      </c>
      <c r="N2345" t="n">
        <v>4456.79</v>
      </c>
      <c r="O2345" t="n">
        <v>4.5</v>
      </c>
      <c r="P2345" t="n">
        <v>8</v>
      </c>
      <c r="Q2345" t="n">
        <v>0</v>
      </c>
      <c r="R2345" t="n">
        <v>2024.1</v>
      </c>
      <c r="S2345" t="b">
        <v>0</v>
      </c>
      <c r="T2345" t="n">
        <v>691489</v>
      </c>
      <c r="U2345" t="n">
        <v>6</v>
      </c>
      <c r="V2345" t="n">
        <v>0.0871</v>
      </c>
      <c r="W2345" t="n">
        <v>1.07</v>
      </c>
      <c r="X2345" t="n">
        <v>62.82</v>
      </c>
      <c r="Y2345">
        <f>VLOOKUP(D2345,$AB$2:$AC$7,2,FALSE)</f>
        <v/>
      </c>
      <c r="Z2345">
        <f>IF(A2345&lt;Y2345,"Yes","No")</f>
        <v/>
      </c>
    </row>
    <row r="2346">
      <c r="A2346" t="n">
        <v>2020</v>
      </c>
      <c r="B2346" t="inlineStr">
        <is>
          <t>Q3</t>
        </is>
      </c>
      <c r="C2346" t="inlineStr">
        <is>
          <t>North America</t>
        </is>
      </c>
      <c r="D2346" t="inlineStr">
        <is>
          <t>Model X</t>
        </is>
      </c>
      <c r="E2346" t="n">
        <v>3815</v>
      </c>
      <c r="F2346" t="n">
        <v>65148.37</v>
      </c>
      <c r="G2346" t="n">
        <v>60</v>
      </c>
      <c r="H2346" t="inlineStr">
        <is>
          <t>Standard</t>
        </is>
      </c>
      <c r="I2346" t="inlineStr">
        <is>
          <t>RWD</t>
        </is>
      </c>
      <c r="J2346" t="inlineStr">
        <is>
          <t>Green</t>
        </is>
      </c>
      <c r="K2346" t="n">
        <v>371</v>
      </c>
      <c r="L2346" t="n">
        <v>80</v>
      </c>
      <c r="M2346" t="n">
        <v>15.51</v>
      </c>
      <c r="N2346" t="n">
        <v>4068.03</v>
      </c>
      <c r="O2346" t="n">
        <v>4.92</v>
      </c>
      <c r="P2346" t="n">
        <v>5</v>
      </c>
      <c r="Q2346" t="n">
        <v>3</v>
      </c>
      <c r="R2346" t="n">
        <v>2020.7</v>
      </c>
      <c r="S2346" t="b">
        <v>1</v>
      </c>
      <c r="T2346" t="n">
        <v>1422804</v>
      </c>
      <c r="U2346" t="n">
        <v>10</v>
      </c>
      <c r="V2346" t="n">
        <v>0.0513</v>
      </c>
      <c r="W2346" t="n">
        <v>1.13</v>
      </c>
      <c r="X2346" t="n">
        <v>72.12</v>
      </c>
      <c r="Y2346">
        <f>VLOOKUP(D2346,$AB$2:$AC$7,2,FALSE)</f>
        <v/>
      </c>
      <c r="Z2346">
        <f>IF(A2346&lt;Y2346,"Yes","No")</f>
        <v/>
      </c>
    </row>
    <row r="2347">
      <c r="A2347" t="n">
        <v>2016</v>
      </c>
      <c r="B2347" t="inlineStr">
        <is>
          <t>Q1</t>
        </is>
      </c>
      <c r="C2347" t="inlineStr">
        <is>
          <t>North America</t>
        </is>
      </c>
      <c r="D2347" t="inlineStr">
        <is>
          <t>Cybertruck</t>
        </is>
      </c>
      <c r="E2347" t="n">
        <v>3165</v>
      </c>
      <c r="F2347" t="n">
        <v>67515.58</v>
      </c>
      <c r="G2347" t="n">
        <v>43</v>
      </c>
      <c r="H2347" t="inlineStr">
        <is>
          <t>Long Range</t>
        </is>
      </c>
      <c r="I2347" t="inlineStr">
        <is>
          <t>AWD</t>
        </is>
      </c>
      <c r="J2347" t="inlineStr">
        <is>
          <t>Silver</t>
        </is>
      </c>
      <c r="K2347" t="n">
        <v>447</v>
      </c>
      <c r="L2347" t="n">
        <v>40</v>
      </c>
      <c r="M2347" t="n">
        <v>21.78</v>
      </c>
      <c r="N2347" t="n">
        <v>7616.15</v>
      </c>
      <c r="O2347" t="n">
        <v>4.18</v>
      </c>
      <c r="P2347" t="n">
        <v>4</v>
      </c>
      <c r="Q2347" t="n">
        <v>2</v>
      </c>
      <c r="R2347" t="n">
        <v>2020.7</v>
      </c>
      <c r="S2347" t="b">
        <v>1</v>
      </c>
      <c r="T2347" t="n">
        <v>1704156</v>
      </c>
      <c r="U2347" t="n">
        <v>2</v>
      </c>
      <c r="V2347" t="n">
        <v>0.0833</v>
      </c>
      <c r="W2347" t="n">
        <v>2.26</v>
      </c>
      <c r="X2347" t="n">
        <v>66.68000000000001</v>
      </c>
      <c r="Y2347">
        <f>VLOOKUP(D2347,$AB$2:$AC$7,2,FALSE)</f>
        <v/>
      </c>
      <c r="Z2347">
        <f>IF(A2347&lt;Y2347,"Yes","No")</f>
        <v/>
      </c>
    </row>
    <row r="2348">
      <c r="A2348" t="n">
        <v>2023</v>
      </c>
      <c r="B2348" t="inlineStr">
        <is>
          <t>Q4</t>
        </is>
      </c>
      <c r="C2348" t="inlineStr">
        <is>
          <t>North America</t>
        </is>
      </c>
      <c r="D2348" t="inlineStr">
        <is>
          <t>Model S</t>
        </is>
      </c>
      <c r="E2348" t="n">
        <v>1557</v>
      </c>
      <c r="F2348" t="n">
        <v>39187.62</v>
      </c>
      <c r="G2348" t="n">
        <v>30</v>
      </c>
      <c r="H2348" t="inlineStr">
        <is>
          <t>Standard</t>
        </is>
      </c>
      <c r="I2348" t="inlineStr">
        <is>
          <t>AWD</t>
        </is>
      </c>
      <c r="J2348" t="inlineStr">
        <is>
          <t>Green</t>
        </is>
      </c>
      <c r="K2348" t="n">
        <v>421</v>
      </c>
      <c r="L2348" t="n">
        <v>87</v>
      </c>
      <c r="M2348" t="n">
        <v>15.81</v>
      </c>
      <c r="N2348" t="n">
        <v>2423.2</v>
      </c>
      <c r="O2348" t="n">
        <v>4.72</v>
      </c>
      <c r="P2348" t="n">
        <v>6</v>
      </c>
      <c r="Q2348" t="n">
        <v>2</v>
      </c>
      <c r="R2348" t="n">
        <v>2020.12</v>
      </c>
      <c r="S2348" t="b">
        <v>1</v>
      </c>
      <c r="T2348" t="n">
        <v>1392325</v>
      </c>
      <c r="U2348" t="n">
        <v>2</v>
      </c>
      <c r="V2348" t="n">
        <v>0.0518</v>
      </c>
      <c r="W2348" t="n">
        <v>0.79</v>
      </c>
      <c r="X2348" t="n">
        <v>61.37</v>
      </c>
      <c r="Y2348">
        <f>VLOOKUP(D2348,$AB$2:$AC$7,2,FALSE)</f>
        <v/>
      </c>
      <c r="Z2348">
        <f>IF(A2348&lt;Y2348,"Yes","No")</f>
        <v/>
      </c>
    </row>
    <row r="2349">
      <c r="A2349" t="n">
        <v>2015</v>
      </c>
      <c r="B2349" t="inlineStr">
        <is>
          <t>Q2</t>
        </is>
      </c>
      <c r="C2349" t="inlineStr">
        <is>
          <t>Asia</t>
        </is>
      </c>
      <c r="D2349" t="inlineStr">
        <is>
          <t>Semi</t>
        </is>
      </c>
      <c r="E2349" t="n">
        <v>4583</v>
      </c>
      <c r="F2349" t="n">
        <v>47758.24</v>
      </c>
      <c r="G2349" t="n">
        <v>14</v>
      </c>
      <c r="H2349" t="inlineStr">
        <is>
          <t>Performance</t>
        </is>
      </c>
      <c r="I2349" t="inlineStr">
        <is>
          <t>RWD</t>
        </is>
      </c>
      <c r="J2349" t="inlineStr">
        <is>
          <t>Red</t>
        </is>
      </c>
      <c r="K2349" t="n">
        <v>404</v>
      </c>
      <c r="L2349" t="n">
        <v>74</v>
      </c>
      <c r="M2349" t="n">
        <v>14.44</v>
      </c>
      <c r="N2349" t="n">
        <v>4501.38</v>
      </c>
      <c r="O2349" t="n">
        <v>4.65</v>
      </c>
      <c r="P2349" t="n">
        <v>8</v>
      </c>
      <c r="Q2349" t="n">
        <v>3</v>
      </c>
      <c r="R2349" t="n">
        <v>2021.9</v>
      </c>
      <c r="S2349" t="b">
        <v>0</v>
      </c>
      <c r="T2349" t="n">
        <v>1419813</v>
      </c>
      <c r="U2349" t="n">
        <v>9</v>
      </c>
      <c r="V2349" t="n">
        <v>0.0596</v>
      </c>
      <c r="W2349" t="n">
        <v>1.44</v>
      </c>
      <c r="X2349" t="n">
        <v>89.41</v>
      </c>
      <c r="Y2349">
        <f>VLOOKUP(D2349,$AB$2:$AC$7,2,FALSE)</f>
        <v/>
      </c>
      <c r="Z2349">
        <f>IF(A2349&lt;Y2349,"Yes","No")</f>
        <v/>
      </c>
    </row>
    <row r="2350">
      <c r="A2350" t="n">
        <v>2020</v>
      </c>
      <c r="B2350" t="inlineStr">
        <is>
          <t>Q2</t>
        </is>
      </c>
      <c r="C2350" t="inlineStr">
        <is>
          <t>Europe</t>
        </is>
      </c>
      <c r="D2350" t="inlineStr">
        <is>
          <t>Model Y</t>
        </is>
      </c>
      <c r="E2350" t="n">
        <v>112</v>
      </c>
      <c r="F2350" t="n">
        <v>88959.37</v>
      </c>
      <c r="G2350" t="n">
        <v>45</v>
      </c>
      <c r="H2350" t="inlineStr">
        <is>
          <t>Long Range</t>
        </is>
      </c>
      <c r="I2350" t="inlineStr">
        <is>
          <t>AWD</t>
        </is>
      </c>
      <c r="J2350" t="inlineStr">
        <is>
          <t>Black</t>
        </is>
      </c>
      <c r="K2350" t="n">
        <v>653</v>
      </c>
      <c r="L2350" t="n">
        <v>79</v>
      </c>
      <c r="M2350" t="n">
        <v>17.6</v>
      </c>
      <c r="N2350" t="n">
        <v>251.45</v>
      </c>
      <c r="O2350" t="n">
        <v>4.77</v>
      </c>
      <c r="P2350" t="n">
        <v>8</v>
      </c>
      <c r="Q2350" t="n">
        <v>2</v>
      </c>
      <c r="R2350" t="n">
        <v>2020.5</v>
      </c>
      <c r="S2350" t="b">
        <v>0</v>
      </c>
      <c r="T2350" t="n">
        <v>2282869</v>
      </c>
      <c r="U2350" t="n">
        <v>10</v>
      </c>
      <c r="V2350" t="n">
        <v>0.0439</v>
      </c>
      <c r="W2350" t="n">
        <v>1.42</v>
      </c>
      <c r="X2350" t="n">
        <v>65.94</v>
      </c>
      <c r="Y2350">
        <f>VLOOKUP(D2350,$AB$2:$AC$7,2,FALSE)</f>
        <v/>
      </c>
      <c r="Z2350">
        <f>IF(A2350&lt;Y2350,"Yes","No")</f>
        <v/>
      </c>
    </row>
    <row r="2351">
      <c r="A2351" t="n">
        <v>2018</v>
      </c>
      <c r="B2351" t="inlineStr">
        <is>
          <t>Q2</t>
        </is>
      </c>
      <c r="C2351" t="inlineStr">
        <is>
          <t>North America</t>
        </is>
      </c>
      <c r="D2351" t="inlineStr">
        <is>
          <t>Model Y</t>
        </is>
      </c>
      <c r="E2351" t="n">
        <v>4374</v>
      </c>
      <c r="F2351" t="n">
        <v>40489.83</v>
      </c>
      <c r="G2351" t="n">
        <v>43</v>
      </c>
      <c r="H2351" t="inlineStr">
        <is>
          <t>Performance</t>
        </is>
      </c>
      <c r="I2351" t="inlineStr">
        <is>
          <t>RWD</t>
        </is>
      </c>
      <c r="J2351" t="inlineStr">
        <is>
          <t>Silver</t>
        </is>
      </c>
      <c r="K2351" t="n">
        <v>664</v>
      </c>
      <c r="L2351" t="n">
        <v>70</v>
      </c>
      <c r="M2351" t="n">
        <v>14.48</v>
      </c>
      <c r="N2351" t="n">
        <v>6611.2</v>
      </c>
      <c r="O2351" t="n">
        <v>4.16</v>
      </c>
      <c r="P2351" t="n">
        <v>4</v>
      </c>
      <c r="Q2351" t="n">
        <v>1</v>
      </c>
      <c r="R2351" t="n">
        <v>2024.9</v>
      </c>
      <c r="S2351" t="b">
        <v>1</v>
      </c>
      <c r="T2351" t="n">
        <v>628073</v>
      </c>
      <c r="U2351" t="n">
        <v>5</v>
      </c>
      <c r="V2351" t="n">
        <v>0.0109</v>
      </c>
      <c r="W2351" t="n">
        <v>0.51</v>
      </c>
      <c r="X2351" t="n">
        <v>68.15000000000001</v>
      </c>
      <c r="Y2351">
        <f>VLOOKUP(D2351,$AB$2:$AC$7,2,FALSE)</f>
        <v/>
      </c>
      <c r="Z2351">
        <f>IF(A2351&lt;Y2351,"Yes","No")</f>
        <v/>
      </c>
    </row>
    <row r="2352">
      <c r="A2352" t="n">
        <v>2022</v>
      </c>
      <c r="B2352" t="inlineStr">
        <is>
          <t>Q2</t>
        </is>
      </c>
      <c r="C2352" t="inlineStr">
        <is>
          <t>South America</t>
        </is>
      </c>
      <c r="D2352" t="inlineStr">
        <is>
          <t>Model S</t>
        </is>
      </c>
      <c r="E2352" t="n">
        <v>2422</v>
      </c>
      <c r="F2352" t="n">
        <v>111366.43</v>
      </c>
      <c r="G2352" t="n">
        <v>37</v>
      </c>
      <c r="H2352" t="inlineStr">
        <is>
          <t>Performance</t>
        </is>
      </c>
      <c r="I2352" t="inlineStr">
        <is>
          <t>AWD</t>
        </is>
      </c>
      <c r="J2352" t="inlineStr">
        <is>
          <t>Red</t>
        </is>
      </c>
      <c r="K2352" t="n">
        <v>674</v>
      </c>
      <c r="L2352" t="n">
        <v>58</v>
      </c>
      <c r="M2352" t="n">
        <v>20.09</v>
      </c>
      <c r="N2352" t="n">
        <v>2418.05</v>
      </c>
      <c r="O2352" t="n">
        <v>3.79</v>
      </c>
      <c r="P2352" t="n">
        <v>6</v>
      </c>
      <c r="Q2352" t="n">
        <v>0</v>
      </c>
      <c r="R2352" t="n">
        <v>2023.5</v>
      </c>
      <c r="S2352" t="b">
        <v>0</v>
      </c>
      <c r="T2352" t="n">
        <v>542896</v>
      </c>
      <c r="U2352" t="n">
        <v>6</v>
      </c>
      <c r="V2352" t="n">
        <v>0.0355</v>
      </c>
      <c r="W2352" t="n">
        <v>2.19</v>
      </c>
      <c r="X2352" t="n">
        <v>65.12</v>
      </c>
      <c r="Y2352">
        <f>VLOOKUP(D2352,$AB$2:$AC$7,2,FALSE)</f>
        <v/>
      </c>
      <c r="Z2352">
        <f>IF(A2352&lt;Y2352,"Yes","No")</f>
        <v/>
      </c>
    </row>
    <row r="2353">
      <c r="A2353" t="n">
        <v>2013</v>
      </c>
      <c r="B2353" t="inlineStr">
        <is>
          <t>Q2</t>
        </is>
      </c>
      <c r="C2353" t="inlineStr">
        <is>
          <t>South America</t>
        </is>
      </c>
      <c r="D2353" t="inlineStr">
        <is>
          <t>Cybertruck</t>
        </is>
      </c>
      <c r="E2353" t="n">
        <v>98</v>
      </c>
      <c r="F2353" t="n">
        <v>47077.1</v>
      </c>
      <c r="G2353" t="n">
        <v>33</v>
      </c>
      <c r="H2353" t="inlineStr">
        <is>
          <t>Long Range</t>
        </is>
      </c>
      <c r="I2353" t="inlineStr">
        <is>
          <t>RWD</t>
        </is>
      </c>
      <c r="J2353" t="inlineStr">
        <is>
          <t>Red</t>
        </is>
      </c>
      <c r="K2353" t="n">
        <v>559</v>
      </c>
      <c r="L2353" t="n">
        <v>35</v>
      </c>
      <c r="M2353" t="n">
        <v>21.09</v>
      </c>
      <c r="N2353" t="n">
        <v>165.01</v>
      </c>
      <c r="O2353" t="n">
        <v>4.97</v>
      </c>
      <c r="P2353" t="n">
        <v>8</v>
      </c>
      <c r="Q2353" t="n">
        <v>1</v>
      </c>
      <c r="R2353" t="n">
        <v>2022.1</v>
      </c>
      <c r="S2353" t="b">
        <v>0</v>
      </c>
      <c r="T2353" t="n">
        <v>1061833</v>
      </c>
      <c r="U2353" t="n">
        <v>12</v>
      </c>
      <c r="V2353" t="n">
        <v>0.0687</v>
      </c>
      <c r="W2353" t="n">
        <v>0.97</v>
      </c>
      <c r="X2353" t="n">
        <v>67.22</v>
      </c>
      <c r="Y2353">
        <f>VLOOKUP(D2353,$AB$2:$AC$7,2,FALSE)</f>
        <v/>
      </c>
      <c r="Z2353">
        <f>IF(A2353&lt;Y2353,"Yes","No")</f>
        <v/>
      </c>
    </row>
    <row r="2354">
      <c r="A2354" t="n">
        <v>2013</v>
      </c>
      <c r="B2354" t="inlineStr">
        <is>
          <t>Q2</t>
        </is>
      </c>
      <c r="C2354" t="inlineStr">
        <is>
          <t>Australia</t>
        </is>
      </c>
      <c r="D2354" t="inlineStr">
        <is>
          <t>Model S</t>
        </is>
      </c>
      <c r="E2354" t="n">
        <v>2672</v>
      </c>
      <c r="F2354" t="n">
        <v>76036.16</v>
      </c>
      <c r="G2354" t="n">
        <v>42</v>
      </c>
      <c r="H2354" t="inlineStr">
        <is>
          <t>Long Range</t>
        </is>
      </c>
      <c r="I2354" t="inlineStr">
        <is>
          <t>AWD</t>
        </is>
      </c>
      <c r="J2354" t="inlineStr">
        <is>
          <t>Red</t>
        </is>
      </c>
      <c r="K2354" t="n">
        <v>474</v>
      </c>
      <c r="L2354" t="n">
        <v>60</v>
      </c>
      <c r="M2354" t="n">
        <v>17.93</v>
      </c>
      <c r="N2354" t="n">
        <v>2184.28</v>
      </c>
      <c r="O2354" t="n">
        <v>4.12</v>
      </c>
      <c r="P2354" t="n">
        <v>6</v>
      </c>
      <c r="Q2354" t="n">
        <v>2</v>
      </c>
      <c r="R2354" t="n">
        <v>2020.12</v>
      </c>
      <c r="S2354" t="b">
        <v>0</v>
      </c>
      <c r="T2354" t="n">
        <v>1179010</v>
      </c>
      <c r="U2354" t="n">
        <v>7</v>
      </c>
      <c r="V2354" t="n">
        <v>0.09379999999999999</v>
      </c>
      <c r="W2354" t="n">
        <v>2.09</v>
      </c>
      <c r="X2354" t="n">
        <v>66.31</v>
      </c>
      <c r="Y2354">
        <f>VLOOKUP(D2354,$AB$2:$AC$7,2,FALSE)</f>
        <v/>
      </c>
      <c r="Z2354">
        <f>IF(A2354&lt;Y2354,"Yes","No")</f>
        <v/>
      </c>
    </row>
    <row r="2355">
      <c r="A2355" t="n">
        <v>2017</v>
      </c>
      <c r="B2355" t="inlineStr">
        <is>
          <t>Q1</t>
        </is>
      </c>
      <c r="C2355" t="inlineStr">
        <is>
          <t>Australia</t>
        </is>
      </c>
      <c r="D2355" t="inlineStr">
        <is>
          <t>Model 3</t>
        </is>
      </c>
      <c r="E2355" t="n">
        <v>2629</v>
      </c>
      <c r="F2355" t="n">
        <v>76910.83</v>
      </c>
      <c r="G2355" t="n">
        <v>4</v>
      </c>
      <c r="H2355" t="inlineStr">
        <is>
          <t>Standard</t>
        </is>
      </c>
      <c r="I2355" t="inlineStr">
        <is>
          <t>RWD</t>
        </is>
      </c>
      <c r="J2355" t="inlineStr">
        <is>
          <t>White</t>
        </is>
      </c>
      <c r="K2355" t="n">
        <v>492</v>
      </c>
      <c r="L2355" t="n">
        <v>75</v>
      </c>
      <c r="M2355" t="n">
        <v>18.2</v>
      </c>
      <c r="N2355" t="n">
        <v>5639.26</v>
      </c>
      <c r="O2355" t="n">
        <v>3.91</v>
      </c>
      <c r="P2355" t="n">
        <v>8</v>
      </c>
      <c r="Q2355" t="n">
        <v>0</v>
      </c>
      <c r="R2355" t="n">
        <v>2021.3</v>
      </c>
      <c r="S2355" t="b">
        <v>1</v>
      </c>
      <c r="T2355" t="n">
        <v>942759</v>
      </c>
      <c r="U2355" t="n">
        <v>2</v>
      </c>
      <c r="V2355" t="n">
        <v>0.08989999999999999</v>
      </c>
      <c r="W2355" t="n">
        <v>2.16</v>
      </c>
      <c r="X2355" t="n">
        <v>79.47</v>
      </c>
      <c r="Y2355">
        <f>VLOOKUP(D2355,$AB$2:$AC$7,2,FALSE)</f>
        <v/>
      </c>
      <c r="Z2355">
        <f>IF(A2355&lt;Y2355,"Yes","No")</f>
        <v/>
      </c>
    </row>
    <row r="2356">
      <c r="A2356" t="n">
        <v>2017</v>
      </c>
      <c r="B2356" t="inlineStr">
        <is>
          <t>Q3</t>
        </is>
      </c>
      <c r="C2356" t="inlineStr">
        <is>
          <t>North America</t>
        </is>
      </c>
      <c r="D2356" t="inlineStr">
        <is>
          <t>Model S</t>
        </is>
      </c>
      <c r="E2356" t="n">
        <v>4563</v>
      </c>
      <c r="F2356" t="n">
        <v>66249.28</v>
      </c>
      <c r="G2356" t="n">
        <v>5</v>
      </c>
      <c r="H2356" t="inlineStr">
        <is>
          <t>Standard</t>
        </is>
      </c>
      <c r="I2356" t="inlineStr">
        <is>
          <t>AWD</t>
        </is>
      </c>
      <c r="J2356" t="inlineStr">
        <is>
          <t>Red</t>
        </is>
      </c>
      <c r="K2356" t="n">
        <v>496</v>
      </c>
      <c r="L2356" t="n">
        <v>54</v>
      </c>
      <c r="M2356" t="n">
        <v>13.55</v>
      </c>
      <c r="N2356" t="n">
        <v>4027.49</v>
      </c>
      <c r="O2356" t="n">
        <v>4.62</v>
      </c>
      <c r="P2356" t="n">
        <v>5</v>
      </c>
      <c r="Q2356" t="n">
        <v>2</v>
      </c>
      <c r="R2356" t="n">
        <v>2024.7</v>
      </c>
      <c r="S2356" t="b">
        <v>1</v>
      </c>
      <c r="T2356" t="n">
        <v>4380277</v>
      </c>
      <c r="U2356" t="n">
        <v>11</v>
      </c>
      <c r="V2356" t="n">
        <v>0.0113</v>
      </c>
      <c r="W2356" t="n">
        <v>2.07</v>
      </c>
      <c r="X2356" t="n">
        <v>88.86</v>
      </c>
      <c r="Y2356">
        <f>VLOOKUP(D2356,$AB$2:$AC$7,2,FALSE)</f>
        <v/>
      </c>
      <c r="Z2356">
        <f>IF(A2356&lt;Y2356,"Yes","No")</f>
        <v/>
      </c>
    </row>
    <row r="2357">
      <c r="A2357" t="n">
        <v>2020</v>
      </c>
      <c r="B2357" t="inlineStr">
        <is>
          <t>Q1</t>
        </is>
      </c>
      <c r="C2357" t="inlineStr">
        <is>
          <t>Europe</t>
        </is>
      </c>
      <c r="D2357" t="inlineStr">
        <is>
          <t>Semi</t>
        </is>
      </c>
      <c r="E2357" t="n">
        <v>2035</v>
      </c>
      <c r="F2357" t="n">
        <v>63610.72</v>
      </c>
      <c r="G2357" t="n">
        <v>14</v>
      </c>
      <c r="H2357" t="inlineStr">
        <is>
          <t>Standard</t>
        </is>
      </c>
      <c r="I2357" t="inlineStr">
        <is>
          <t>RWD</t>
        </is>
      </c>
      <c r="J2357" t="inlineStr">
        <is>
          <t>Blue</t>
        </is>
      </c>
      <c r="K2357" t="n">
        <v>545</v>
      </c>
      <c r="L2357" t="n">
        <v>55</v>
      </c>
      <c r="M2357" t="n">
        <v>13.59</v>
      </c>
      <c r="N2357" t="n">
        <v>2861.17</v>
      </c>
      <c r="O2357" t="n">
        <v>4.1</v>
      </c>
      <c r="P2357" t="n">
        <v>5</v>
      </c>
      <c r="Q2357" t="n">
        <v>3</v>
      </c>
      <c r="R2357" t="n">
        <v>2024.11</v>
      </c>
      <c r="S2357" t="b">
        <v>0</v>
      </c>
      <c r="T2357" t="n">
        <v>4030347</v>
      </c>
      <c r="U2357" t="n">
        <v>10</v>
      </c>
      <c r="V2357" t="n">
        <v>0.0794</v>
      </c>
      <c r="W2357" t="n">
        <v>2.08</v>
      </c>
      <c r="X2357" t="n">
        <v>88.75</v>
      </c>
      <c r="Y2357">
        <f>VLOOKUP(D2357,$AB$2:$AC$7,2,FALSE)</f>
        <v/>
      </c>
      <c r="Z2357">
        <f>IF(A2357&lt;Y2357,"Yes","No")</f>
        <v/>
      </c>
    </row>
    <row r="2358">
      <c r="A2358" t="n">
        <v>2020</v>
      </c>
      <c r="B2358" t="inlineStr">
        <is>
          <t>Q1</t>
        </is>
      </c>
      <c r="C2358" t="inlineStr">
        <is>
          <t>South America</t>
        </is>
      </c>
      <c r="D2358" t="inlineStr">
        <is>
          <t>Model 3</t>
        </is>
      </c>
      <c r="E2358" t="n">
        <v>4406</v>
      </c>
      <c r="F2358" t="n">
        <v>54511.56</v>
      </c>
      <c r="G2358" t="n">
        <v>31</v>
      </c>
      <c r="H2358" t="inlineStr">
        <is>
          <t>Performance</t>
        </is>
      </c>
      <c r="I2358" t="inlineStr">
        <is>
          <t>RWD</t>
        </is>
      </c>
      <c r="J2358" t="inlineStr">
        <is>
          <t>Green</t>
        </is>
      </c>
      <c r="K2358" t="n">
        <v>373</v>
      </c>
      <c r="L2358" t="n">
        <v>52</v>
      </c>
      <c r="M2358" t="n">
        <v>24.7</v>
      </c>
      <c r="N2358" t="n">
        <v>2314.24</v>
      </c>
      <c r="O2358" t="n">
        <v>4.73</v>
      </c>
      <c r="P2358" t="n">
        <v>6</v>
      </c>
      <c r="Q2358" t="n">
        <v>3</v>
      </c>
      <c r="R2358" t="n">
        <v>2021.1</v>
      </c>
      <c r="S2358" t="b">
        <v>1</v>
      </c>
      <c r="T2358" t="n">
        <v>1649861</v>
      </c>
      <c r="U2358" t="n">
        <v>10</v>
      </c>
      <c r="V2358" t="n">
        <v>0.0248</v>
      </c>
      <c r="W2358" t="n">
        <v>0.6899999999999999</v>
      </c>
      <c r="X2358" t="n">
        <v>63.41</v>
      </c>
      <c r="Y2358">
        <f>VLOOKUP(D2358,$AB$2:$AC$7,2,FALSE)</f>
        <v/>
      </c>
      <c r="Z2358">
        <f>IF(A2358&lt;Y2358,"Yes","No")</f>
        <v/>
      </c>
    </row>
    <row r="2359">
      <c r="A2359" t="n">
        <v>2013</v>
      </c>
      <c r="B2359" t="inlineStr">
        <is>
          <t>Q3</t>
        </is>
      </c>
      <c r="C2359" t="inlineStr">
        <is>
          <t>South America</t>
        </is>
      </c>
      <c r="D2359" t="inlineStr">
        <is>
          <t>Model 3</t>
        </is>
      </c>
      <c r="E2359" t="n">
        <v>2598</v>
      </c>
      <c r="F2359" t="n">
        <v>88470.89999999999</v>
      </c>
      <c r="G2359" t="n">
        <v>54</v>
      </c>
      <c r="H2359" t="inlineStr">
        <is>
          <t>Standard</t>
        </is>
      </c>
      <c r="I2359" t="inlineStr">
        <is>
          <t>RWD</t>
        </is>
      </c>
      <c r="J2359" t="inlineStr">
        <is>
          <t>Green</t>
        </is>
      </c>
      <c r="K2359" t="n">
        <v>469</v>
      </c>
      <c r="L2359" t="n">
        <v>31</v>
      </c>
      <c r="M2359" t="n">
        <v>16.29</v>
      </c>
      <c r="N2359" t="n">
        <v>2834.75</v>
      </c>
      <c r="O2359" t="n">
        <v>4.07</v>
      </c>
      <c r="P2359" t="n">
        <v>8</v>
      </c>
      <c r="Q2359" t="n">
        <v>2</v>
      </c>
      <c r="R2359" t="n">
        <v>2021.6</v>
      </c>
      <c r="S2359" t="b">
        <v>0</v>
      </c>
      <c r="T2359" t="n">
        <v>1954427</v>
      </c>
      <c r="U2359" t="n">
        <v>6</v>
      </c>
      <c r="V2359" t="n">
        <v>0.0622</v>
      </c>
      <c r="W2359" t="n">
        <v>2.17</v>
      </c>
      <c r="X2359" t="n">
        <v>60.47</v>
      </c>
      <c r="Y2359">
        <f>VLOOKUP(D2359,$AB$2:$AC$7,2,FALSE)</f>
        <v/>
      </c>
      <c r="Z2359">
        <f>IF(A2359&lt;Y2359,"Yes","No")</f>
        <v/>
      </c>
    </row>
    <row r="2360">
      <c r="A2360" t="n">
        <v>2012</v>
      </c>
      <c r="B2360" t="inlineStr">
        <is>
          <t>Q1</t>
        </is>
      </c>
      <c r="C2360" t="inlineStr">
        <is>
          <t>South America</t>
        </is>
      </c>
      <c r="D2360" t="inlineStr">
        <is>
          <t>Model Y</t>
        </is>
      </c>
      <c r="E2360" t="n">
        <v>3488</v>
      </c>
      <c r="F2360" t="n">
        <v>79706.11</v>
      </c>
      <c r="G2360" t="n">
        <v>46</v>
      </c>
      <c r="H2360" t="inlineStr">
        <is>
          <t>Performance</t>
        </is>
      </c>
      <c r="I2360" t="inlineStr">
        <is>
          <t>AWD</t>
        </is>
      </c>
      <c r="J2360" t="inlineStr">
        <is>
          <t>Black</t>
        </is>
      </c>
      <c r="K2360" t="n">
        <v>491</v>
      </c>
      <c r="L2360" t="n">
        <v>53</v>
      </c>
      <c r="M2360" t="n">
        <v>13.09</v>
      </c>
      <c r="N2360" t="n">
        <v>3546.04</v>
      </c>
      <c r="O2360" t="n">
        <v>4.43</v>
      </c>
      <c r="P2360" t="n">
        <v>4</v>
      </c>
      <c r="Q2360" t="n">
        <v>0</v>
      </c>
      <c r="R2360" t="n">
        <v>2021.11</v>
      </c>
      <c r="S2360" t="b">
        <v>1</v>
      </c>
      <c r="T2360" t="n">
        <v>1899162</v>
      </c>
      <c r="U2360" t="n">
        <v>2</v>
      </c>
      <c r="V2360" t="n">
        <v>0.0499</v>
      </c>
      <c r="W2360" t="n">
        <v>1.28</v>
      </c>
      <c r="X2360" t="n">
        <v>71.70999999999999</v>
      </c>
      <c r="Y2360">
        <f>VLOOKUP(D2360,$AB$2:$AC$7,2,FALSE)</f>
        <v/>
      </c>
      <c r="Z2360">
        <f>IF(A2360&lt;Y2360,"Yes","No")</f>
        <v/>
      </c>
    </row>
    <row r="2361">
      <c r="A2361" t="n">
        <v>2019</v>
      </c>
      <c r="B2361" t="inlineStr">
        <is>
          <t>Q1</t>
        </is>
      </c>
      <c r="C2361" t="inlineStr">
        <is>
          <t>Australia</t>
        </is>
      </c>
      <c r="D2361" t="inlineStr">
        <is>
          <t>Semi</t>
        </is>
      </c>
      <c r="E2361" t="n">
        <v>920</v>
      </c>
      <c r="F2361" t="n">
        <v>67958.64</v>
      </c>
      <c r="G2361" t="n">
        <v>46</v>
      </c>
      <c r="H2361" t="inlineStr">
        <is>
          <t>Long Range</t>
        </is>
      </c>
      <c r="I2361" t="inlineStr">
        <is>
          <t>RWD</t>
        </is>
      </c>
      <c r="J2361" t="inlineStr">
        <is>
          <t>Blue</t>
        </is>
      </c>
      <c r="K2361" t="n">
        <v>509</v>
      </c>
      <c r="L2361" t="n">
        <v>80</v>
      </c>
      <c r="M2361" t="n">
        <v>21.28</v>
      </c>
      <c r="N2361" t="n">
        <v>1700.9</v>
      </c>
      <c r="O2361" t="n">
        <v>3.7</v>
      </c>
      <c r="P2361" t="n">
        <v>4</v>
      </c>
      <c r="Q2361" t="n">
        <v>3</v>
      </c>
      <c r="R2361" t="n">
        <v>2021.9</v>
      </c>
      <c r="S2361" t="b">
        <v>0</v>
      </c>
      <c r="T2361" t="n">
        <v>4489435</v>
      </c>
      <c r="U2361" t="n">
        <v>3</v>
      </c>
      <c r="V2361" t="n">
        <v>0.0561</v>
      </c>
      <c r="W2361" t="n">
        <v>1.57</v>
      </c>
      <c r="X2361" t="n">
        <v>77.22</v>
      </c>
      <c r="Y2361">
        <f>VLOOKUP(D2361,$AB$2:$AC$7,2,FALSE)</f>
        <v/>
      </c>
      <c r="Z2361">
        <f>IF(A2361&lt;Y2361,"Yes","No")</f>
        <v/>
      </c>
    </row>
    <row r="2362">
      <c r="A2362" t="n">
        <v>2021</v>
      </c>
      <c r="B2362" t="inlineStr">
        <is>
          <t>Q2</t>
        </is>
      </c>
      <c r="C2362" t="inlineStr">
        <is>
          <t>Europe</t>
        </is>
      </c>
      <c r="D2362" t="inlineStr">
        <is>
          <t>Model X</t>
        </is>
      </c>
      <c r="E2362" t="n">
        <v>2134</v>
      </c>
      <c r="F2362" t="n">
        <v>111226.52</v>
      </c>
      <c r="G2362" t="n">
        <v>3</v>
      </c>
      <c r="H2362" t="inlineStr">
        <is>
          <t>Long Range</t>
        </is>
      </c>
      <c r="I2362" t="inlineStr">
        <is>
          <t>RWD</t>
        </is>
      </c>
      <c r="J2362" t="inlineStr">
        <is>
          <t>Blue</t>
        </is>
      </c>
      <c r="K2362" t="n">
        <v>422</v>
      </c>
      <c r="L2362" t="n">
        <v>84</v>
      </c>
      <c r="M2362" t="n">
        <v>24.09</v>
      </c>
      <c r="N2362" t="n">
        <v>3194.44</v>
      </c>
      <c r="O2362" t="n">
        <v>4.19</v>
      </c>
      <c r="P2362" t="n">
        <v>4</v>
      </c>
      <c r="Q2362" t="n">
        <v>1</v>
      </c>
      <c r="R2362" t="n">
        <v>2024.7</v>
      </c>
      <c r="S2362" t="b">
        <v>1</v>
      </c>
      <c r="T2362" t="n">
        <v>3486842</v>
      </c>
      <c r="U2362" t="n">
        <v>4</v>
      </c>
      <c r="V2362" t="n">
        <v>0.0123</v>
      </c>
      <c r="W2362" t="n">
        <v>2.44</v>
      </c>
      <c r="X2362" t="n">
        <v>62.23</v>
      </c>
      <c r="Y2362">
        <f>VLOOKUP(D2362,$AB$2:$AC$7,2,FALSE)</f>
        <v/>
      </c>
      <c r="Z2362">
        <f>IF(A2362&lt;Y2362,"Yes","No")</f>
        <v/>
      </c>
    </row>
    <row r="2363">
      <c r="A2363" t="n">
        <v>2012</v>
      </c>
      <c r="B2363" t="inlineStr">
        <is>
          <t>Q3</t>
        </is>
      </c>
      <c r="C2363" t="inlineStr">
        <is>
          <t>South America</t>
        </is>
      </c>
      <c r="D2363" t="inlineStr">
        <is>
          <t>Semi</t>
        </is>
      </c>
      <c r="E2363" t="n">
        <v>2462</v>
      </c>
      <c r="F2363" t="n">
        <v>115931.29</v>
      </c>
      <c r="G2363" t="n">
        <v>30</v>
      </c>
      <c r="H2363" t="inlineStr">
        <is>
          <t>Performance</t>
        </is>
      </c>
      <c r="I2363" t="inlineStr">
        <is>
          <t>AWD</t>
        </is>
      </c>
      <c r="J2363" t="inlineStr">
        <is>
          <t>Black</t>
        </is>
      </c>
      <c r="K2363" t="n">
        <v>384</v>
      </c>
      <c r="L2363" t="n">
        <v>87</v>
      </c>
      <c r="M2363" t="n">
        <v>20.49</v>
      </c>
      <c r="N2363" t="n">
        <v>1538.93</v>
      </c>
      <c r="O2363" t="n">
        <v>3.58</v>
      </c>
      <c r="P2363" t="n">
        <v>8</v>
      </c>
      <c r="Q2363" t="n">
        <v>3</v>
      </c>
      <c r="R2363" t="n">
        <v>2024.7</v>
      </c>
      <c r="S2363" t="b">
        <v>1</v>
      </c>
      <c r="T2363" t="n">
        <v>3773159</v>
      </c>
      <c r="U2363" t="n">
        <v>4</v>
      </c>
      <c r="V2363" t="n">
        <v>0.019</v>
      </c>
      <c r="W2363" t="n">
        <v>1.59</v>
      </c>
      <c r="X2363" t="n">
        <v>70.89</v>
      </c>
      <c r="Y2363">
        <f>VLOOKUP(D2363,$AB$2:$AC$7,2,FALSE)</f>
        <v/>
      </c>
      <c r="Z2363">
        <f>IF(A2363&lt;Y2363,"Yes","No")</f>
        <v/>
      </c>
    </row>
    <row r="2364">
      <c r="A2364" t="n">
        <v>2020</v>
      </c>
      <c r="B2364" t="inlineStr">
        <is>
          <t>Q2</t>
        </is>
      </c>
      <c r="C2364" t="inlineStr">
        <is>
          <t>Asia</t>
        </is>
      </c>
      <c r="D2364" t="inlineStr">
        <is>
          <t>Cybertruck</t>
        </is>
      </c>
      <c r="E2364" t="n">
        <v>2099</v>
      </c>
      <c r="F2364" t="n">
        <v>96764.91</v>
      </c>
      <c r="G2364" t="n">
        <v>59</v>
      </c>
      <c r="H2364" t="inlineStr">
        <is>
          <t>Performance</t>
        </is>
      </c>
      <c r="I2364" t="inlineStr">
        <is>
          <t>AWD</t>
        </is>
      </c>
      <c r="J2364" t="inlineStr">
        <is>
          <t>White</t>
        </is>
      </c>
      <c r="K2364" t="n">
        <v>596</v>
      </c>
      <c r="L2364" t="n">
        <v>32</v>
      </c>
      <c r="M2364" t="n">
        <v>22.35</v>
      </c>
      <c r="N2364" t="n">
        <v>4946.09</v>
      </c>
      <c r="O2364" t="n">
        <v>4.54</v>
      </c>
      <c r="P2364" t="n">
        <v>4</v>
      </c>
      <c r="Q2364" t="n">
        <v>1</v>
      </c>
      <c r="R2364" t="n">
        <v>2023.6</v>
      </c>
      <c r="S2364" t="b">
        <v>0</v>
      </c>
      <c r="T2364" t="n">
        <v>3006320</v>
      </c>
      <c r="U2364" t="n">
        <v>8</v>
      </c>
      <c r="V2364" t="n">
        <v>0.0871</v>
      </c>
      <c r="W2364" t="n">
        <v>1.89</v>
      </c>
      <c r="X2364" t="n">
        <v>63.03</v>
      </c>
      <c r="Y2364">
        <f>VLOOKUP(D2364,$AB$2:$AC$7,2,FALSE)</f>
        <v/>
      </c>
      <c r="Z2364">
        <f>IF(A2364&lt;Y2364,"Yes","No")</f>
        <v/>
      </c>
    </row>
    <row r="2365">
      <c r="A2365" t="n">
        <v>2018</v>
      </c>
      <c r="B2365" t="inlineStr">
        <is>
          <t>Q3</t>
        </is>
      </c>
      <c r="C2365" t="inlineStr">
        <is>
          <t>Australia</t>
        </is>
      </c>
      <c r="D2365" t="inlineStr">
        <is>
          <t>Model Y</t>
        </is>
      </c>
      <c r="E2365" t="n">
        <v>3487</v>
      </c>
      <c r="F2365" t="n">
        <v>73891.78999999999</v>
      </c>
      <c r="G2365" t="n">
        <v>21</v>
      </c>
      <c r="H2365" t="inlineStr">
        <is>
          <t>Long Range</t>
        </is>
      </c>
      <c r="I2365" t="inlineStr">
        <is>
          <t>AWD</t>
        </is>
      </c>
      <c r="J2365" t="inlineStr">
        <is>
          <t>Red</t>
        </is>
      </c>
      <c r="K2365" t="n">
        <v>410</v>
      </c>
      <c r="L2365" t="n">
        <v>38</v>
      </c>
      <c r="M2365" t="n">
        <v>13.47</v>
      </c>
      <c r="N2365" t="n">
        <v>5189.69</v>
      </c>
      <c r="O2365" t="n">
        <v>3.66</v>
      </c>
      <c r="P2365" t="n">
        <v>4</v>
      </c>
      <c r="Q2365" t="n">
        <v>2</v>
      </c>
      <c r="R2365" t="n">
        <v>2024.1</v>
      </c>
      <c r="S2365" t="b">
        <v>1</v>
      </c>
      <c r="T2365" t="n">
        <v>3180481</v>
      </c>
      <c r="U2365" t="n">
        <v>11</v>
      </c>
      <c r="V2365" t="n">
        <v>0.048</v>
      </c>
      <c r="W2365" t="n">
        <v>1.76</v>
      </c>
      <c r="X2365" t="n">
        <v>84.25</v>
      </c>
      <c r="Y2365">
        <f>VLOOKUP(D2365,$AB$2:$AC$7,2,FALSE)</f>
        <v/>
      </c>
      <c r="Z2365">
        <f>IF(A2365&lt;Y2365,"Yes","No")</f>
        <v/>
      </c>
    </row>
    <row r="2366">
      <c r="A2366" t="n">
        <v>2024</v>
      </c>
      <c r="B2366" t="inlineStr">
        <is>
          <t>Q4</t>
        </is>
      </c>
      <c r="C2366" t="inlineStr">
        <is>
          <t>Europe</t>
        </is>
      </c>
      <c r="D2366" t="inlineStr">
        <is>
          <t>Model X</t>
        </is>
      </c>
      <c r="E2366" t="n">
        <v>2827</v>
      </c>
      <c r="F2366" t="n">
        <v>46666.07</v>
      </c>
      <c r="G2366" t="n">
        <v>29</v>
      </c>
      <c r="H2366" t="inlineStr">
        <is>
          <t>Long Range</t>
        </is>
      </c>
      <c r="I2366" t="inlineStr">
        <is>
          <t>AWD</t>
        </is>
      </c>
      <c r="J2366" t="inlineStr">
        <is>
          <t>White</t>
        </is>
      </c>
      <c r="K2366" t="n">
        <v>364</v>
      </c>
      <c r="L2366" t="n">
        <v>75</v>
      </c>
      <c r="M2366" t="n">
        <v>21.55</v>
      </c>
      <c r="N2366" t="n">
        <v>6200.76</v>
      </c>
      <c r="O2366" t="n">
        <v>4.82</v>
      </c>
      <c r="P2366" t="n">
        <v>5</v>
      </c>
      <c r="Q2366" t="n">
        <v>2</v>
      </c>
      <c r="R2366" t="n">
        <v>2024.11</v>
      </c>
      <c r="S2366" t="b">
        <v>0</v>
      </c>
      <c r="T2366" t="n">
        <v>4592204</v>
      </c>
      <c r="U2366" t="n">
        <v>2</v>
      </c>
      <c r="V2366" t="n">
        <v>0.0856</v>
      </c>
      <c r="W2366" t="n">
        <v>1.34</v>
      </c>
      <c r="X2366" t="n">
        <v>75.12</v>
      </c>
      <c r="Y2366">
        <f>VLOOKUP(D2366,$AB$2:$AC$7,2,FALSE)</f>
        <v/>
      </c>
      <c r="Z2366">
        <f>IF(A2366&lt;Y2366,"Yes","No")</f>
        <v/>
      </c>
    </row>
    <row r="2367">
      <c r="A2367" t="n">
        <v>2022</v>
      </c>
      <c r="B2367" t="inlineStr">
        <is>
          <t>Q2</t>
        </is>
      </c>
      <c r="C2367" t="inlineStr">
        <is>
          <t>North America</t>
        </is>
      </c>
      <c r="D2367" t="inlineStr">
        <is>
          <t>Model X</t>
        </is>
      </c>
      <c r="E2367" t="n">
        <v>1722</v>
      </c>
      <c r="F2367" t="n">
        <v>58822.04</v>
      </c>
      <c r="G2367" t="n">
        <v>9</v>
      </c>
      <c r="H2367" t="inlineStr">
        <is>
          <t>Standard</t>
        </is>
      </c>
      <c r="I2367" t="inlineStr">
        <is>
          <t>RWD</t>
        </is>
      </c>
      <c r="J2367" t="inlineStr">
        <is>
          <t>Silver</t>
        </is>
      </c>
      <c r="K2367" t="n">
        <v>541</v>
      </c>
      <c r="L2367" t="n">
        <v>43</v>
      </c>
      <c r="M2367" t="n">
        <v>14.57</v>
      </c>
      <c r="N2367" t="n">
        <v>3849.97</v>
      </c>
      <c r="O2367" t="n">
        <v>4.54</v>
      </c>
      <c r="P2367" t="n">
        <v>4</v>
      </c>
      <c r="Q2367" t="n">
        <v>0</v>
      </c>
      <c r="R2367" t="n">
        <v>2021.4</v>
      </c>
      <c r="S2367" t="b">
        <v>1</v>
      </c>
      <c r="T2367" t="n">
        <v>180541</v>
      </c>
      <c r="U2367" t="n">
        <v>11</v>
      </c>
      <c r="V2367" t="n">
        <v>0.0112</v>
      </c>
      <c r="W2367" t="n">
        <v>0.51</v>
      </c>
      <c r="X2367" t="n">
        <v>67.42</v>
      </c>
      <c r="Y2367">
        <f>VLOOKUP(D2367,$AB$2:$AC$7,2,FALSE)</f>
        <v/>
      </c>
      <c r="Z2367">
        <f>IF(A2367&lt;Y2367,"Yes","No")</f>
        <v/>
      </c>
    </row>
    <row r="2368">
      <c r="A2368" t="n">
        <v>2018</v>
      </c>
      <c r="B2368" t="inlineStr">
        <is>
          <t>Q3</t>
        </is>
      </c>
      <c r="C2368" t="inlineStr">
        <is>
          <t>South America</t>
        </is>
      </c>
      <c r="D2368" t="inlineStr">
        <is>
          <t>Model X</t>
        </is>
      </c>
      <c r="E2368" t="n">
        <v>4696</v>
      </c>
      <c r="F2368" t="n">
        <v>91218.16</v>
      </c>
      <c r="G2368" t="n">
        <v>1</v>
      </c>
      <c r="H2368" t="inlineStr">
        <is>
          <t>Standard</t>
        </is>
      </c>
      <c r="I2368" t="inlineStr">
        <is>
          <t>RWD</t>
        </is>
      </c>
      <c r="J2368" t="inlineStr">
        <is>
          <t>Red</t>
        </is>
      </c>
      <c r="K2368" t="n">
        <v>523</v>
      </c>
      <c r="L2368" t="n">
        <v>57</v>
      </c>
      <c r="M2368" t="n">
        <v>16.99</v>
      </c>
      <c r="N2368" t="n">
        <v>2351.8</v>
      </c>
      <c r="O2368" t="n">
        <v>4.75</v>
      </c>
      <c r="P2368" t="n">
        <v>8</v>
      </c>
      <c r="Q2368" t="n">
        <v>3</v>
      </c>
      <c r="R2368" t="n">
        <v>2020.11</v>
      </c>
      <c r="S2368" t="b">
        <v>1</v>
      </c>
      <c r="T2368" t="n">
        <v>2825505</v>
      </c>
      <c r="U2368" t="n">
        <v>11</v>
      </c>
      <c r="V2368" t="n">
        <v>0.0151</v>
      </c>
      <c r="W2368" t="n">
        <v>1.86</v>
      </c>
      <c r="X2368" t="n">
        <v>73.83</v>
      </c>
      <c r="Y2368">
        <f>VLOOKUP(D2368,$AB$2:$AC$7,2,FALSE)</f>
        <v/>
      </c>
      <c r="Z2368">
        <f>IF(A2368&lt;Y2368,"Yes","No")</f>
        <v/>
      </c>
    </row>
    <row r="2369">
      <c r="A2369" t="n">
        <v>2021</v>
      </c>
      <c r="B2369" t="inlineStr">
        <is>
          <t>Q1</t>
        </is>
      </c>
      <c r="C2369" t="inlineStr">
        <is>
          <t>Asia</t>
        </is>
      </c>
      <c r="D2369" t="inlineStr">
        <is>
          <t>Model Y</t>
        </is>
      </c>
      <c r="E2369" t="n">
        <v>1630</v>
      </c>
      <c r="F2369" t="n">
        <v>68569.10000000001</v>
      </c>
      <c r="G2369" t="n">
        <v>54</v>
      </c>
      <c r="H2369" t="inlineStr">
        <is>
          <t>Standard</t>
        </is>
      </c>
      <c r="I2369" t="inlineStr">
        <is>
          <t>AWD</t>
        </is>
      </c>
      <c r="J2369" t="inlineStr">
        <is>
          <t>Silver</t>
        </is>
      </c>
      <c r="K2369" t="n">
        <v>448</v>
      </c>
      <c r="L2369" t="n">
        <v>79</v>
      </c>
      <c r="M2369" t="n">
        <v>19.26</v>
      </c>
      <c r="N2369" t="n">
        <v>3686.71</v>
      </c>
      <c r="O2369" t="n">
        <v>4.3</v>
      </c>
      <c r="P2369" t="n">
        <v>5</v>
      </c>
      <c r="Q2369" t="n">
        <v>3</v>
      </c>
      <c r="R2369" t="n">
        <v>2021.7</v>
      </c>
      <c r="S2369" t="b">
        <v>0</v>
      </c>
      <c r="T2369" t="n">
        <v>767100</v>
      </c>
      <c r="U2369" t="n">
        <v>8</v>
      </c>
      <c r="V2369" t="n">
        <v>0.073</v>
      </c>
      <c r="W2369" t="n">
        <v>1.28</v>
      </c>
      <c r="X2369" t="n">
        <v>73.34999999999999</v>
      </c>
      <c r="Y2369">
        <f>VLOOKUP(D2369,$AB$2:$AC$7,2,FALSE)</f>
        <v/>
      </c>
      <c r="Z2369">
        <f>IF(A2369&lt;Y2369,"Yes","No")</f>
        <v/>
      </c>
    </row>
    <row r="2370">
      <c r="A2370" t="n">
        <v>2019</v>
      </c>
      <c r="B2370" t="inlineStr">
        <is>
          <t>Q1</t>
        </is>
      </c>
      <c r="C2370" t="inlineStr">
        <is>
          <t>Australia</t>
        </is>
      </c>
      <c r="D2370" t="inlineStr">
        <is>
          <t>Semi</t>
        </is>
      </c>
      <c r="E2370" t="n">
        <v>3799</v>
      </c>
      <c r="F2370" t="n">
        <v>62053.82</v>
      </c>
      <c r="G2370" t="n">
        <v>38</v>
      </c>
      <c r="H2370" t="inlineStr">
        <is>
          <t>Long Range</t>
        </is>
      </c>
      <c r="I2370" t="inlineStr">
        <is>
          <t>RWD</t>
        </is>
      </c>
      <c r="J2370" t="inlineStr">
        <is>
          <t>Green</t>
        </is>
      </c>
      <c r="K2370" t="n">
        <v>442</v>
      </c>
      <c r="L2370" t="n">
        <v>74</v>
      </c>
      <c r="M2370" t="n">
        <v>17.62</v>
      </c>
      <c r="N2370" t="n">
        <v>2653.75</v>
      </c>
      <c r="O2370" t="n">
        <v>4.78</v>
      </c>
      <c r="P2370" t="n">
        <v>8</v>
      </c>
      <c r="Q2370" t="n">
        <v>0</v>
      </c>
      <c r="R2370" t="n">
        <v>2022.2</v>
      </c>
      <c r="S2370" t="b">
        <v>1</v>
      </c>
      <c r="T2370" t="n">
        <v>2262772</v>
      </c>
      <c r="U2370" t="n">
        <v>7</v>
      </c>
      <c r="V2370" t="n">
        <v>0.0849</v>
      </c>
      <c r="W2370" t="n">
        <v>2.09</v>
      </c>
      <c r="X2370" t="n">
        <v>82.56999999999999</v>
      </c>
      <c r="Y2370">
        <f>VLOOKUP(D2370,$AB$2:$AC$7,2,FALSE)</f>
        <v/>
      </c>
      <c r="Z2370">
        <f>IF(A2370&lt;Y2370,"Yes","No")</f>
        <v/>
      </c>
    </row>
    <row r="2371">
      <c r="A2371" t="n">
        <v>2019</v>
      </c>
      <c r="B2371" t="inlineStr">
        <is>
          <t>Q1</t>
        </is>
      </c>
      <c r="C2371" t="inlineStr">
        <is>
          <t>Asia</t>
        </is>
      </c>
      <c r="D2371" t="inlineStr">
        <is>
          <t>Model S</t>
        </is>
      </c>
      <c r="E2371" t="n">
        <v>4418</v>
      </c>
      <c r="F2371" t="n">
        <v>103394.29</v>
      </c>
      <c r="G2371" t="n">
        <v>30</v>
      </c>
      <c r="H2371" t="inlineStr">
        <is>
          <t>Long Range</t>
        </is>
      </c>
      <c r="I2371" t="inlineStr">
        <is>
          <t>RWD</t>
        </is>
      </c>
      <c r="J2371" t="inlineStr">
        <is>
          <t>Red</t>
        </is>
      </c>
      <c r="K2371" t="n">
        <v>514</v>
      </c>
      <c r="L2371" t="n">
        <v>57</v>
      </c>
      <c r="M2371" t="n">
        <v>14.96</v>
      </c>
      <c r="N2371" t="n">
        <v>4818.2</v>
      </c>
      <c r="O2371" t="n">
        <v>4.73</v>
      </c>
      <c r="P2371" t="n">
        <v>4</v>
      </c>
      <c r="Q2371" t="n">
        <v>3</v>
      </c>
      <c r="R2371" t="n">
        <v>2023.9</v>
      </c>
      <c r="S2371" t="b">
        <v>0</v>
      </c>
      <c r="T2371" t="n">
        <v>309562</v>
      </c>
      <c r="U2371" t="n">
        <v>3</v>
      </c>
      <c r="V2371" t="n">
        <v>0.0303</v>
      </c>
      <c r="W2371" t="n">
        <v>1.65</v>
      </c>
      <c r="X2371" t="n">
        <v>87.59999999999999</v>
      </c>
      <c r="Y2371">
        <f>VLOOKUP(D2371,$AB$2:$AC$7,2,FALSE)</f>
        <v/>
      </c>
      <c r="Z2371">
        <f>IF(A2371&lt;Y2371,"Yes","No")</f>
        <v/>
      </c>
    </row>
    <row r="2372">
      <c r="A2372" t="n">
        <v>2015</v>
      </c>
      <c r="B2372" t="inlineStr">
        <is>
          <t>Q4</t>
        </is>
      </c>
      <c r="C2372" t="inlineStr">
        <is>
          <t>North America</t>
        </is>
      </c>
      <c r="D2372" t="inlineStr">
        <is>
          <t>Model Y</t>
        </is>
      </c>
      <c r="E2372" t="n">
        <v>2330</v>
      </c>
      <c r="F2372" t="n">
        <v>106222.78</v>
      </c>
      <c r="G2372" t="n">
        <v>5</v>
      </c>
      <c r="H2372" t="inlineStr">
        <is>
          <t>Long Range</t>
        </is>
      </c>
      <c r="I2372" t="inlineStr">
        <is>
          <t>AWD</t>
        </is>
      </c>
      <c r="J2372" t="inlineStr">
        <is>
          <t>Red</t>
        </is>
      </c>
      <c r="K2372" t="n">
        <v>401</v>
      </c>
      <c r="L2372" t="n">
        <v>45</v>
      </c>
      <c r="M2372" t="n">
        <v>16.32</v>
      </c>
      <c r="N2372" t="n">
        <v>4070.13</v>
      </c>
      <c r="O2372" t="n">
        <v>4.48</v>
      </c>
      <c r="P2372" t="n">
        <v>6</v>
      </c>
      <c r="Q2372" t="n">
        <v>1</v>
      </c>
      <c r="R2372" t="n">
        <v>2024.12</v>
      </c>
      <c r="S2372" t="b">
        <v>1</v>
      </c>
      <c r="T2372" t="n">
        <v>4678742</v>
      </c>
      <c r="U2372" t="n">
        <v>12</v>
      </c>
      <c r="V2372" t="n">
        <v>0.0788</v>
      </c>
      <c r="W2372" t="n">
        <v>0.65</v>
      </c>
      <c r="X2372" t="n">
        <v>86.92</v>
      </c>
      <c r="Y2372">
        <f>VLOOKUP(D2372,$AB$2:$AC$7,2,FALSE)</f>
        <v/>
      </c>
      <c r="Z2372">
        <f>IF(A2372&lt;Y2372,"Yes","No")</f>
        <v/>
      </c>
    </row>
    <row r="2373">
      <c r="A2373" t="n">
        <v>2012</v>
      </c>
      <c r="B2373" t="inlineStr">
        <is>
          <t>Q3</t>
        </is>
      </c>
      <c r="C2373" t="inlineStr">
        <is>
          <t>Australia</t>
        </is>
      </c>
      <c r="D2373" t="inlineStr">
        <is>
          <t>Model 3</t>
        </is>
      </c>
      <c r="E2373" t="n">
        <v>2605</v>
      </c>
      <c r="F2373" t="n">
        <v>75354.24000000001</v>
      </c>
      <c r="G2373" t="n">
        <v>27</v>
      </c>
      <c r="H2373" t="inlineStr">
        <is>
          <t>Performance</t>
        </is>
      </c>
      <c r="I2373" t="inlineStr">
        <is>
          <t>AWD</t>
        </is>
      </c>
      <c r="J2373" t="inlineStr">
        <is>
          <t>White</t>
        </is>
      </c>
      <c r="K2373" t="n">
        <v>575</v>
      </c>
      <c r="L2373" t="n">
        <v>89</v>
      </c>
      <c r="M2373" t="n">
        <v>22.03</v>
      </c>
      <c r="N2373" t="n">
        <v>2426.1</v>
      </c>
      <c r="O2373" t="n">
        <v>4.49</v>
      </c>
      <c r="P2373" t="n">
        <v>8</v>
      </c>
      <c r="Q2373" t="n">
        <v>1</v>
      </c>
      <c r="R2373" t="n">
        <v>2021.1</v>
      </c>
      <c r="S2373" t="b">
        <v>1</v>
      </c>
      <c r="T2373" t="n">
        <v>2129191</v>
      </c>
      <c r="U2373" t="n">
        <v>6</v>
      </c>
      <c r="V2373" t="n">
        <v>0.0387</v>
      </c>
      <c r="W2373" t="n">
        <v>1.09</v>
      </c>
      <c r="X2373" t="n">
        <v>71.90000000000001</v>
      </c>
      <c r="Y2373">
        <f>VLOOKUP(D2373,$AB$2:$AC$7,2,FALSE)</f>
        <v/>
      </c>
      <c r="Z2373">
        <f>IF(A2373&lt;Y2373,"Yes","No")</f>
        <v/>
      </c>
    </row>
    <row r="2374">
      <c r="A2374" t="n">
        <v>2020</v>
      </c>
      <c r="B2374" t="inlineStr">
        <is>
          <t>Q3</t>
        </is>
      </c>
      <c r="C2374" t="inlineStr">
        <is>
          <t>Europe</t>
        </is>
      </c>
      <c r="D2374" t="inlineStr">
        <is>
          <t>Model 3</t>
        </is>
      </c>
      <c r="E2374" t="n">
        <v>564</v>
      </c>
      <c r="F2374" t="n">
        <v>118005.51</v>
      </c>
      <c r="G2374" t="n">
        <v>60</v>
      </c>
      <c r="H2374" t="inlineStr">
        <is>
          <t>Standard</t>
        </is>
      </c>
      <c r="I2374" t="inlineStr">
        <is>
          <t>RWD</t>
        </is>
      </c>
      <c r="J2374" t="inlineStr">
        <is>
          <t>White</t>
        </is>
      </c>
      <c r="K2374" t="n">
        <v>657</v>
      </c>
      <c r="L2374" t="n">
        <v>54</v>
      </c>
      <c r="M2374" t="n">
        <v>19.75</v>
      </c>
      <c r="N2374" t="n">
        <v>396.74</v>
      </c>
      <c r="O2374" t="n">
        <v>4.19</v>
      </c>
      <c r="P2374" t="n">
        <v>5</v>
      </c>
      <c r="Q2374" t="n">
        <v>0</v>
      </c>
      <c r="R2374" t="n">
        <v>2023.1</v>
      </c>
      <c r="S2374" t="b">
        <v>1</v>
      </c>
      <c r="T2374" t="n">
        <v>4905801</v>
      </c>
      <c r="U2374" t="n">
        <v>11</v>
      </c>
      <c r="V2374" t="n">
        <v>0.0168</v>
      </c>
      <c r="W2374" t="n">
        <v>2.24</v>
      </c>
      <c r="X2374" t="n">
        <v>77.13</v>
      </c>
      <c r="Y2374">
        <f>VLOOKUP(D2374,$AB$2:$AC$7,2,FALSE)</f>
        <v/>
      </c>
      <c r="Z2374">
        <f>IF(A2374&lt;Y2374,"Yes","No")</f>
        <v/>
      </c>
    </row>
    <row r="2375">
      <c r="A2375" t="n">
        <v>2022</v>
      </c>
      <c r="B2375" t="inlineStr">
        <is>
          <t>Q3</t>
        </is>
      </c>
      <c r="C2375" t="inlineStr">
        <is>
          <t>Australia</t>
        </is>
      </c>
      <c r="D2375" t="inlineStr">
        <is>
          <t>Model Y</t>
        </is>
      </c>
      <c r="E2375" t="n">
        <v>3485</v>
      </c>
      <c r="F2375" t="n">
        <v>40792.71</v>
      </c>
      <c r="G2375" t="n">
        <v>1</v>
      </c>
      <c r="H2375" t="inlineStr">
        <is>
          <t>Performance</t>
        </is>
      </c>
      <c r="I2375" t="inlineStr">
        <is>
          <t>RWD</t>
        </is>
      </c>
      <c r="J2375" t="inlineStr">
        <is>
          <t>Red</t>
        </is>
      </c>
      <c r="K2375" t="n">
        <v>397</v>
      </c>
      <c r="L2375" t="n">
        <v>78</v>
      </c>
      <c r="M2375" t="n">
        <v>13.48</v>
      </c>
      <c r="N2375" t="n">
        <v>6724.32</v>
      </c>
      <c r="O2375" t="n">
        <v>4.03</v>
      </c>
      <c r="P2375" t="n">
        <v>5</v>
      </c>
      <c r="Q2375" t="n">
        <v>2</v>
      </c>
      <c r="R2375" t="n">
        <v>2023.12</v>
      </c>
      <c r="S2375" t="b">
        <v>0</v>
      </c>
      <c r="T2375" t="n">
        <v>1215640</v>
      </c>
      <c r="U2375" t="n">
        <v>3</v>
      </c>
      <c r="V2375" t="n">
        <v>0.0151</v>
      </c>
      <c r="W2375" t="n">
        <v>2.49</v>
      </c>
      <c r="X2375" t="n">
        <v>78.78</v>
      </c>
      <c r="Y2375">
        <f>VLOOKUP(D2375,$AB$2:$AC$7,2,FALSE)</f>
        <v/>
      </c>
      <c r="Z2375">
        <f>IF(A2375&lt;Y2375,"Yes","No")</f>
        <v/>
      </c>
    </row>
    <row r="2376">
      <c r="A2376" t="n">
        <v>2012</v>
      </c>
      <c r="B2376" t="inlineStr">
        <is>
          <t>Q2</t>
        </is>
      </c>
      <c r="C2376" t="inlineStr">
        <is>
          <t>South America</t>
        </is>
      </c>
      <c r="D2376" t="inlineStr">
        <is>
          <t>Model S</t>
        </is>
      </c>
      <c r="E2376" t="n">
        <v>2888</v>
      </c>
      <c r="F2376" t="n">
        <v>73558.71000000001</v>
      </c>
      <c r="G2376" t="n">
        <v>58</v>
      </c>
      <c r="H2376" t="inlineStr">
        <is>
          <t>Performance</t>
        </is>
      </c>
      <c r="I2376" t="inlineStr">
        <is>
          <t>RWD</t>
        </is>
      </c>
      <c r="J2376" t="inlineStr">
        <is>
          <t>White</t>
        </is>
      </c>
      <c r="K2376" t="n">
        <v>361</v>
      </c>
      <c r="L2376" t="n">
        <v>31</v>
      </c>
      <c r="M2376" t="n">
        <v>22.65</v>
      </c>
      <c r="N2376" t="n">
        <v>5863.56</v>
      </c>
      <c r="O2376" t="n">
        <v>3.95</v>
      </c>
      <c r="P2376" t="n">
        <v>4</v>
      </c>
      <c r="Q2376" t="n">
        <v>2</v>
      </c>
      <c r="R2376" t="n">
        <v>2023.7</v>
      </c>
      <c r="S2376" t="b">
        <v>1</v>
      </c>
      <c r="T2376" t="n">
        <v>446139</v>
      </c>
      <c r="U2376" t="n">
        <v>7</v>
      </c>
      <c r="V2376" t="n">
        <v>0.07539999999999999</v>
      </c>
      <c r="W2376" t="n">
        <v>2.29</v>
      </c>
      <c r="X2376" t="n">
        <v>74.91</v>
      </c>
      <c r="Y2376">
        <f>VLOOKUP(D2376,$AB$2:$AC$7,2,FALSE)</f>
        <v/>
      </c>
      <c r="Z2376">
        <f>IF(A2376&lt;Y2376,"Yes","No")</f>
        <v/>
      </c>
    </row>
    <row r="2377">
      <c r="A2377" t="n">
        <v>2018</v>
      </c>
      <c r="B2377" t="inlineStr">
        <is>
          <t>Q2</t>
        </is>
      </c>
      <c r="C2377" t="inlineStr">
        <is>
          <t>Europe</t>
        </is>
      </c>
      <c r="D2377" t="inlineStr">
        <is>
          <t>Model S</t>
        </is>
      </c>
      <c r="E2377" t="n">
        <v>1391</v>
      </c>
      <c r="F2377" t="n">
        <v>44657.14</v>
      </c>
      <c r="G2377" t="n">
        <v>20</v>
      </c>
      <c r="H2377" t="inlineStr">
        <is>
          <t>Performance</t>
        </is>
      </c>
      <c r="I2377" t="inlineStr">
        <is>
          <t>AWD</t>
        </is>
      </c>
      <c r="J2377" t="inlineStr">
        <is>
          <t>Silver</t>
        </is>
      </c>
      <c r="K2377" t="n">
        <v>458</v>
      </c>
      <c r="L2377" t="n">
        <v>66</v>
      </c>
      <c r="M2377" t="n">
        <v>21.41</v>
      </c>
      <c r="N2377" t="n">
        <v>1586.92</v>
      </c>
      <c r="O2377" t="n">
        <v>4.19</v>
      </c>
      <c r="P2377" t="n">
        <v>4</v>
      </c>
      <c r="Q2377" t="n">
        <v>1</v>
      </c>
      <c r="R2377" t="n">
        <v>2023.12</v>
      </c>
      <c r="S2377" t="b">
        <v>0</v>
      </c>
      <c r="T2377" t="n">
        <v>342194</v>
      </c>
      <c r="U2377" t="n">
        <v>12</v>
      </c>
      <c r="V2377" t="n">
        <v>0.0511</v>
      </c>
      <c r="W2377" t="n">
        <v>0.51</v>
      </c>
      <c r="X2377" t="n">
        <v>85</v>
      </c>
      <c r="Y2377">
        <f>VLOOKUP(D2377,$AB$2:$AC$7,2,FALSE)</f>
        <v/>
      </c>
      <c r="Z2377">
        <f>IF(A2377&lt;Y2377,"Yes","No")</f>
        <v/>
      </c>
    </row>
    <row r="2378">
      <c r="A2378" t="n">
        <v>2014</v>
      </c>
      <c r="B2378" t="inlineStr">
        <is>
          <t>Q3</t>
        </is>
      </c>
      <c r="C2378" t="inlineStr">
        <is>
          <t>South America</t>
        </is>
      </c>
      <c r="D2378" t="inlineStr">
        <is>
          <t>Cybertruck</t>
        </is>
      </c>
      <c r="E2378" t="n">
        <v>1633</v>
      </c>
      <c r="F2378" t="n">
        <v>105625.31</v>
      </c>
      <c r="G2378" t="n">
        <v>9</v>
      </c>
      <c r="H2378" t="inlineStr">
        <is>
          <t>Standard</t>
        </is>
      </c>
      <c r="I2378" t="inlineStr">
        <is>
          <t>RWD</t>
        </is>
      </c>
      <c r="J2378" t="inlineStr">
        <is>
          <t>Blue</t>
        </is>
      </c>
      <c r="K2378" t="n">
        <v>537</v>
      </c>
      <c r="L2378" t="n">
        <v>56</v>
      </c>
      <c r="M2378" t="n">
        <v>18.9</v>
      </c>
      <c r="N2378" t="n">
        <v>2813.12</v>
      </c>
      <c r="O2378" t="n">
        <v>3.91</v>
      </c>
      <c r="P2378" t="n">
        <v>8</v>
      </c>
      <c r="Q2378" t="n">
        <v>3</v>
      </c>
      <c r="R2378" t="n">
        <v>2024.6</v>
      </c>
      <c r="S2378" t="b">
        <v>1</v>
      </c>
      <c r="T2378" t="n">
        <v>1662268</v>
      </c>
      <c r="U2378" t="n">
        <v>6</v>
      </c>
      <c r="V2378" t="n">
        <v>0.0205</v>
      </c>
      <c r="W2378" t="n">
        <v>2.02</v>
      </c>
      <c r="X2378" t="n">
        <v>75.16</v>
      </c>
      <c r="Y2378">
        <f>VLOOKUP(D2378,$AB$2:$AC$7,2,FALSE)</f>
        <v/>
      </c>
      <c r="Z2378">
        <f>IF(A2378&lt;Y2378,"Yes","No")</f>
        <v/>
      </c>
    </row>
    <row r="2379">
      <c r="A2379" t="n">
        <v>2014</v>
      </c>
      <c r="B2379" t="inlineStr">
        <is>
          <t>Q4</t>
        </is>
      </c>
      <c r="C2379" t="inlineStr">
        <is>
          <t>South America</t>
        </is>
      </c>
      <c r="D2379" t="inlineStr">
        <is>
          <t>Cybertruck</t>
        </is>
      </c>
      <c r="E2379" t="n">
        <v>4213</v>
      </c>
      <c r="F2379" t="n">
        <v>117666.75</v>
      </c>
      <c r="G2379" t="n">
        <v>46</v>
      </c>
      <c r="H2379" t="inlineStr">
        <is>
          <t>Standard</t>
        </is>
      </c>
      <c r="I2379" t="inlineStr">
        <is>
          <t>RWD</t>
        </is>
      </c>
      <c r="J2379" t="inlineStr">
        <is>
          <t>Blue</t>
        </is>
      </c>
      <c r="K2379" t="n">
        <v>533</v>
      </c>
      <c r="L2379" t="n">
        <v>60</v>
      </c>
      <c r="M2379" t="n">
        <v>23.42</v>
      </c>
      <c r="N2379" t="n">
        <v>9987.48</v>
      </c>
      <c r="O2379" t="n">
        <v>4.16</v>
      </c>
      <c r="P2379" t="n">
        <v>6</v>
      </c>
      <c r="Q2379" t="n">
        <v>2</v>
      </c>
      <c r="R2379" t="n">
        <v>2023.9</v>
      </c>
      <c r="S2379" t="b">
        <v>0</v>
      </c>
      <c r="T2379" t="n">
        <v>3409115</v>
      </c>
      <c r="U2379" t="n">
        <v>6</v>
      </c>
      <c r="V2379" t="n">
        <v>0.043</v>
      </c>
      <c r="W2379" t="n">
        <v>2.05</v>
      </c>
      <c r="X2379" t="n">
        <v>77.45</v>
      </c>
      <c r="Y2379">
        <f>VLOOKUP(D2379,$AB$2:$AC$7,2,FALSE)</f>
        <v/>
      </c>
      <c r="Z2379">
        <f>IF(A2379&lt;Y2379,"Yes","No")</f>
        <v/>
      </c>
    </row>
    <row r="2380">
      <c r="A2380" t="n">
        <v>2016</v>
      </c>
      <c r="B2380" t="inlineStr">
        <is>
          <t>Q2</t>
        </is>
      </c>
      <c r="C2380" t="inlineStr">
        <is>
          <t>Australia</t>
        </is>
      </c>
      <c r="D2380" t="inlineStr">
        <is>
          <t>Cybertruck</t>
        </is>
      </c>
      <c r="E2380" t="n">
        <v>2033</v>
      </c>
      <c r="F2380" t="n">
        <v>57555.98</v>
      </c>
      <c r="G2380" t="n">
        <v>34</v>
      </c>
      <c r="H2380" t="inlineStr">
        <is>
          <t>Performance</t>
        </is>
      </c>
      <c r="I2380" t="inlineStr">
        <is>
          <t>AWD</t>
        </is>
      </c>
      <c r="J2380" t="inlineStr">
        <is>
          <t>Green</t>
        </is>
      </c>
      <c r="K2380" t="n">
        <v>665</v>
      </c>
      <c r="L2380" t="n">
        <v>72</v>
      </c>
      <c r="M2380" t="n">
        <v>19.71</v>
      </c>
      <c r="N2380" t="n">
        <v>2493.3</v>
      </c>
      <c r="O2380" t="n">
        <v>4.1</v>
      </c>
      <c r="P2380" t="n">
        <v>5</v>
      </c>
      <c r="Q2380" t="n">
        <v>1</v>
      </c>
      <c r="R2380" t="n">
        <v>2024.8</v>
      </c>
      <c r="S2380" t="b">
        <v>1</v>
      </c>
      <c r="T2380" t="n">
        <v>2836678</v>
      </c>
      <c r="U2380" t="n">
        <v>3</v>
      </c>
      <c r="V2380" t="n">
        <v>0.0178</v>
      </c>
      <c r="W2380" t="n">
        <v>1.43</v>
      </c>
      <c r="X2380" t="n">
        <v>75.91</v>
      </c>
      <c r="Y2380">
        <f>VLOOKUP(D2380,$AB$2:$AC$7,2,FALSE)</f>
        <v/>
      </c>
      <c r="Z2380">
        <f>IF(A2380&lt;Y2380,"Yes","No")</f>
        <v/>
      </c>
    </row>
    <row r="2381">
      <c r="A2381" t="n">
        <v>2015</v>
      </c>
      <c r="B2381" t="inlineStr">
        <is>
          <t>Q3</t>
        </is>
      </c>
      <c r="C2381" t="inlineStr">
        <is>
          <t>North America</t>
        </is>
      </c>
      <c r="D2381" t="inlineStr">
        <is>
          <t>Model X</t>
        </is>
      </c>
      <c r="E2381" t="n">
        <v>2381</v>
      </c>
      <c r="F2381" t="n">
        <v>82582.11</v>
      </c>
      <c r="G2381" t="n">
        <v>30</v>
      </c>
      <c r="H2381" t="inlineStr">
        <is>
          <t>Performance</t>
        </is>
      </c>
      <c r="I2381" t="inlineStr">
        <is>
          <t>RWD</t>
        </is>
      </c>
      <c r="J2381" t="inlineStr">
        <is>
          <t>Blue</t>
        </is>
      </c>
      <c r="K2381" t="n">
        <v>503</v>
      </c>
      <c r="L2381" t="n">
        <v>58</v>
      </c>
      <c r="M2381" t="n">
        <v>24.29</v>
      </c>
      <c r="N2381" t="n">
        <v>4893.22</v>
      </c>
      <c r="O2381" t="n">
        <v>4.38</v>
      </c>
      <c r="P2381" t="n">
        <v>4</v>
      </c>
      <c r="Q2381" t="n">
        <v>0</v>
      </c>
      <c r="R2381" t="n">
        <v>2021.2</v>
      </c>
      <c r="S2381" t="b">
        <v>0</v>
      </c>
      <c r="T2381" t="n">
        <v>1602025</v>
      </c>
      <c r="U2381" t="n">
        <v>9</v>
      </c>
      <c r="V2381" t="n">
        <v>0.0538</v>
      </c>
      <c r="W2381" t="n">
        <v>1.64</v>
      </c>
      <c r="X2381" t="n">
        <v>72.55</v>
      </c>
      <c r="Y2381">
        <f>VLOOKUP(D2381,$AB$2:$AC$7,2,FALSE)</f>
        <v/>
      </c>
      <c r="Z2381">
        <f>IF(A2381&lt;Y2381,"Yes","No")</f>
        <v/>
      </c>
    </row>
    <row r="2382">
      <c r="A2382" t="n">
        <v>2012</v>
      </c>
      <c r="B2382" t="inlineStr">
        <is>
          <t>Q4</t>
        </is>
      </c>
      <c r="C2382" t="inlineStr">
        <is>
          <t>South America</t>
        </is>
      </c>
      <c r="D2382" t="inlineStr">
        <is>
          <t>Cybertruck</t>
        </is>
      </c>
      <c r="E2382" t="n">
        <v>4325</v>
      </c>
      <c r="F2382" t="n">
        <v>91939.53999999999</v>
      </c>
      <c r="G2382" t="n">
        <v>28</v>
      </c>
      <c r="H2382" t="inlineStr">
        <is>
          <t>Performance</t>
        </is>
      </c>
      <c r="I2382" t="inlineStr">
        <is>
          <t>RWD</t>
        </is>
      </c>
      <c r="J2382" t="inlineStr">
        <is>
          <t>Green</t>
        </is>
      </c>
      <c r="K2382" t="n">
        <v>439</v>
      </c>
      <c r="L2382" t="n">
        <v>90</v>
      </c>
      <c r="M2382" t="n">
        <v>13.11</v>
      </c>
      <c r="N2382" t="n">
        <v>8096.82</v>
      </c>
      <c r="O2382" t="n">
        <v>3.55</v>
      </c>
      <c r="P2382" t="n">
        <v>6</v>
      </c>
      <c r="Q2382" t="n">
        <v>3</v>
      </c>
      <c r="R2382" t="n">
        <v>2024.5</v>
      </c>
      <c r="S2382" t="b">
        <v>0</v>
      </c>
      <c r="T2382" t="n">
        <v>1571722</v>
      </c>
      <c r="U2382" t="n">
        <v>4</v>
      </c>
      <c r="V2382" t="n">
        <v>0.08409999999999999</v>
      </c>
      <c r="W2382" t="n">
        <v>1.31</v>
      </c>
      <c r="X2382" t="n">
        <v>67.86</v>
      </c>
      <c r="Y2382">
        <f>VLOOKUP(D2382,$AB$2:$AC$7,2,FALSE)</f>
        <v/>
      </c>
      <c r="Z2382">
        <f>IF(A2382&lt;Y2382,"Yes","No")</f>
        <v/>
      </c>
    </row>
    <row r="2383">
      <c r="A2383" t="n">
        <v>2018</v>
      </c>
      <c r="B2383" t="inlineStr">
        <is>
          <t>Q3</t>
        </is>
      </c>
      <c r="C2383" t="inlineStr">
        <is>
          <t>North America</t>
        </is>
      </c>
      <c r="D2383" t="inlineStr">
        <is>
          <t>Cybertruck</t>
        </is>
      </c>
      <c r="E2383" t="n">
        <v>3365</v>
      </c>
      <c r="F2383" t="n">
        <v>107892.32</v>
      </c>
      <c r="G2383" t="n">
        <v>49</v>
      </c>
      <c r="H2383" t="inlineStr">
        <is>
          <t>Standard</t>
        </is>
      </c>
      <c r="I2383" t="inlineStr">
        <is>
          <t>RWD</t>
        </is>
      </c>
      <c r="J2383" t="inlineStr">
        <is>
          <t>Black</t>
        </is>
      </c>
      <c r="K2383" t="n">
        <v>393</v>
      </c>
      <c r="L2383" t="n">
        <v>38</v>
      </c>
      <c r="M2383" t="n">
        <v>13.76</v>
      </c>
      <c r="N2383" t="n">
        <v>7686.8</v>
      </c>
      <c r="O2383" t="n">
        <v>4.51</v>
      </c>
      <c r="P2383" t="n">
        <v>5</v>
      </c>
      <c r="Q2383" t="n">
        <v>1</v>
      </c>
      <c r="R2383" t="n">
        <v>2024.9</v>
      </c>
      <c r="S2383" t="b">
        <v>0</v>
      </c>
      <c r="T2383" t="n">
        <v>493400</v>
      </c>
      <c r="U2383" t="n">
        <v>10</v>
      </c>
      <c r="V2383" t="n">
        <v>0.0774</v>
      </c>
      <c r="W2383" t="n">
        <v>1.96</v>
      </c>
      <c r="X2383" t="n">
        <v>79.83</v>
      </c>
      <c r="Y2383">
        <f>VLOOKUP(D2383,$AB$2:$AC$7,2,FALSE)</f>
        <v/>
      </c>
      <c r="Z2383">
        <f>IF(A2383&lt;Y2383,"Yes","No")</f>
        <v/>
      </c>
    </row>
    <row r="2384">
      <c r="A2384" t="n">
        <v>2018</v>
      </c>
      <c r="B2384" t="inlineStr">
        <is>
          <t>Q3</t>
        </is>
      </c>
      <c r="C2384" t="inlineStr">
        <is>
          <t>North America</t>
        </is>
      </c>
      <c r="D2384" t="inlineStr">
        <is>
          <t>Semi</t>
        </is>
      </c>
      <c r="E2384" t="n">
        <v>2126</v>
      </c>
      <c r="F2384" t="n">
        <v>72119.55</v>
      </c>
      <c r="G2384" t="n">
        <v>26</v>
      </c>
      <c r="H2384" t="inlineStr">
        <is>
          <t>Standard</t>
        </is>
      </c>
      <c r="I2384" t="inlineStr">
        <is>
          <t>AWD</t>
        </is>
      </c>
      <c r="J2384" t="inlineStr">
        <is>
          <t>Blue</t>
        </is>
      </c>
      <c r="K2384" t="n">
        <v>357</v>
      </c>
      <c r="L2384" t="n">
        <v>81</v>
      </c>
      <c r="M2384" t="n">
        <v>22.2</v>
      </c>
      <c r="N2384" t="n">
        <v>2550.93</v>
      </c>
      <c r="O2384" t="n">
        <v>3.86</v>
      </c>
      <c r="P2384" t="n">
        <v>8</v>
      </c>
      <c r="Q2384" t="n">
        <v>3</v>
      </c>
      <c r="R2384" t="n">
        <v>2020.2</v>
      </c>
      <c r="S2384" t="b">
        <v>0</v>
      </c>
      <c r="T2384" t="n">
        <v>3200362</v>
      </c>
      <c r="U2384" t="n">
        <v>4</v>
      </c>
      <c r="V2384" t="n">
        <v>0.0266</v>
      </c>
      <c r="W2384" t="n">
        <v>1.12</v>
      </c>
      <c r="X2384" t="n">
        <v>82.14</v>
      </c>
      <c r="Y2384">
        <f>VLOOKUP(D2384,$AB$2:$AC$7,2,FALSE)</f>
        <v/>
      </c>
      <c r="Z2384">
        <f>IF(A2384&lt;Y2384,"Yes","No")</f>
        <v/>
      </c>
    </row>
    <row r="2385">
      <c r="A2385" t="n">
        <v>2016</v>
      </c>
      <c r="B2385" t="inlineStr">
        <is>
          <t>Q4</t>
        </is>
      </c>
      <c r="C2385" t="inlineStr">
        <is>
          <t>Asia</t>
        </is>
      </c>
      <c r="D2385" t="inlineStr">
        <is>
          <t>Model X</t>
        </is>
      </c>
      <c r="E2385" t="n">
        <v>1313</v>
      </c>
      <c r="F2385" t="n">
        <v>93503.75</v>
      </c>
      <c r="G2385" t="n">
        <v>59</v>
      </c>
      <c r="H2385" t="inlineStr">
        <is>
          <t>Performance</t>
        </is>
      </c>
      <c r="I2385" t="inlineStr">
        <is>
          <t>RWD</t>
        </is>
      </c>
      <c r="J2385" t="inlineStr">
        <is>
          <t>Green</t>
        </is>
      </c>
      <c r="K2385" t="n">
        <v>598</v>
      </c>
      <c r="L2385" t="n">
        <v>65</v>
      </c>
      <c r="M2385" t="n">
        <v>18.43</v>
      </c>
      <c r="N2385" t="n">
        <v>2741.32</v>
      </c>
      <c r="O2385" t="n">
        <v>4.9</v>
      </c>
      <c r="P2385" t="n">
        <v>6</v>
      </c>
      <c r="Q2385" t="n">
        <v>0</v>
      </c>
      <c r="R2385" t="n">
        <v>2023.9</v>
      </c>
      <c r="S2385" t="b">
        <v>1</v>
      </c>
      <c r="T2385" t="n">
        <v>1270829</v>
      </c>
      <c r="U2385" t="n">
        <v>2</v>
      </c>
      <c r="V2385" t="n">
        <v>0.09470000000000001</v>
      </c>
      <c r="W2385" t="n">
        <v>0.86</v>
      </c>
      <c r="X2385" t="n">
        <v>83.94</v>
      </c>
      <c r="Y2385">
        <f>VLOOKUP(D2385,$AB$2:$AC$7,2,FALSE)</f>
        <v/>
      </c>
      <c r="Z2385">
        <f>IF(A2385&lt;Y2385,"Yes","No")</f>
        <v/>
      </c>
    </row>
    <row r="2386">
      <c r="A2386" t="n">
        <v>2019</v>
      </c>
      <c r="B2386" t="inlineStr">
        <is>
          <t>Q1</t>
        </is>
      </c>
      <c r="C2386" t="inlineStr">
        <is>
          <t>North America</t>
        </is>
      </c>
      <c r="D2386" t="inlineStr">
        <is>
          <t>Model 3</t>
        </is>
      </c>
      <c r="E2386" t="n">
        <v>711</v>
      </c>
      <c r="F2386" t="n">
        <v>77541.35000000001</v>
      </c>
      <c r="G2386" t="n">
        <v>3</v>
      </c>
      <c r="H2386" t="inlineStr">
        <is>
          <t>Standard</t>
        </is>
      </c>
      <c r="I2386" t="inlineStr">
        <is>
          <t>AWD</t>
        </is>
      </c>
      <c r="J2386" t="inlineStr">
        <is>
          <t>Green</t>
        </is>
      </c>
      <c r="K2386" t="n">
        <v>492</v>
      </c>
      <c r="L2386" t="n">
        <v>68</v>
      </c>
      <c r="M2386" t="n">
        <v>19.23</v>
      </c>
      <c r="N2386" t="n">
        <v>400.83</v>
      </c>
      <c r="O2386" t="n">
        <v>4.65</v>
      </c>
      <c r="P2386" t="n">
        <v>6</v>
      </c>
      <c r="Q2386" t="n">
        <v>3</v>
      </c>
      <c r="R2386" t="n">
        <v>2022.6</v>
      </c>
      <c r="S2386" t="b">
        <v>0</v>
      </c>
      <c r="T2386" t="n">
        <v>3846762</v>
      </c>
      <c r="U2386" t="n">
        <v>12</v>
      </c>
      <c r="V2386" t="n">
        <v>0.0537</v>
      </c>
      <c r="W2386" t="n">
        <v>1.08</v>
      </c>
      <c r="X2386" t="n">
        <v>79.36</v>
      </c>
      <c r="Y2386">
        <f>VLOOKUP(D2386,$AB$2:$AC$7,2,FALSE)</f>
        <v/>
      </c>
      <c r="Z2386">
        <f>IF(A2386&lt;Y2386,"Yes","No")</f>
        <v/>
      </c>
    </row>
    <row r="2387">
      <c r="A2387" t="n">
        <v>2014</v>
      </c>
      <c r="B2387" t="inlineStr">
        <is>
          <t>Q2</t>
        </is>
      </c>
      <c r="C2387" t="inlineStr">
        <is>
          <t>Europe</t>
        </is>
      </c>
      <c r="D2387" t="inlineStr">
        <is>
          <t>Cybertruck</t>
        </is>
      </c>
      <c r="E2387" t="n">
        <v>609</v>
      </c>
      <c r="F2387" t="n">
        <v>50999.99</v>
      </c>
      <c r="G2387" t="n">
        <v>42</v>
      </c>
      <c r="H2387" t="inlineStr">
        <is>
          <t>Performance</t>
        </is>
      </c>
      <c r="I2387" t="inlineStr">
        <is>
          <t>AWD</t>
        </is>
      </c>
      <c r="J2387" t="inlineStr">
        <is>
          <t>Silver</t>
        </is>
      </c>
      <c r="K2387" t="n">
        <v>674</v>
      </c>
      <c r="L2387" t="n">
        <v>45</v>
      </c>
      <c r="M2387" t="n">
        <v>17.99</v>
      </c>
      <c r="N2387" t="n">
        <v>1011.12</v>
      </c>
      <c r="O2387" t="n">
        <v>4.59</v>
      </c>
      <c r="P2387" t="n">
        <v>6</v>
      </c>
      <c r="Q2387" t="n">
        <v>1</v>
      </c>
      <c r="R2387" t="n">
        <v>2022.1</v>
      </c>
      <c r="S2387" t="b">
        <v>1</v>
      </c>
      <c r="T2387" t="n">
        <v>4498751</v>
      </c>
      <c r="U2387" t="n">
        <v>6</v>
      </c>
      <c r="V2387" t="n">
        <v>0.0451</v>
      </c>
      <c r="W2387" t="n">
        <v>1.53</v>
      </c>
      <c r="X2387" t="n">
        <v>82.62</v>
      </c>
      <c r="Y2387">
        <f>VLOOKUP(D2387,$AB$2:$AC$7,2,FALSE)</f>
        <v/>
      </c>
      <c r="Z2387">
        <f>IF(A2387&lt;Y2387,"Yes","No")</f>
        <v/>
      </c>
    </row>
    <row r="2388">
      <c r="A2388" t="n">
        <v>2015</v>
      </c>
      <c r="B2388" t="inlineStr">
        <is>
          <t>Q2</t>
        </is>
      </c>
      <c r="C2388" t="inlineStr">
        <is>
          <t>South America</t>
        </is>
      </c>
      <c r="D2388" t="inlineStr">
        <is>
          <t>Model Y</t>
        </is>
      </c>
      <c r="E2388" t="n">
        <v>2635</v>
      </c>
      <c r="F2388" t="n">
        <v>78390.38</v>
      </c>
      <c r="G2388" t="n">
        <v>48</v>
      </c>
      <c r="H2388" t="inlineStr">
        <is>
          <t>Long Range</t>
        </is>
      </c>
      <c r="I2388" t="inlineStr">
        <is>
          <t>RWD</t>
        </is>
      </c>
      <c r="J2388" t="inlineStr">
        <is>
          <t>Black</t>
        </is>
      </c>
      <c r="K2388" t="n">
        <v>592</v>
      </c>
      <c r="L2388" t="n">
        <v>36</v>
      </c>
      <c r="M2388" t="n">
        <v>23.81</v>
      </c>
      <c r="N2388" t="n">
        <v>2316.47</v>
      </c>
      <c r="O2388" t="n">
        <v>3.58</v>
      </c>
      <c r="P2388" t="n">
        <v>5</v>
      </c>
      <c r="Q2388" t="n">
        <v>2</v>
      </c>
      <c r="R2388" t="n">
        <v>2022.7</v>
      </c>
      <c r="S2388" t="b">
        <v>0</v>
      </c>
      <c r="T2388" t="n">
        <v>3016656</v>
      </c>
      <c r="U2388" t="n">
        <v>11</v>
      </c>
      <c r="V2388" t="n">
        <v>0.0588</v>
      </c>
      <c r="W2388" t="n">
        <v>1.73</v>
      </c>
      <c r="X2388" t="n">
        <v>60.87</v>
      </c>
      <c r="Y2388">
        <f>VLOOKUP(D2388,$AB$2:$AC$7,2,FALSE)</f>
        <v/>
      </c>
      <c r="Z2388">
        <f>IF(A2388&lt;Y2388,"Yes","No")</f>
        <v/>
      </c>
    </row>
    <row r="2389">
      <c r="A2389" t="n">
        <v>2012</v>
      </c>
      <c r="B2389" t="inlineStr">
        <is>
          <t>Q4</t>
        </is>
      </c>
      <c r="C2389" t="inlineStr">
        <is>
          <t>Australia</t>
        </is>
      </c>
      <c r="D2389" t="inlineStr">
        <is>
          <t>Model S</t>
        </is>
      </c>
      <c r="E2389" t="n">
        <v>4749</v>
      </c>
      <c r="F2389" t="n">
        <v>60237.89</v>
      </c>
      <c r="G2389" t="n">
        <v>33</v>
      </c>
      <c r="H2389" t="inlineStr">
        <is>
          <t>Standard</t>
        </is>
      </c>
      <c r="I2389" t="inlineStr">
        <is>
          <t>AWD</t>
        </is>
      </c>
      <c r="J2389" t="inlineStr">
        <is>
          <t>Blue</t>
        </is>
      </c>
      <c r="K2389" t="n">
        <v>425</v>
      </c>
      <c r="L2389" t="n">
        <v>89</v>
      </c>
      <c r="M2389" t="n">
        <v>23.13</v>
      </c>
      <c r="N2389" t="n">
        <v>5138.56</v>
      </c>
      <c r="O2389" t="n">
        <v>4.58</v>
      </c>
      <c r="P2389" t="n">
        <v>6</v>
      </c>
      <c r="Q2389" t="n">
        <v>3</v>
      </c>
      <c r="R2389" t="n">
        <v>2021.5</v>
      </c>
      <c r="S2389" t="b">
        <v>0</v>
      </c>
      <c r="T2389" t="n">
        <v>2621026</v>
      </c>
      <c r="U2389" t="n">
        <v>8</v>
      </c>
      <c r="V2389" t="n">
        <v>0.0917</v>
      </c>
      <c r="W2389" t="n">
        <v>2.44</v>
      </c>
      <c r="X2389" t="n">
        <v>62.46</v>
      </c>
      <c r="Y2389">
        <f>VLOOKUP(D2389,$AB$2:$AC$7,2,FALSE)</f>
        <v/>
      </c>
      <c r="Z2389">
        <f>IF(A2389&lt;Y2389,"Yes","No")</f>
        <v/>
      </c>
    </row>
    <row r="2390">
      <c r="A2390" t="n">
        <v>2023</v>
      </c>
      <c r="B2390" t="inlineStr">
        <is>
          <t>Q3</t>
        </is>
      </c>
      <c r="C2390" t="inlineStr">
        <is>
          <t>Europe</t>
        </is>
      </c>
      <c r="D2390" t="inlineStr">
        <is>
          <t>Semi</t>
        </is>
      </c>
      <c r="E2390" t="n">
        <v>401</v>
      </c>
      <c r="F2390" t="n">
        <v>84233.62</v>
      </c>
      <c r="G2390" t="n">
        <v>11</v>
      </c>
      <c r="H2390" t="inlineStr">
        <is>
          <t>Long Range</t>
        </is>
      </c>
      <c r="I2390" t="inlineStr">
        <is>
          <t>RWD</t>
        </is>
      </c>
      <c r="J2390" t="inlineStr">
        <is>
          <t>Silver</t>
        </is>
      </c>
      <c r="K2390" t="n">
        <v>475</v>
      </c>
      <c r="L2390" t="n">
        <v>73</v>
      </c>
      <c r="M2390" t="n">
        <v>19.81</v>
      </c>
      <c r="N2390" t="n">
        <v>236.02</v>
      </c>
      <c r="O2390" t="n">
        <v>4.27</v>
      </c>
      <c r="P2390" t="n">
        <v>4</v>
      </c>
      <c r="Q2390" t="n">
        <v>1</v>
      </c>
      <c r="R2390" t="n">
        <v>2021.1</v>
      </c>
      <c r="S2390" t="b">
        <v>1</v>
      </c>
      <c r="T2390" t="n">
        <v>720649</v>
      </c>
      <c r="U2390" t="n">
        <v>7</v>
      </c>
      <c r="V2390" t="n">
        <v>0.06900000000000001</v>
      </c>
      <c r="W2390" t="n">
        <v>2.48</v>
      </c>
      <c r="X2390" t="n">
        <v>79.36</v>
      </c>
      <c r="Y2390">
        <f>VLOOKUP(D2390,$AB$2:$AC$7,2,FALSE)</f>
        <v/>
      </c>
      <c r="Z2390">
        <f>IF(A2390&lt;Y2390,"Yes","No")</f>
        <v/>
      </c>
    </row>
    <row r="2391">
      <c r="A2391" t="n">
        <v>2020</v>
      </c>
      <c r="B2391" t="inlineStr">
        <is>
          <t>Q3</t>
        </is>
      </c>
      <c r="C2391" t="inlineStr">
        <is>
          <t>North America</t>
        </is>
      </c>
      <c r="D2391" t="inlineStr">
        <is>
          <t>Model 3</t>
        </is>
      </c>
      <c r="E2391" t="n">
        <v>3189</v>
      </c>
      <c r="F2391" t="n">
        <v>78318.39</v>
      </c>
      <c r="G2391" t="n">
        <v>2</v>
      </c>
      <c r="H2391" t="inlineStr">
        <is>
          <t>Long Range</t>
        </is>
      </c>
      <c r="I2391" t="inlineStr">
        <is>
          <t>RWD</t>
        </is>
      </c>
      <c r="J2391" t="inlineStr">
        <is>
          <t>Red</t>
        </is>
      </c>
      <c r="K2391" t="n">
        <v>548</v>
      </c>
      <c r="L2391" t="n">
        <v>72</v>
      </c>
      <c r="M2391" t="n">
        <v>16.98</v>
      </c>
      <c r="N2391" t="n">
        <v>7948.55</v>
      </c>
      <c r="O2391" t="n">
        <v>4.23</v>
      </c>
      <c r="P2391" t="n">
        <v>4</v>
      </c>
      <c r="Q2391" t="n">
        <v>3</v>
      </c>
      <c r="R2391" t="n">
        <v>2023.8</v>
      </c>
      <c r="S2391" t="b">
        <v>0</v>
      </c>
      <c r="T2391" t="n">
        <v>748502</v>
      </c>
      <c r="U2391" t="n">
        <v>11</v>
      </c>
      <c r="V2391" t="n">
        <v>0.0149</v>
      </c>
      <c r="W2391" t="n">
        <v>0.59</v>
      </c>
      <c r="X2391" t="n">
        <v>65.28</v>
      </c>
      <c r="Y2391">
        <f>VLOOKUP(D2391,$AB$2:$AC$7,2,FALSE)</f>
        <v/>
      </c>
      <c r="Z2391">
        <f>IF(A2391&lt;Y2391,"Yes","No")</f>
        <v/>
      </c>
    </row>
    <row r="2392">
      <c r="A2392" t="n">
        <v>2023</v>
      </c>
      <c r="B2392" t="inlineStr">
        <is>
          <t>Q4</t>
        </is>
      </c>
      <c r="C2392" t="inlineStr">
        <is>
          <t>North America</t>
        </is>
      </c>
      <c r="D2392" t="inlineStr">
        <is>
          <t>Model Y</t>
        </is>
      </c>
      <c r="E2392" t="n">
        <v>2031</v>
      </c>
      <c r="F2392" t="n">
        <v>59389.82</v>
      </c>
      <c r="G2392" t="n">
        <v>55</v>
      </c>
      <c r="H2392" t="inlineStr">
        <is>
          <t>Long Range</t>
        </is>
      </c>
      <c r="I2392" t="inlineStr">
        <is>
          <t>RWD</t>
        </is>
      </c>
      <c r="J2392" t="inlineStr">
        <is>
          <t>Black</t>
        </is>
      </c>
      <c r="K2392" t="n">
        <v>432</v>
      </c>
      <c r="L2392" t="n">
        <v>57</v>
      </c>
      <c r="M2392" t="n">
        <v>18.61</v>
      </c>
      <c r="N2392" t="n">
        <v>2057.75</v>
      </c>
      <c r="O2392" t="n">
        <v>4.3</v>
      </c>
      <c r="P2392" t="n">
        <v>8</v>
      </c>
      <c r="Q2392" t="n">
        <v>2</v>
      </c>
      <c r="R2392" t="n">
        <v>2021.2</v>
      </c>
      <c r="S2392" t="b">
        <v>1</v>
      </c>
      <c r="T2392" t="n">
        <v>1852058</v>
      </c>
      <c r="U2392" t="n">
        <v>4</v>
      </c>
      <c r="V2392" t="n">
        <v>0.0296</v>
      </c>
      <c r="W2392" t="n">
        <v>0.96</v>
      </c>
      <c r="X2392" t="n">
        <v>87.95</v>
      </c>
      <c r="Y2392">
        <f>VLOOKUP(D2392,$AB$2:$AC$7,2,FALSE)</f>
        <v/>
      </c>
      <c r="Z2392">
        <f>IF(A2392&lt;Y2392,"Yes","No")</f>
        <v/>
      </c>
    </row>
    <row r="2393">
      <c r="A2393" t="n">
        <v>2024</v>
      </c>
      <c r="B2393" t="inlineStr">
        <is>
          <t>Q3</t>
        </is>
      </c>
      <c r="C2393" t="inlineStr">
        <is>
          <t>Asia</t>
        </is>
      </c>
      <c r="D2393" t="inlineStr">
        <is>
          <t>Model 3</t>
        </is>
      </c>
      <c r="E2393" t="n">
        <v>3708</v>
      </c>
      <c r="F2393" t="n">
        <v>95796.28999999999</v>
      </c>
      <c r="G2393" t="n">
        <v>56</v>
      </c>
      <c r="H2393" t="inlineStr">
        <is>
          <t>Long Range</t>
        </is>
      </c>
      <c r="I2393" t="inlineStr">
        <is>
          <t>AWD</t>
        </is>
      </c>
      <c r="J2393" t="inlineStr">
        <is>
          <t>Red</t>
        </is>
      </c>
      <c r="K2393" t="n">
        <v>532</v>
      </c>
      <c r="L2393" t="n">
        <v>65</v>
      </c>
      <c r="M2393" t="n">
        <v>17.11</v>
      </c>
      <c r="N2393" t="n">
        <v>3144.55</v>
      </c>
      <c r="O2393" t="n">
        <v>4.43</v>
      </c>
      <c r="P2393" t="n">
        <v>6</v>
      </c>
      <c r="Q2393" t="n">
        <v>2</v>
      </c>
      <c r="R2393" t="n">
        <v>2024.1</v>
      </c>
      <c r="S2393" t="b">
        <v>0</v>
      </c>
      <c r="T2393" t="n">
        <v>4676214</v>
      </c>
      <c r="U2393" t="n">
        <v>4</v>
      </c>
      <c r="V2393" t="n">
        <v>0.0225</v>
      </c>
      <c r="W2393" t="n">
        <v>0.91</v>
      </c>
      <c r="X2393" t="n">
        <v>87.34999999999999</v>
      </c>
      <c r="Y2393">
        <f>VLOOKUP(D2393,$AB$2:$AC$7,2,FALSE)</f>
        <v/>
      </c>
      <c r="Z2393">
        <f>IF(A2393&lt;Y2393,"Yes","No")</f>
        <v/>
      </c>
    </row>
    <row r="2394">
      <c r="A2394" t="n">
        <v>2022</v>
      </c>
      <c r="B2394" t="inlineStr">
        <is>
          <t>Q1</t>
        </is>
      </c>
      <c r="C2394" t="inlineStr">
        <is>
          <t>Europe</t>
        </is>
      </c>
      <c r="D2394" t="inlineStr">
        <is>
          <t>Model X</t>
        </is>
      </c>
      <c r="E2394" t="n">
        <v>3045</v>
      </c>
      <c r="F2394" t="n">
        <v>115074.9</v>
      </c>
      <c r="G2394" t="n">
        <v>32</v>
      </c>
      <c r="H2394" t="inlineStr">
        <is>
          <t>Performance</t>
        </is>
      </c>
      <c r="I2394" t="inlineStr">
        <is>
          <t>AWD</t>
        </is>
      </c>
      <c r="J2394" t="inlineStr">
        <is>
          <t>Green</t>
        </is>
      </c>
      <c r="K2394" t="n">
        <v>665</v>
      </c>
      <c r="L2394" t="n">
        <v>40</v>
      </c>
      <c r="M2394" t="n">
        <v>21.27</v>
      </c>
      <c r="N2394" t="n">
        <v>1650.15</v>
      </c>
      <c r="O2394" t="n">
        <v>4.32</v>
      </c>
      <c r="P2394" t="n">
        <v>6</v>
      </c>
      <c r="Q2394" t="n">
        <v>0</v>
      </c>
      <c r="R2394" t="n">
        <v>2021.6</v>
      </c>
      <c r="S2394" t="b">
        <v>0</v>
      </c>
      <c r="T2394" t="n">
        <v>273958</v>
      </c>
      <c r="U2394" t="n">
        <v>12</v>
      </c>
      <c r="V2394" t="n">
        <v>0.0471</v>
      </c>
      <c r="W2394" t="n">
        <v>2.31</v>
      </c>
      <c r="X2394" t="n">
        <v>73.72</v>
      </c>
      <c r="Y2394">
        <f>VLOOKUP(D2394,$AB$2:$AC$7,2,FALSE)</f>
        <v/>
      </c>
      <c r="Z2394">
        <f>IF(A2394&lt;Y2394,"Yes","No")</f>
        <v/>
      </c>
    </row>
    <row r="2395">
      <c r="A2395" t="n">
        <v>2021</v>
      </c>
      <c r="B2395" t="inlineStr">
        <is>
          <t>Q2</t>
        </is>
      </c>
      <c r="C2395" t="inlineStr">
        <is>
          <t>Asia</t>
        </is>
      </c>
      <c r="D2395" t="inlineStr">
        <is>
          <t>Model X</t>
        </is>
      </c>
      <c r="E2395" t="n">
        <v>2864</v>
      </c>
      <c r="F2395" t="n">
        <v>60537.75</v>
      </c>
      <c r="G2395" t="n">
        <v>52</v>
      </c>
      <c r="H2395" t="inlineStr">
        <is>
          <t>Long Range</t>
        </is>
      </c>
      <c r="I2395" t="inlineStr">
        <is>
          <t>RWD</t>
        </is>
      </c>
      <c r="J2395" t="inlineStr">
        <is>
          <t>Green</t>
        </is>
      </c>
      <c r="K2395" t="n">
        <v>658</v>
      </c>
      <c r="L2395" t="n">
        <v>58</v>
      </c>
      <c r="M2395" t="n">
        <v>13.83</v>
      </c>
      <c r="N2395" t="n">
        <v>2752.64</v>
      </c>
      <c r="O2395" t="n">
        <v>3.67</v>
      </c>
      <c r="P2395" t="n">
        <v>8</v>
      </c>
      <c r="Q2395" t="n">
        <v>3</v>
      </c>
      <c r="R2395" t="n">
        <v>2021.2</v>
      </c>
      <c r="S2395" t="b">
        <v>1</v>
      </c>
      <c r="T2395" t="n">
        <v>1194859</v>
      </c>
      <c r="U2395" t="n">
        <v>6</v>
      </c>
      <c r="V2395" t="n">
        <v>0.0242</v>
      </c>
      <c r="W2395" t="n">
        <v>2.11</v>
      </c>
      <c r="X2395" t="n">
        <v>69.52</v>
      </c>
      <c r="Y2395">
        <f>VLOOKUP(D2395,$AB$2:$AC$7,2,FALSE)</f>
        <v/>
      </c>
      <c r="Z2395">
        <f>IF(A2395&lt;Y2395,"Yes","No")</f>
        <v/>
      </c>
    </row>
    <row r="2396">
      <c r="A2396" t="n">
        <v>2023</v>
      </c>
      <c r="B2396" t="inlineStr">
        <is>
          <t>Q4</t>
        </is>
      </c>
      <c r="C2396" t="inlineStr">
        <is>
          <t>Europe</t>
        </is>
      </c>
      <c r="D2396" t="inlineStr">
        <is>
          <t>Cybertruck</t>
        </is>
      </c>
      <c r="E2396" t="n">
        <v>2341</v>
      </c>
      <c r="F2396" t="n">
        <v>117144.09</v>
      </c>
      <c r="G2396" t="n">
        <v>33</v>
      </c>
      <c r="H2396" t="inlineStr">
        <is>
          <t>Long Range</t>
        </is>
      </c>
      <c r="I2396" t="inlineStr">
        <is>
          <t>RWD</t>
        </is>
      </c>
      <c r="J2396" t="inlineStr">
        <is>
          <t>Silver</t>
        </is>
      </c>
      <c r="K2396" t="n">
        <v>459</v>
      </c>
      <c r="L2396" t="n">
        <v>75</v>
      </c>
      <c r="M2396" t="n">
        <v>14.19</v>
      </c>
      <c r="N2396" t="n">
        <v>1229.31</v>
      </c>
      <c r="O2396" t="n">
        <v>4.36</v>
      </c>
      <c r="P2396" t="n">
        <v>5</v>
      </c>
      <c r="Q2396" t="n">
        <v>2</v>
      </c>
      <c r="R2396" t="n">
        <v>2024.11</v>
      </c>
      <c r="S2396" t="b">
        <v>0</v>
      </c>
      <c r="T2396" t="n">
        <v>4323033</v>
      </c>
      <c r="U2396" t="n">
        <v>9</v>
      </c>
      <c r="V2396" t="n">
        <v>0.0222</v>
      </c>
      <c r="W2396" t="n">
        <v>0.88</v>
      </c>
      <c r="X2396" t="n">
        <v>65.62</v>
      </c>
      <c r="Y2396">
        <f>VLOOKUP(D2396,$AB$2:$AC$7,2,FALSE)</f>
        <v/>
      </c>
      <c r="Z2396">
        <f>IF(A2396&lt;Y2396,"Yes","No")</f>
        <v/>
      </c>
    </row>
    <row r="2397">
      <c r="A2397" t="n">
        <v>2024</v>
      </c>
      <c r="B2397" t="inlineStr">
        <is>
          <t>Q4</t>
        </is>
      </c>
      <c r="C2397" t="inlineStr">
        <is>
          <t>Asia</t>
        </is>
      </c>
      <c r="D2397" t="inlineStr">
        <is>
          <t>Model S</t>
        </is>
      </c>
      <c r="E2397" t="n">
        <v>1584</v>
      </c>
      <c r="F2397" t="n">
        <v>76724.44</v>
      </c>
      <c r="G2397" t="n">
        <v>4</v>
      </c>
      <c r="H2397" t="inlineStr">
        <is>
          <t>Performance</t>
        </is>
      </c>
      <c r="I2397" t="inlineStr">
        <is>
          <t>AWD</t>
        </is>
      </c>
      <c r="J2397" t="inlineStr">
        <is>
          <t>Blue</t>
        </is>
      </c>
      <c r="K2397" t="n">
        <v>506</v>
      </c>
      <c r="L2397" t="n">
        <v>41</v>
      </c>
      <c r="M2397" t="n">
        <v>14.33</v>
      </c>
      <c r="N2397" t="n">
        <v>813.21</v>
      </c>
      <c r="O2397" t="n">
        <v>3.85</v>
      </c>
      <c r="P2397" t="n">
        <v>8</v>
      </c>
      <c r="Q2397" t="n">
        <v>1</v>
      </c>
      <c r="R2397" t="n">
        <v>2024.9</v>
      </c>
      <c r="S2397" t="b">
        <v>1</v>
      </c>
      <c r="T2397" t="n">
        <v>4198797</v>
      </c>
      <c r="U2397" t="n">
        <v>5</v>
      </c>
      <c r="V2397" t="n">
        <v>0.0491</v>
      </c>
      <c r="W2397" t="n">
        <v>1.33</v>
      </c>
      <c r="X2397" t="n">
        <v>82.12</v>
      </c>
      <c r="Y2397">
        <f>VLOOKUP(D2397,$AB$2:$AC$7,2,FALSE)</f>
        <v/>
      </c>
      <c r="Z2397">
        <f>IF(A2397&lt;Y2397,"Yes","No")</f>
        <v/>
      </c>
    </row>
    <row r="2398">
      <c r="A2398" t="n">
        <v>2024</v>
      </c>
      <c r="B2398" t="inlineStr">
        <is>
          <t>Q3</t>
        </is>
      </c>
      <c r="C2398" t="inlineStr">
        <is>
          <t>South America</t>
        </is>
      </c>
      <c r="D2398" t="inlineStr">
        <is>
          <t>Model Y</t>
        </is>
      </c>
      <c r="E2398" t="n">
        <v>392</v>
      </c>
      <c r="F2398" t="n">
        <v>67194.57000000001</v>
      </c>
      <c r="G2398" t="n">
        <v>39</v>
      </c>
      <c r="H2398" t="inlineStr">
        <is>
          <t>Long Range</t>
        </is>
      </c>
      <c r="I2398" t="inlineStr">
        <is>
          <t>AWD</t>
        </is>
      </c>
      <c r="J2398" t="inlineStr">
        <is>
          <t>Green</t>
        </is>
      </c>
      <c r="K2398" t="n">
        <v>699</v>
      </c>
      <c r="L2398" t="n">
        <v>70</v>
      </c>
      <c r="M2398" t="n">
        <v>14.4</v>
      </c>
      <c r="N2398" t="n">
        <v>840.1900000000001</v>
      </c>
      <c r="O2398" t="n">
        <v>4.49</v>
      </c>
      <c r="P2398" t="n">
        <v>6</v>
      </c>
      <c r="Q2398" t="n">
        <v>1</v>
      </c>
      <c r="R2398" t="n">
        <v>2021.6</v>
      </c>
      <c r="S2398" t="b">
        <v>0</v>
      </c>
      <c r="T2398" t="n">
        <v>1304151</v>
      </c>
      <c r="U2398" t="n">
        <v>5</v>
      </c>
      <c r="V2398" t="n">
        <v>0.0623</v>
      </c>
      <c r="W2398" t="n">
        <v>2.08</v>
      </c>
      <c r="X2398" t="n">
        <v>65.16</v>
      </c>
      <c r="Y2398">
        <f>VLOOKUP(D2398,$AB$2:$AC$7,2,FALSE)</f>
        <v/>
      </c>
      <c r="Z2398">
        <f>IF(A2398&lt;Y2398,"Yes","No")</f>
        <v/>
      </c>
    </row>
    <row r="2399">
      <c r="A2399" t="n">
        <v>2013</v>
      </c>
      <c r="B2399" t="inlineStr">
        <is>
          <t>Q1</t>
        </is>
      </c>
      <c r="C2399" t="inlineStr">
        <is>
          <t>South America</t>
        </is>
      </c>
      <c r="D2399" t="inlineStr">
        <is>
          <t>Model Y</t>
        </is>
      </c>
      <c r="E2399" t="n">
        <v>93</v>
      </c>
      <c r="F2399" t="n">
        <v>93350.14</v>
      </c>
      <c r="G2399" t="n">
        <v>0</v>
      </c>
      <c r="H2399" t="inlineStr">
        <is>
          <t>Standard</t>
        </is>
      </c>
      <c r="I2399" t="inlineStr">
        <is>
          <t>AWD</t>
        </is>
      </c>
      <c r="J2399" t="inlineStr">
        <is>
          <t>Black</t>
        </is>
      </c>
      <c r="K2399" t="n">
        <v>415</v>
      </c>
      <c r="L2399" t="n">
        <v>33</v>
      </c>
      <c r="M2399" t="n">
        <v>17.31</v>
      </c>
      <c r="N2399" t="n">
        <v>70.91</v>
      </c>
      <c r="O2399" t="n">
        <v>3.75</v>
      </c>
      <c r="P2399" t="n">
        <v>5</v>
      </c>
      <c r="Q2399" t="n">
        <v>2</v>
      </c>
      <c r="R2399" t="n">
        <v>2023.1</v>
      </c>
      <c r="S2399" t="b">
        <v>1</v>
      </c>
      <c r="T2399" t="n">
        <v>2544992</v>
      </c>
      <c r="U2399" t="n">
        <v>8</v>
      </c>
      <c r="V2399" t="n">
        <v>0.0445</v>
      </c>
      <c r="W2399" t="n">
        <v>2.2</v>
      </c>
      <c r="X2399" t="n">
        <v>63.5</v>
      </c>
      <c r="Y2399">
        <f>VLOOKUP(D2399,$AB$2:$AC$7,2,FALSE)</f>
        <v/>
      </c>
      <c r="Z2399">
        <f>IF(A2399&lt;Y2399,"Yes","No")</f>
        <v/>
      </c>
    </row>
    <row r="2400">
      <c r="A2400" t="n">
        <v>2012</v>
      </c>
      <c r="B2400" t="inlineStr">
        <is>
          <t>Q1</t>
        </is>
      </c>
      <c r="C2400" t="inlineStr">
        <is>
          <t>Asia</t>
        </is>
      </c>
      <c r="D2400" t="inlineStr">
        <is>
          <t>Model Y</t>
        </is>
      </c>
      <c r="E2400" t="n">
        <v>4445</v>
      </c>
      <c r="F2400" t="n">
        <v>50414.87</v>
      </c>
      <c r="G2400" t="n">
        <v>51</v>
      </c>
      <c r="H2400" t="inlineStr">
        <is>
          <t>Long Range</t>
        </is>
      </c>
      <c r="I2400" t="inlineStr">
        <is>
          <t>RWD</t>
        </is>
      </c>
      <c r="J2400" t="inlineStr">
        <is>
          <t>Silver</t>
        </is>
      </c>
      <c r="K2400" t="n">
        <v>664</v>
      </c>
      <c r="L2400" t="n">
        <v>76</v>
      </c>
      <c r="M2400" t="n">
        <v>14.2</v>
      </c>
      <c r="N2400" t="n">
        <v>3305.08</v>
      </c>
      <c r="O2400" t="n">
        <v>4.23</v>
      </c>
      <c r="P2400" t="n">
        <v>4</v>
      </c>
      <c r="Q2400" t="n">
        <v>3</v>
      </c>
      <c r="R2400" t="n">
        <v>2023.6</v>
      </c>
      <c r="S2400" t="b">
        <v>1</v>
      </c>
      <c r="T2400" t="n">
        <v>3479692</v>
      </c>
      <c r="U2400" t="n">
        <v>10</v>
      </c>
      <c r="V2400" t="n">
        <v>0.0578</v>
      </c>
      <c r="W2400" t="n">
        <v>1.96</v>
      </c>
      <c r="X2400" t="n">
        <v>70.95</v>
      </c>
      <c r="Y2400">
        <f>VLOOKUP(D2400,$AB$2:$AC$7,2,FALSE)</f>
        <v/>
      </c>
      <c r="Z2400">
        <f>IF(A2400&lt;Y2400,"Yes","No")</f>
        <v/>
      </c>
    </row>
    <row r="2401">
      <c r="A2401" t="n">
        <v>2023</v>
      </c>
      <c r="B2401" t="inlineStr">
        <is>
          <t>Q4</t>
        </is>
      </c>
      <c r="C2401" t="inlineStr">
        <is>
          <t>North America</t>
        </is>
      </c>
      <c r="D2401" t="inlineStr">
        <is>
          <t>Model 3</t>
        </is>
      </c>
      <c r="E2401" t="n">
        <v>3858</v>
      </c>
      <c r="F2401" t="n">
        <v>115592.72</v>
      </c>
      <c r="G2401" t="n">
        <v>12</v>
      </c>
      <c r="H2401" t="inlineStr">
        <is>
          <t>Standard</t>
        </is>
      </c>
      <c r="I2401" t="inlineStr">
        <is>
          <t>RWD</t>
        </is>
      </c>
      <c r="J2401" t="inlineStr">
        <is>
          <t>Red</t>
        </is>
      </c>
      <c r="K2401" t="n">
        <v>472</v>
      </c>
      <c r="L2401" t="n">
        <v>83</v>
      </c>
      <c r="M2401" t="n">
        <v>24.85</v>
      </c>
      <c r="N2401" t="n">
        <v>2339.51</v>
      </c>
      <c r="O2401" t="n">
        <v>4.53</v>
      </c>
      <c r="P2401" t="n">
        <v>6</v>
      </c>
      <c r="Q2401" t="n">
        <v>0</v>
      </c>
      <c r="R2401" t="n">
        <v>2023.4</v>
      </c>
      <c r="S2401" t="b">
        <v>1</v>
      </c>
      <c r="T2401" t="n">
        <v>3984069</v>
      </c>
      <c r="U2401" t="n">
        <v>2</v>
      </c>
      <c r="V2401" t="n">
        <v>0.094</v>
      </c>
      <c r="W2401" t="n">
        <v>1.89</v>
      </c>
      <c r="X2401" t="n">
        <v>70.48</v>
      </c>
      <c r="Y2401">
        <f>VLOOKUP(D2401,$AB$2:$AC$7,2,FALSE)</f>
        <v/>
      </c>
      <c r="Z2401">
        <f>IF(A2401&lt;Y2401,"Yes","No")</f>
        <v/>
      </c>
    </row>
    <row r="2402">
      <c r="A2402" t="n">
        <v>2016</v>
      </c>
      <c r="B2402" t="inlineStr">
        <is>
          <t>Q1</t>
        </is>
      </c>
      <c r="C2402" t="inlineStr">
        <is>
          <t>Australia</t>
        </is>
      </c>
      <c r="D2402" t="inlineStr">
        <is>
          <t>Cybertruck</t>
        </is>
      </c>
      <c r="E2402" t="n">
        <v>2156</v>
      </c>
      <c r="F2402" t="n">
        <v>101123.73</v>
      </c>
      <c r="G2402" t="n">
        <v>40</v>
      </c>
      <c r="H2402" t="inlineStr">
        <is>
          <t>Performance</t>
        </is>
      </c>
      <c r="I2402" t="inlineStr">
        <is>
          <t>RWD</t>
        </is>
      </c>
      <c r="J2402" t="inlineStr">
        <is>
          <t>Blue</t>
        </is>
      </c>
      <c r="K2402" t="n">
        <v>503</v>
      </c>
      <c r="L2402" t="n">
        <v>54</v>
      </c>
      <c r="M2402" t="n">
        <v>19.44</v>
      </c>
      <c r="N2402" t="n">
        <v>2711.8</v>
      </c>
      <c r="O2402" t="n">
        <v>4.09</v>
      </c>
      <c r="P2402" t="n">
        <v>6</v>
      </c>
      <c r="Q2402" t="n">
        <v>3</v>
      </c>
      <c r="R2402" t="n">
        <v>2024.2</v>
      </c>
      <c r="S2402" t="b">
        <v>0</v>
      </c>
      <c r="T2402" t="n">
        <v>1491030</v>
      </c>
      <c r="U2402" t="n">
        <v>10</v>
      </c>
      <c r="V2402" t="n">
        <v>0.0375</v>
      </c>
      <c r="W2402" t="n">
        <v>0.53</v>
      </c>
      <c r="X2402" t="n">
        <v>88.04000000000001</v>
      </c>
      <c r="Y2402">
        <f>VLOOKUP(D2402,$AB$2:$AC$7,2,FALSE)</f>
        <v/>
      </c>
      <c r="Z2402">
        <f>IF(A2402&lt;Y2402,"Yes","No")</f>
        <v/>
      </c>
    </row>
    <row r="2403">
      <c r="A2403" t="n">
        <v>2012</v>
      </c>
      <c r="B2403" t="inlineStr">
        <is>
          <t>Q1</t>
        </is>
      </c>
      <c r="C2403" t="inlineStr">
        <is>
          <t>Europe</t>
        </is>
      </c>
      <c r="D2403" t="inlineStr">
        <is>
          <t>Model Y</t>
        </is>
      </c>
      <c r="E2403" t="n">
        <v>2205</v>
      </c>
      <c r="F2403" t="n">
        <v>51266.02</v>
      </c>
      <c r="G2403" t="n">
        <v>32</v>
      </c>
      <c r="H2403" t="inlineStr">
        <is>
          <t>Long Range</t>
        </is>
      </c>
      <c r="I2403" t="inlineStr">
        <is>
          <t>RWD</t>
        </is>
      </c>
      <c r="J2403" t="inlineStr">
        <is>
          <t>Green</t>
        </is>
      </c>
      <c r="K2403" t="n">
        <v>399</v>
      </c>
      <c r="L2403" t="n">
        <v>31</v>
      </c>
      <c r="M2403" t="n">
        <v>22.1</v>
      </c>
      <c r="N2403" t="n">
        <v>2162.01</v>
      </c>
      <c r="O2403" t="n">
        <v>4.72</v>
      </c>
      <c r="P2403" t="n">
        <v>5</v>
      </c>
      <c r="Q2403" t="n">
        <v>1</v>
      </c>
      <c r="R2403" t="n">
        <v>2021.6</v>
      </c>
      <c r="S2403" t="b">
        <v>1</v>
      </c>
      <c r="T2403" t="n">
        <v>1972365</v>
      </c>
      <c r="U2403" t="n">
        <v>9</v>
      </c>
      <c r="V2403" t="n">
        <v>0.0485</v>
      </c>
      <c r="W2403" t="n">
        <v>2.04</v>
      </c>
      <c r="X2403" t="n">
        <v>64.93000000000001</v>
      </c>
      <c r="Y2403">
        <f>VLOOKUP(D2403,$AB$2:$AC$7,2,FALSE)</f>
        <v/>
      </c>
      <c r="Z2403">
        <f>IF(A2403&lt;Y2403,"Yes","No")</f>
        <v/>
      </c>
    </row>
    <row r="2404">
      <c r="A2404" t="n">
        <v>2023</v>
      </c>
      <c r="B2404" t="inlineStr">
        <is>
          <t>Q2</t>
        </is>
      </c>
      <c r="C2404" t="inlineStr">
        <is>
          <t>Europe</t>
        </is>
      </c>
      <c r="D2404" t="inlineStr">
        <is>
          <t>Semi</t>
        </is>
      </c>
      <c r="E2404" t="n">
        <v>1977</v>
      </c>
      <c r="F2404" t="n">
        <v>57828.53</v>
      </c>
      <c r="G2404" t="n">
        <v>2</v>
      </c>
      <c r="H2404" t="inlineStr">
        <is>
          <t>Standard</t>
        </is>
      </c>
      <c r="I2404" t="inlineStr">
        <is>
          <t>RWD</t>
        </is>
      </c>
      <c r="J2404" t="inlineStr">
        <is>
          <t>White</t>
        </is>
      </c>
      <c r="K2404" t="n">
        <v>410</v>
      </c>
      <c r="L2404" t="n">
        <v>60</v>
      </c>
      <c r="M2404" t="n">
        <v>18.93</v>
      </c>
      <c r="N2404" t="n">
        <v>2447.83</v>
      </c>
      <c r="O2404" t="n">
        <v>4.31</v>
      </c>
      <c r="P2404" t="n">
        <v>8</v>
      </c>
      <c r="Q2404" t="n">
        <v>3</v>
      </c>
      <c r="R2404" t="n">
        <v>2020.1</v>
      </c>
      <c r="S2404" t="b">
        <v>1</v>
      </c>
      <c r="T2404" t="n">
        <v>399805</v>
      </c>
      <c r="U2404" t="n">
        <v>2</v>
      </c>
      <c r="V2404" t="n">
        <v>0.0898</v>
      </c>
      <c r="W2404" t="n">
        <v>1.7</v>
      </c>
      <c r="X2404" t="n">
        <v>85.56999999999999</v>
      </c>
      <c r="Y2404">
        <f>VLOOKUP(D2404,$AB$2:$AC$7,2,FALSE)</f>
        <v/>
      </c>
      <c r="Z2404">
        <f>IF(A2404&lt;Y2404,"Yes","No")</f>
        <v/>
      </c>
    </row>
    <row r="2405">
      <c r="A2405" t="n">
        <v>2013</v>
      </c>
      <c r="B2405" t="inlineStr">
        <is>
          <t>Q4</t>
        </is>
      </c>
      <c r="C2405" t="inlineStr">
        <is>
          <t>Europe</t>
        </is>
      </c>
      <c r="D2405" t="inlineStr">
        <is>
          <t>Semi</t>
        </is>
      </c>
      <c r="E2405" t="n">
        <v>2246</v>
      </c>
      <c r="F2405" t="n">
        <v>77464.10000000001</v>
      </c>
      <c r="G2405" t="n">
        <v>48</v>
      </c>
      <c r="H2405" t="inlineStr">
        <is>
          <t>Standard</t>
        </is>
      </c>
      <c r="I2405" t="inlineStr">
        <is>
          <t>AWD</t>
        </is>
      </c>
      <c r="J2405" t="inlineStr">
        <is>
          <t>Green</t>
        </is>
      </c>
      <c r="K2405" t="n">
        <v>455</v>
      </c>
      <c r="L2405" t="n">
        <v>49</v>
      </c>
      <c r="M2405" t="n">
        <v>19.1</v>
      </c>
      <c r="N2405" t="n">
        <v>3718.92</v>
      </c>
      <c r="O2405" t="n">
        <v>3.93</v>
      </c>
      <c r="P2405" t="n">
        <v>5</v>
      </c>
      <c r="Q2405" t="n">
        <v>3</v>
      </c>
      <c r="R2405" t="n">
        <v>2024.11</v>
      </c>
      <c r="S2405" t="b">
        <v>0</v>
      </c>
      <c r="T2405" t="n">
        <v>1989892</v>
      </c>
      <c r="U2405" t="n">
        <v>3</v>
      </c>
      <c r="V2405" t="n">
        <v>0.0963</v>
      </c>
      <c r="W2405" t="n">
        <v>2.44</v>
      </c>
      <c r="X2405" t="n">
        <v>70.43000000000001</v>
      </c>
      <c r="Y2405">
        <f>VLOOKUP(D2405,$AB$2:$AC$7,2,FALSE)</f>
        <v/>
      </c>
      <c r="Z2405">
        <f>IF(A2405&lt;Y2405,"Yes","No")</f>
        <v/>
      </c>
    </row>
    <row r="2406">
      <c r="A2406" t="n">
        <v>2017</v>
      </c>
      <c r="B2406" t="inlineStr">
        <is>
          <t>Q1</t>
        </is>
      </c>
      <c r="C2406" t="inlineStr">
        <is>
          <t>North America</t>
        </is>
      </c>
      <c r="D2406" t="inlineStr">
        <is>
          <t>Cybertruck</t>
        </is>
      </c>
      <c r="E2406" t="n">
        <v>3989</v>
      </c>
      <c r="F2406" t="n">
        <v>66495.66</v>
      </c>
      <c r="G2406" t="n">
        <v>49</v>
      </c>
      <c r="H2406" t="inlineStr">
        <is>
          <t>Long Range</t>
        </is>
      </c>
      <c r="I2406" t="inlineStr">
        <is>
          <t>RWD</t>
        </is>
      </c>
      <c r="J2406" t="inlineStr">
        <is>
          <t>White</t>
        </is>
      </c>
      <c r="K2406" t="n">
        <v>400</v>
      </c>
      <c r="L2406" t="n">
        <v>90</v>
      </c>
      <c r="M2406" t="n">
        <v>21.28</v>
      </c>
      <c r="N2406" t="n">
        <v>2869.27</v>
      </c>
      <c r="O2406" t="n">
        <v>4.89</v>
      </c>
      <c r="P2406" t="n">
        <v>5</v>
      </c>
      <c r="Q2406" t="n">
        <v>1</v>
      </c>
      <c r="R2406" t="n">
        <v>2021.8</v>
      </c>
      <c r="S2406" t="b">
        <v>1</v>
      </c>
      <c r="T2406" t="n">
        <v>4608907</v>
      </c>
      <c r="U2406" t="n">
        <v>6</v>
      </c>
      <c r="V2406" t="n">
        <v>0.0347</v>
      </c>
      <c r="W2406" t="n">
        <v>1.28</v>
      </c>
      <c r="X2406" t="n">
        <v>87.98</v>
      </c>
      <c r="Y2406">
        <f>VLOOKUP(D2406,$AB$2:$AC$7,2,FALSE)</f>
        <v/>
      </c>
      <c r="Z2406">
        <f>IF(A2406&lt;Y2406,"Yes","No")</f>
        <v/>
      </c>
    </row>
    <row r="2407">
      <c r="A2407" t="n">
        <v>2017</v>
      </c>
      <c r="B2407" t="inlineStr">
        <is>
          <t>Q1</t>
        </is>
      </c>
      <c r="C2407" t="inlineStr">
        <is>
          <t>North America</t>
        </is>
      </c>
      <c r="D2407" t="inlineStr">
        <is>
          <t>Semi</t>
        </is>
      </c>
      <c r="E2407" t="n">
        <v>1672</v>
      </c>
      <c r="F2407" t="n">
        <v>88636.13</v>
      </c>
      <c r="G2407" t="n">
        <v>5</v>
      </c>
      <c r="H2407" t="inlineStr">
        <is>
          <t>Standard</t>
        </is>
      </c>
      <c r="I2407" t="inlineStr">
        <is>
          <t>RWD</t>
        </is>
      </c>
      <c r="J2407" t="inlineStr">
        <is>
          <t>Green</t>
        </is>
      </c>
      <c r="K2407" t="n">
        <v>696</v>
      </c>
      <c r="L2407" t="n">
        <v>49</v>
      </c>
      <c r="M2407" t="n">
        <v>23.23</v>
      </c>
      <c r="N2407" t="n">
        <v>2672.39</v>
      </c>
      <c r="O2407" t="n">
        <v>3.96</v>
      </c>
      <c r="P2407" t="n">
        <v>5</v>
      </c>
      <c r="Q2407" t="n">
        <v>1</v>
      </c>
      <c r="R2407" t="n">
        <v>2023.12</v>
      </c>
      <c r="S2407" t="b">
        <v>0</v>
      </c>
      <c r="T2407" t="n">
        <v>2811026</v>
      </c>
      <c r="U2407" t="n">
        <v>9</v>
      </c>
      <c r="V2407" t="n">
        <v>0.0141</v>
      </c>
      <c r="W2407" t="n">
        <v>1.44</v>
      </c>
      <c r="X2407" t="n">
        <v>84.3</v>
      </c>
      <c r="Y2407">
        <f>VLOOKUP(D2407,$AB$2:$AC$7,2,FALSE)</f>
        <v/>
      </c>
      <c r="Z2407">
        <f>IF(A2407&lt;Y2407,"Yes","No")</f>
        <v/>
      </c>
    </row>
    <row r="2408">
      <c r="A2408" t="n">
        <v>2019</v>
      </c>
      <c r="B2408" t="inlineStr">
        <is>
          <t>Q2</t>
        </is>
      </c>
      <c r="C2408" t="inlineStr">
        <is>
          <t>Europe</t>
        </is>
      </c>
      <c r="D2408" t="inlineStr">
        <is>
          <t>Model Y</t>
        </is>
      </c>
      <c r="E2408" t="n">
        <v>361</v>
      </c>
      <c r="F2408" t="n">
        <v>40676</v>
      </c>
      <c r="G2408" t="n">
        <v>27</v>
      </c>
      <c r="H2408" t="inlineStr">
        <is>
          <t>Long Range</t>
        </is>
      </c>
      <c r="I2408" t="inlineStr">
        <is>
          <t>AWD</t>
        </is>
      </c>
      <c r="J2408" t="inlineStr">
        <is>
          <t>Blue</t>
        </is>
      </c>
      <c r="K2408" t="n">
        <v>372</v>
      </c>
      <c r="L2408" t="n">
        <v>52</v>
      </c>
      <c r="M2408" t="n">
        <v>16.53</v>
      </c>
      <c r="N2408" t="n">
        <v>703.4299999999999</v>
      </c>
      <c r="O2408" t="n">
        <v>4.35</v>
      </c>
      <c r="P2408" t="n">
        <v>4</v>
      </c>
      <c r="Q2408" t="n">
        <v>1</v>
      </c>
      <c r="R2408" t="n">
        <v>2023.1</v>
      </c>
      <c r="S2408" t="b">
        <v>1</v>
      </c>
      <c r="T2408" t="n">
        <v>762817</v>
      </c>
      <c r="U2408" t="n">
        <v>12</v>
      </c>
      <c r="V2408" t="n">
        <v>0.0134</v>
      </c>
      <c r="W2408" t="n">
        <v>0.8100000000000001</v>
      </c>
      <c r="X2408" t="n">
        <v>71.64</v>
      </c>
      <c r="Y2408">
        <f>VLOOKUP(D2408,$AB$2:$AC$7,2,FALSE)</f>
        <v/>
      </c>
      <c r="Z2408">
        <f>IF(A2408&lt;Y2408,"Yes","No")</f>
        <v/>
      </c>
    </row>
    <row r="2409">
      <c r="A2409" t="n">
        <v>2022</v>
      </c>
      <c r="B2409" t="inlineStr">
        <is>
          <t>Q4</t>
        </is>
      </c>
      <c r="C2409" t="inlineStr">
        <is>
          <t>Australia</t>
        </is>
      </c>
      <c r="D2409" t="inlineStr">
        <is>
          <t>Model X</t>
        </is>
      </c>
      <c r="E2409" t="n">
        <v>3477</v>
      </c>
      <c r="F2409" t="n">
        <v>107191.83</v>
      </c>
      <c r="G2409" t="n">
        <v>59</v>
      </c>
      <c r="H2409" t="inlineStr">
        <is>
          <t>Performance</t>
        </is>
      </c>
      <c r="I2409" t="inlineStr">
        <is>
          <t>AWD</t>
        </is>
      </c>
      <c r="J2409" t="inlineStr">
        <is>
          <t>Blue</t>
        </is>
      </c>
      <c r="K2409" t="n">
        <v>361</v>
      </c>
      <c r="L2409" t="n">
        <v>49</v>
      </c>
      <c r="M2409" t="n">
        <v>14.39</v>
      </c>
      <c r="N2409" t="n">
        <v>4754.14</v>
      </c>
      <c r="O2409" t="n">
        <v>4.73</v>
      </c>
      <c r="P2409" t="n">
        <v>4</v>
      </c>
      <c r="Q2409" t="n">
        <v>2</v>
      </c>
      <c r="R2409" t="n">
        <v>2023.7</v>
      </c>
      <c r="S2409" t="b">
        <v>1</v>
      </c>
      <c r="T2409" t="n">
        <v>812558</v>
      </c>
      <c r="U2409" t="n">
        <v>10</v>
      </c>
      <c r="V2409" t="n">
        <v>0.0268</v>
      </c>
      <c r="W2409" t="n">
        <v>1.65</v>
      </c>
      <c r="X2409" t="n">
        <v>85.91</v>
      </c>
      <c r="Y2409">
        <f>VLOOKUP(D2409,$AB$2:$AC$7,2,FALSE)</f>
        <v/>
      </c>
      <c r="Z2409">
        <f>IF(A2409&lt;Y2409,"Yes","No")</f>
        <v/>
      </c>
    </row>
    <row r="2410">
      <c r="A2410" t="n">
        <v>2023</v>
      </c>
      <c r="B2410" t="inlineStr">
        <is>
          <t>Q1</t>
        </is>
      </c>
      <c r="C2410" t="inlineStr">
        <is>
          <t>Australia</t>
        </is>
      </c>
      <c r="D2410" t="inlineStr">
        <is>
          <t>Model X</t>
        </is>
      </c>
      <c r="E2410" t="n">
        <v>4167</v>
      </c>
      <c r="F2410" t="n">
        <v>71615.64999999999</v>
      </c>
      <c r="G2410" t="n">
        <v>14</v>
      </c>
      <c r="H2410" t="inlineStr">
        <is>
          <t>Long Range</t>
        </is>
      </c>
      <c r="I2410" t="inlineStr">
        <is>
          <t>AWD</t>
        </is>
      </c>
      <c r="J2410" t="inlineStr">
        <is>
          <t>Red</t>
        </is>
      </c>
      <c r="K2410" t="n">
        <v>649</v>
      </c>
      <c r="L2410" t="n">
        <v>61</v>
      </c>
      <c r="M2410" t="n">
        <v>16.86</v>
      </c>
      <c r="N2410" t="n">
        <v>10322.79</v>
      </c>
      <c r="O2410" t="n">
        <v>4.54</v>
      </c>
      <c r="P2410" t="n">
        <v>5</v>
      </c>
      <c r="Q2410" t="n">
        <v>0</v>
      </c>
      <c r="R2410" t="n">
        <v>2022.1</v>
      </c>
      <c r="S2410" t="b">
        <v>1</v>
      </c>
      <c r="T2410" t="n">
        <v>4307689</v>
      </c>
      <c r="U2410" t="n">
        <v>12</v>
      </c>
      <c r="V2410" t="n">
        <v>0.0633</v>
      </c>
      <c r="W2410" t="n">
        <v>2.48</v>
      </c>
      <c r="X2410" t="n">
        <v>62.83</v>
      </c>
      <c r="Y2410">
        <f>VLOOKUP(D2410,$AB$2:$AC$7,2,FALSE)</f>
        <v/>
      </c>
      <c r="Z2410">
        <f>IF(A2410&lt;Y2410,"Yes","No")</f>
        <v/>
      </c>
    </row>
    <row r="2411">
      <c r="A2411" t="n">
        <v>2022</v>
      </c>
      <c r="B2411" t="inlineStr">
        <is>
          <t>Q4</t>
        </is>
      </c>
      <c r="C2411" t="inlineStr">
        <is>
          <t>North America</t>
        </is>
      </c>
      <c r="D2411" t="inlineStr">
        <is>
          <t>Semi</t>
        </is>
      </c>
      <c r="E2411" t="n">
        <v>3940</v>
      </c>
      <c r="F2411" t="n">
        <v>62179.99</v>
      </c>
      <c r="G2411" t="n">
        <v>25</v>
      </c>
      <c r="H2411" t="inlineStr">
        <is>
          <t>Performance</t>
        </is>
      </c>
      <c r="I2411" t="inlineStr">
        <is>
          <t>RWD</t>
        </is>
      </c>
      <c r="J2411" t="inlineStr">
        <is>
          <t>Black</t>
        </is>
      </c>
      <c r="K2411" t="n">
        <v>478</v>
      </c>
      <c r="L2411" t="n">
        <v>87</v>
      </c>
      <c r="M2411" t="n">
        <v>16.81</v>
      </c>
      <c r="N2411" t="n">
        <v>4135.9</v>
      </c>
      <c r="O2411" t="n">
        <v>4.39</v>
      </c>
      <c r="P2411" t="n">
        <v>8</v>
      </c>
      <c r="Q2411" t="n">
        <v>2</v>
      </c>
      <c r="R2411" t="n">
        <v>2021.3</v>
      </c>
      <c r="S2411" t="b">
        <v>1</v>
      </c>
      <c r="T2411" t="n">
        <v>3590063</v>
      </c>
      <c r="U2411" t="n">
        <v>11</v>
      </c>
      <c r="V2411" t="n">
        <v>0.0902</v>
      </c>
      <c r="W2411" t="n">
        <v>1.65</v>
      </c>
      <c r="X2411" t="n">
        <v>64.59999999999999</v>
      </c>
      <c r="Y2411">
        <f>VLOOKUP(D2411,$AB$2:$AC$7,2,FALSE)</f>
        <v/>
      </c>
      <c r="Z2411">
        <f>IF(A2411&lt;Y2411,"Yes","No")</f>
        <v/>
      </c>
    </row>
    <row r="2412">
      <c r="A2412" t="n">
        <v>2024</v>
      </c>
      <c r="B2412" t="inlineStr">
        <is>
          <t>Q3</t>
        </is>
      </c>
      <c r="C2412" t="inlineStr">
        <is>
          <t>South America</t>
        </is>
      </c>
      <c r="D2412" t="inlineStr">
        <is>
          <t>Model 3</t>
        </is>
      </c>
      <c r="E2412" t="n">
        <v>496</v>
      </c>
      <c r="F2412" t="n">
        <v>35921.72</v>
      </c>
      <c r="G2412" t="n">
        <v>51</v>
      </c>
      <c r="H2412" t="inlineStr">
        <is>
          <t>Long Range</t>
        </is>
      </c>
      <c r="I2412" t="inlineStr">
        <is>
          <t>AWD</t>
        </is>
      </c>
      <c r="J2412" t="inlineStr">
        <is>
          <t>Green</t>
        </is>
      </c>
      <c r="K2412" t="n">
        <v>632</v>
      </c>
      <c r="L2412" t="n">
        <v>79</v>
      </c>
      <c r="M2412" t="n">
        <v>18.52</v>
      </c>
      <c r="N2412" t="n">
        <v>650.47</v>
      </c>
      <c r="O2412" t="n">
        <v>4.98</v>
      </c>
      <c r="P2412" t="n">
        <v>5</v>
      </c>
      <c r="Q2412" t="n">
        <v>2</v>
      </c>
      <c r="R2412" t="n">
        <v>2022.1</v>
      </c>
      <c r="S2412" t="b">
        <v>1</v>
      </c>
      <c r="T2412" t="n">
        <v>428732</v>
      </c>
      <c r="U2412" t="n">
        <v>10</v>
      </c>
      <c r="V2412" t="n">
        <v>0.0566</v>
      </c>
      <c r="W2412" t="n">
        <v>2.19</v>
      </c>
      <c r="X2412" t="n">
        <v>68.70999999999999</v>
      </c>
      <c r="Y2412">
        <f>VLOOKUP(D2412,$AB$2:$AC$7,2,FALSE)</f>
        <v/>
      </c>
      <c r="Z2412">
        <f>IF(A2412&lt;Y2412,"Yes","No")</f>
        <v/>
      </c>
    </row>
    <row r="2413">
      <c r="A2413" t="n">
        <v>2020</v>
      </c>
      <c r="B2413" t="inlineStr">
        <is>
          <t>Q2</t>
        </is>
      </c>
      <c r="C2413" t="inlineStr">
        <is>
          <t>North America</t>
        </is>
      </c>
      <c r="D2413" t="inlineStr">
        <is>
          <t>Cybertruck</t>
        </is>
      </c>
      <c r="E2413" t="n">
        <v>1577</v>
      </c>
      <c r="F2413" t="n">
        <v>72455.45</v>
      </c>
      <c r="G2413" t="n">
        <v>10</v>
      </c>
      <c r="H2413" t="inlineStr">
        <is>
          <t>Long Range</t>
        </is>
      </c>
      <c r="I2413" t="inlineStr">
        <is>
          <t>RWD</t>
        </is>
      </c>
      <c r="J2413" t="inlineStr">
        <is>
          <t>Silver</t>
        </is>
      </c>
      <c r="K2413" t="n">
        <v>457</v>
      </c>
      <c r="L2413" t="n">
        <v>48</v>
      </c>
      <c r="M2413" t="n">
        <v>13.56</v>
      </c>
      <c r="N2413" t="n">
        <v>2627.11</v>
      </c>
      <c r="O2413" t="n">
        <v>4.53</v>
      </c>
      <c r="P2413" t="n">
        <v>5</v>
      </c>
      <c r="Q2413" t="n">
        <v>1</v>
      </c>
      <c r="R2413" t="n">
        <v>2024.2</v>
      </c>
      <c r="S2413" t="b">
        <v>1</v>
      </c>
      <c r="T2413" t="n">
        <v>3338942</v>
      </c>
      <c r="U2413" t="n">
        <v>12</v>
      </c>
      <c r="V2413" t="n">
        <v>0.0526</v>
      </c>
      <c r="W2413" t="n">
        <v>2.3</v>
      </c>
      <c r="X2413" t="n">
        <v>74.73</v>
      </c>
      <c r="Y2413">
        <f>VLOOKUP(D2413,$AB$2:$AC$7,2,FALSE)</f>
        <v/>
      </c>
      <c r="Z2413">
        <f>IF(A2413&lt;Y2413,"Yes","No")</f>
        <v/>
      </c>
    </row>
    <row r="2414">
      <c r="A2414" t="n">
        <v>2022</v>
      </c>
      <c r="B2414" t="inlineStr">
        <is>
          <t>Q1</t>
        </is>
      </c>
      <c r="C2414" t="inlineStr">
        <is>
          <t>North America</t>
        </is>
      </c>
      <c r="D2414" t="inlineStr">
        <is>
          <t>Model S</t>
        </is>
      </c>
      <c r="E2414" t="n">
        <v>1900</v>
      </c>
      <c r="F2414" t="n">
        <v>59181.67</v>
      </c>
      <c r="G2414" t="n">
        <v>11</v>
      </c>
      <c r="H2414" t="inlineStr">
        <is>
          <t>Standard</t>
        </is>
      </c>
      <c r="I2414" t="inlineStr">
        <is>
          <t>RWD</t>
        </is>
      </c>
      <c r="J2414" t="inlineStr">
        <is>
          <t>Black</t>
        </is>
      </c>
      <c r="K2414" t="n">
        <v>573</v>
      </c>
      <c r="L2414" t="n">
        <v>34</v>
      </c>
      <c r="M2414" t="n">
        <v>18.98</v>
      </c>
      <c r="N2414" t="n">
        <v>2163.52</v>
      </c>
      <c r="O2414" t="n">
        <v>4.64</v>
      </c>
      <c r="P2414" t="n">
        <v>6</v>
      </c>
      <c r="Q2414" t="n">
        <v>0</v>
      </c>
      <c r="R2414" t="n">
        <v>2023.11</v>
      </c>
      <c r="S2414" t="b">
        <v>1</v>
      </c>
      <c r="T2414" t="n">
        <v>4310832</v>
      </c>
      <c r="U2414" t="n">
        <v>6</v>
      </c>
      <c r="V2414" t="n">
        <v>0.0675</v>
      </c>
      <c r="W2414" t="n">
        <v>0.51</v>
      </c>
      <c r="X2414" t="n">
        <v>83.77</v>
      </c>
      <c r="Y2414">
        <f>VLOOKUP(D2414,$AB$2:$AC$7,2,FALSE)</f>
        <v/>
      </c>
      <c r="Z2414">
        <f>IF(A2414&lt;Y2414,"Yes","No")</f>
        <v/>
      </c>
    </row>
    <row r="2415">
      <c r="A2415" t="n">
        <v>2012</v>
      </c>
      <c r="B2415" t="inlineStr">
        <is>
          <t>Q1</t>
        </is>
      </c>
      <c r="C2415" t="inlineStr">
        <is>
          <t>North America</t>
        </is>
      </c>
      <c r="D2415" t="inlineStr">
        <is>
          <t>Model 3</t>
        </is>
      </c>
      <c r="E2415" t="n">
        <v>2006</v>
      </c>
      <c r="F2415" t="n">
        <v>40013.37</v>
      </c>
      <c r="G2415" t="n">
        <v>53</v>
      </c>
      <c r="H2415" t="inlineStr">
        <is>
          <t>Performance</t>
        </is>
      </c>
      <c r="I2415" t="inlineStr">
        <is>
          <t>AWD</t>
        </is>
      </c>
      <c r="J2415" t="inlineStr">
        <is>
          <t>Green</t>
        </is>
      </c>
      <c r="K2415" t="n">
        <v>410</v>
      </c>
      <c r="L2415" t="n">
        <v>47</v>
      </c>
      <c r="M2415" t="n">
        <v>22.89</v>
      </c>
      <c r="N2415" t="n">
        <v>3365.14</v>
      </c>
      <c r="O2415" t="n">
        <v>3.88</v>
      </c>
      <c r="P2415" t="n">
        <v>4</v>
      </c>
      <c r="Q2415" t="n">
        <v>0</v>
      </c>
      <c r="R2415" t="n">
        <v>2020.12</v>
      </c>
      <c r="S2415" t="b">
        <v>1</v>
      </c>
      <c r="T2415" t="n">
        <v>4887534</v>
      </c>
      <c r="U2415" t="n">
        <v>4</v>
      </c>
      <c r="V2415" t="n">
        <v>0.0198</v>
      </c>
      <c r="W2415" t="n">
        <v>1.82</v>
      </c>
      <c r="X2415" t="n">
        <v>76.76000000000001</v>
      </c>
      <c r="Y2415">
        <f>VLOOKUP(D2415,$AB$2:$AC$7,2,FALSE)</f>
        <v/>
      </c>
      <c r="Z2415">
        <f>IF(A2415&lt;Y2415,"Yes","No")</f>
        <v/>
      </c>
    </row>
    <row r="2416">
      <c r="A2416" t="n">
        <v>2023</v>
      </c>
      <c r="B2416" t="inlineStr">
        <is>
          <t>Q1</t>
        </is>
      </c>
      <c r="C2416" t="inlineStr">
        <is>
          <t>South America</t>
        </is>
      </c>
      <c r="D2416" t="inlineStr">
        <is>
          <t>Model 3</t>
        </is>
      </c>
      <c r="E2416" t="n">
        <v>3868</v>
      </c>
      <c r="F2416" t="n">
        <v>100268.15</v>
      </c>
      <c r="G2416" t="n">
        <v>60</v>
      </c>
      <c r="H2416" t="inlineStr">
        <is>
          <t>Standard</t>
        </is>
      </c>
      <c r="I2416" t="inlineStr">
        <is>
          <t>RWD</t>
        </is>
      </c>
      <c r="J2416" t="inlineStr">
        <is>
          <t>White</t>
        </is>
      </c>
      <c r="K2416" t="n">
        <v>477</v>
      </c>
      <c r="L2416" t="n">
        <v>71</v>
      </c>
      <c r="M2416" t="n">
        <v>18.38</v>
      </c>
      <c r="N2416" t="n">
        <v>5187.04</v>
      </c>
      <c r="O2416" t="n">
        <v>3.93</v>
      </c>
      <c r="P2416" t="n">
        <v>8</v>
      </c>
      <c r="Q2416" t="n">
        <v>0</v>
      </c>
      <c r="R2416" t="n">
        <v>2024.12</v>
      </c>
      <c r="S2416" t="b">
        <v>0</v>
      </c>
      <c r="T2416" t="n">
        <v>3675886</v>
      </c>
      <c r="U2416" t="n">
        <v>10</v>
      </c>
      <c r="V2416" t="n">
        <v>0.0616</v>
      </c>
      <c r="W2416" t="n">
        <v>0.7</v>
      </c>
      <c r="X2416" t="n">
        <v>87.12</v>
      </c>
      <c r="Y2416">
        <f>VLOOKUP(D2416,$AB$2:$AC$7,2,FALSE)</f>
        <v/>
      </c>
      <c r="Z2416">
        <f>IF(A2416&lt;Y2416,"Yes","No")</f>
        <v/>
      </c>
    </row>
    <row r="2417">
      <c r="A2417" t="n">
        <v>2022</v>
      </c>
      <c r="B2417" t="inlineStr">
        <is>
          <t>Q2</t>
        </is>
      </c>
      <c r="C2417" t="inlineStr">
        <is>
          <t>Europe</t>
        </is>
      </c>
      <c r="D2417" t="inlineStr">
        <is>
          <t>Model Y</t>
        </is>
      </c>
      <c r="E2417" t="n">
        <v>2739</v>
      </c>
      <c r="F2417" t="n">
        <v>87788.23</v>
      </c>
      <c r="G2417" t="n">
        <v>28</v>
      </c>
      <c r="H2417" t="inlineStr">
        <is>
          <t>Long Range</t>
        </is>
      </c>
      <c r="I2417" t="inlineStr">
        <is>
          <t>RWD</t>
        </is>
      </c>
      <c r="J2417" t="inlineStr">
        <is>
          <t>Red</t>
        </is>
      </c>
      <c r="K2417" t="n">
        <v>672</v>
      </c>
      <c r="L2417" t="n">
        <v>67</v>
      </c>
      <c r="M2417" t="n">
        <v>14.25</v>
      </c>
      <c r="N2417" t="n">
        <v>4192.55</v>
      </c>
      <c r="O2417" t="n">
        <v>4.61</v>
      </c>
      <c r="P2417" t="n">
        <v>4</v>
      </c>
      <c r="Q2417" t="n">
        <v>1</v>
      </c>
      <c r="R2417" t="n">
        <v>2024.1</v>
      </c>
      <c r="S2417" t="b">
        <v>1</v>
      </c>
      <c r="T2417" t="n">
        <v>1968817</v>
      </c>
      <c r="U2417" t="n">
        <v>10</v>
      </c>
      <c r="V2417" t="n">
        <v>0.08989999999999999</v>
      </c>
      <c r="W2417" t="n">
        <v>2.19</v>
      </c>
      <c r="X2417" t="n">
        <v>71.28</v>
      </c>
      <c r="Y2417">
        <f>VLOOKUP(D2417,$AB$2:$AC$7,2,FALSE)</f>
        <v/>
      </c>
      <c r="Z2417">
        <f>IF(A2417&lt;Y2417,"Yes","No")</f>
        <v/>
      </c>
    </row>
    <row r="2418">
      <c r="A2418" t="n">
        <v>2018</v>
      </c>
      <c r="B2418" t="inlineStr">
        <is>
          <t>Q1</t>
        </is>
      </c>
      <c r="C2418" t="inlineStr">
        <is>
          <t>South America</t>
        </is>
      </c>
      <c r="D2418" t="inlineStr">
        <is>
          <t>Model Y</t>
        </is>
      </c>
      <c r="E2418" t="n">
        <v>4430</v>
      </c>
      <c r="F2418" t="n">
        <v>88979.81</v>
      </c>
      <c r="G2418" t="n">
        <v>49</v>
      </c>
      <c r="H2418" t="inlineStr">
        <is>
          <t>Performance</t>
        </is>
      </c>
      <c r="I2418" t="inlineStr">
        <is>
          <t>RWD</t>
        </is>
      </c>
      <c r="J2418" t="inlineStr">
        <is>
          <t>Silver</t>
        </is>
      </c>
      <c r="K2418" t="n">
        <v>386</v>
      </c>
      <c r="L2418" t="n">
        <v>38</v>
      </c>
      <c r="M2418" t="n">
        <v>17.52</v>
      </c>
      <c r="N2418" t="n">
        <v>5860.26</v>
      </c>
      <c r="O2418" t="n">
        <v>4.43</v>
      </c>
      <c r="P2418" t="n">
        <v>4</v>
      </c>
      <c r="Q2418" t="n">
        <v>3</v>
      </c>
      <c r="R2418" t="n">
        <v>2024.1</v>
      </c>
      <c r="S2418" t="b">
        <v>1</v>
      </c>
      <c r="T2418" t="n">
        <v>3938345</v>
      </c>
      <c r="U2418" t="n">
        <v>9</v>
      </c>
      <c r="V2418" t="n">
        <v>0.0707</v>
      </c>
      <c r="W2418" t="n">
        <v>1.85</v>
      </c>
      <c r="X2418" t="n">
        <v>75.06999999999999</v>
      </c>
      <c r="Y2418">
        <f>VLOOKUP(D2418,$AB$2:$AC$7,2,FALSE)</f>
        <v/>
      </c>
      <c r="Z2418">
        <f>IF(A2418&lt;Y2418,"Yes","No")</f>
        <v/>
      </c>
    </row>
    <row r="2419">
      <c r="A2419" t="n">
        <v>2022</v>
      </c>
      <c r="B2419" t="inlineStr">
        <is>
          <t>Q4</t>
        </is>
      </c>
      <c r="C2419" t="inlineStr">
        <is>
          <t>Australia</t>
        </is>
      </c>
      <c r="D2419" t="inlineStr">
        <is>
          <t>Model X</t>
        </is>
      </c>
      <c r="E2419" t="n">
        <v>3785</v>
      </c>
      <c r="F2419" t="n">
        <v>113219.51</v>
      </c>
      <c r="G2419" t="n">
        <v>50</v>
      </c>
      <c r="H2419" t="inlineStr">
        <is>
          <t>Long Range</t>
        </is>
      </c>
      <c r="I2419" t="inlineStr">
        <is>
          <t>RWD</t>
        </is>
      </c>
      <c r="J2419" t="inlineStr">
        <is>
          <t>White</t>
        </is>
      </c>
      <c r="K2419" t="n">
        <v>655</v>
      </c>
      <c r="L2419" t="n">
        <v>58</v>
      </c>
      <c r="M2419" t="n">
        <v>18.31</v>
      </c>
      <c r="N2419" t="n">
        <v>9110.48</v>
      </c>
      <c r="O2419" t="n">
        <v>4.4</v>
      </c>
      <c r="P2419" t="n">
        <v>8</v>
      </c>
      <c r="Q2419" t="n">
        <v>3</v>
      </c>
      <c r="R2419" t="n">
        <v>2023.8</v>
      </c>
      <c r="S2419" t="b">
        <v>1</v>
      </c>
      <c r="T2419" t="n">
        <v>4352701</v>
      </c>
      <c r="U2419" t="n">
        <v>2</v>
      </c>
      <c r="V2419" t="n">
        <v>0.0135</v>
      </c>
      <c r="W2419" t="n">
        <v>1.42</v>
      </c>
      <c r="X2419" t="n">
        <v>61.02</v>
      </c>
      <c r="Y2419">
        <f>VLOOKUP(D2419,$AB$2:$AC$7,2,FALSE)</f>
        <v/>
      </c>
      <c r="Z2419">
        <f>IF(A2419&lt;Y2419,"Yes","No")</f>
        <v/>
      </c>
    </row>
    <row r="2420">
      <c r="A2420" t="n">
        <v>2018</v>
      </c>
      <c r="B2420" t="inlineStr">
        <is>
          <t>Q2</t>
        </is>
      </c>
      <c r="C2420" t="inlineStr">
        <is>
          <t>Europe</t>
        </is>
      </c>
      <c r="D2420" t="inlineStr">
        <is>
          <t>Semi</t>
        </is>
      </c>
      <c r="E2420" t="n">
        <v>2083</v>
      </c>
      <c r="F2420" t="n">
        <v>101329.07</v>
      </c>
      <c r="G2420" t="n">
        <v>15</v>
      </c>
      <c r="H2420" t="inlineStr">
        <is>
          <t>Standard</t>
        </is>
      </c>
      <c r="I2420" t="inlineStr">
        <is>
          <t>AWD</t>
        </is>
      </c>
      <c r="J2420" t="inlineStr">
        <is>
          <t>White</t>
        </is>
      </c>
      <c r="K2420" t="n">
        <v>589</v>
      </c>
      <c r="L2420" t="n">
        <v>79</v>
      </c>
      <c r="M2420" t="n">
        <v>16.39</v>
      </c>
      <c r="N2420" t="n">
        <v>1430.34</v>
      </c>
      <c r="O2420" t="n">
        <v>4.5</v>
      </c>
      <c r="P2420" t="n">
        <v>5</v>
      </c>
      <c r="Q2420" t="n">
        <v>3</v>
      </c>
      <c r="R2420" t="n">
        <v>2023.9</v>
      </c>
      <c r="S2420" t="b">
        <v>0</v>
      </c>
      <c r="T2420" t="n">
        <v>2933933</v>
      </c>
      <c r="U2420" t="n">
        <v>9</v>
      </c>
      <c r="V2420" t="n">
        <v>0.0147</v>
      </c>
      <c r="W2420" t="n">
        <v>0.99</v>
      </c>
      <c r="X2420" t="n">
        <v>84.56999999999999</v>
      </c>
      <c r="Y2420">
        <f>VLOOKUP(D2420,$AB$2:$AC$7,2,FALSE)</f>
        <v/>
      </c>
      <c r="Z2420">
        <f>IF(A2420&lt;Y2420,"Yes","No")</f>
        <v/>
      </c>
    </row>
    <row r="2421">
      <c r="A2421" t="n">
        <v>2017</v>
      </c>
      <c r="B2421" t="inlineStr">
        <is>
          <t>Q3</t>
        </is>
      </c>
      <c r="C2421" t="inlineStr">
        <is>
          <t>Australia</t>
        </is>
      </c>
      <c r="D2421" t="inlineStr">
        <is>
          <t>Model S</t>
        </is>
      </c>
      <c r="E2421" t="n">
        <v>2994</v>
      </c>
      <c r="F2421" t="n">
        <v>48209.86</v>
      </c>
      <c r="G2421" t="n">
        <v>29</v>
      </c>
      <c r="H2421" t="inlineStr">
        <is>
          <t>Standard</t>
        </is>
      </c>
      <c r="I2421" t="inlineStr">
        <is>
          <t>AWD</t>
        </is>
      </c>
      <c r="J2421" t="inlineStr">
        <is>
          <t>Red</t>
        </is>
      </c>
      <c r="K2421" t="n">
        <v>477</v>
      </c>
      <c r="L2421" t="n">
        <v>43</v>
      </c>
      <c r="M2421" t="n">
        <v>13.04</v>
      </c>
      <c r="N2421" t="n">
        <v>3486.63</v>
      </c>
      <c r="O2421" t="n">
        <v>4.7</v>
      </c>
      <c r="P2421" t="n">
        <v>5</v>
      </c>
      <c r="Q2421" t="n">
        <v>0</v>
      </c>
      <c r="R2421" t="n">
        <v>2021.12</v>
      </c>
      <c r="S2421" t="b">
        <v>1</v>
      </c>
      <c r="T2421" t="n">
        <v>3006791</v>
      </c>
      <c r="U2421" t="n">
        <v>7</v>
      </c>
      <c r="V2421" t="n">
        <v>0.0799</v>
      </c>
      <c r="W2421" t="n">
        <v>2.24</v>
      </c>
      <c r="X2421" t="n">
        <v>75</v>
      </c>
      <c r="Y2421">
        <f>VLOOKUP(D2421,$AB$2:$AC$7,2,FALSE)</f>
        <v/>
      </c>
      <c r="Z2421">
        <f>IF(A2421&lt;Y2421,"Yes","No")</f>
        <v/>
      </c>
    </row>
    <row r="2422">
      <c r="A2422" t="n">
        <v>2021</v>
      </c>
      <c r="B2422" t="inlineStr">
        <is>
          <t>Q2</t>
        </is>
      </c>
      <c r="C2422" t="inlineStr">
        <is>
          <t>North America</t>
        </is>
      </c>
      <c r="D2422" t="inlineStr">
        <is>
          <t>Cybertruck</t>
        </is>
      </c>
      <c r="E2422" t="n">
        <v>4331</v>
      </c>
      <c r="F2422" t="n">
        <v>80685.77</v>
      </c>
      <c r="G2422" t="n">
        <v>31</v>
      </c>
      <c r="H2422" t="inlineStr">
        <is>
          <t>Performance</t>
        </is>
      </c>
      <c r="I2422" t="inlineStr">
        <is>
          <t>AWD</t>
        </is>
      </c>
      <c r="J2422" t="inlineStr">
        <is>
          <t>Blue</t>
        </is>
      </c>
      <c r="K2422" t="n">
        <v>656</v>
      </c>
      <c r="L2422" t="n">
        <v>76</v>
      </c>
      <c r="M2422" t="n">
        <v>19.99</v>
      </c>
      <c r="N2422" t="n">
        <v>2758.29</v>
      </c>
      <c r="O2422" t="n">
        <v>4.54</v>
      </c>
      <c r="P2422" t="n">
        <v>4</v>
      </c>
      <c r="Q2422" t="n">
        <v>3</v>
      </c>
      <c r="R2422" t="n">
        <v>2021.4</v>
      </c>
      <c r="S2422" t="b">
        <v>1</v>
      </c>
      <c r="T2422" t="n">
        <v>3000739</v>
      </c>
      <c r="U2422" t="n">
        <v>6</v>
      </c>
      <c r="V2422" t="n">
        <v>0.0302</v>
      </c>
      <c r="W2422" t="n">
        <v>1.11</v>
      </c>
      <c r="X2422" t="n">
        <v>78.73999999999999</v>
      </c>
      <c r="Y2422">
        <f>VLOOKUP(D2422,$AB$2:$AC$7,2,FALSE)</f>
        <v/>
      </c>
      <c r="Z2422">
        <f>IF(A2422&lt;Y2422,"Yes","No")</f>
        <v/>
      </c>
    </row>
    <row r="2423">
      <c r="A2423" t="n">
        <v>2021</v>
      </c>
      <c r="B2423" t="inlineStr">
        <is>
          <t>Q4</t>
        </is>
      </c>
      <c r="C2423" t="inlineStr">
        <is>
          <t>Asia</t>
        </is>
      </c>
      <c r="D2423" t="inlineStr">
        <is>
          <t>Model Y</t>
        </is>
      </c>
      <c r="E2423" t="n">
        <v>75</v>
      </c>
      <c r="F2423" t="n">
        <v>89244.03999999999</v>
      </c>
      <c r="G2423" t="n">
        <v>56</v>
      </c>
      <c r="H2423" t="inlineStr">
        <is>
          <t>Long Range</t>
        </is>
      </c>
      <c r="I2423" t="inlineStr">
        <is>
          <t>RWD</t>
        </is>
      </c>
      <c r="J2423" t="inlineStr">
        <is>
          <t>Blue</t>
        </is>
      </c>
      <c r="K2423" t="n">
        <v>413</v>
      </c>
      <c r="L2423" t="n">
        <v>37</v>
      </c>
      <c r="M2423" t="n">
        <v>21.44</v>
      </c>
      <c r="N2423" t="n">
        <v>150.67</v>
      </c>
      <c r="O2423" t="n">
        <v>3.74</v>
      </c>
      <c r="P2423" t="n">
        <v>6</v>
      </c>
      <c r="Q2423" t="n">
        <v>3</v>
      </c>
      <c r="R2423" t="n">
        <v>2021.5</v>
      </c>
      <c r="S2423" t="b">
        <v>1</v>
      </c>
      <c r="T2423" t="n">
        <v>3644134</v>
      </c>
      <c r="U2423" t="n">
        <v>7</v>
      </c>
      <c r="V2423" t="n">
        <v>0.0847</v>
      </c>
      <c r="W2423" t="n">
        <v>2.45</v>
      </c>
      <c r="X2423" t="n">
        <v>85.75</v>
      </c>
      <c r="Y2423">
        <f>VLOOKUP(D2423,$AB$2:$AC$7,2,FALSE)</f>
        <v/>
      </c>
      <c r="Z2423">
        <f>IF(A2423&lt;Y2423,"Yes","No")</f>
        <v/>
      </c>
    </row>
    <row r="2424">
      <c r="A2424" t="n">
        <v>2021</v>
      </c>
      <c r="B2424" t="inlineStr">
        <is>
          <t>Q3</t>
        </is>
      </c>
      <c r="C2424" t="inlineStr">
        <is>
          <t>North America</t>
        </is>
      </c>
      <c r="D2424" t="inlineStr">
        <is>
          <t>Model Y</t>
        </is>
      </c>
      <c r="E2424" t="n">
        <v>1207</v>
      </c>
      <c r="F2424" t="n">
        <v>88646.92</v>
      </c>
      <c r="G2424" t="n">
        <v>49</v>
      </c>
      <c r="H2424" t="inlineStr">
        <is>
          <t>Performance</t>
        </is>
      </c>
      <c r="I2424" t="inlineStr">
        <is>
          <t>RWD</t>
        </is>
      </c>
      <c r="J2424" t="inlineStr">
        <is>
          <t>Blue</t>
        </is>
      </c>
      <c r="K2424" t="n">
        <v>441</v>
      </c>
      <c r="L2424" t="n">
        <v>47</v>
      </c>
      <c r="M2424" t="n">
        <v>13.13</v>
      </c>
      <c r="N2424" t="n">
        <v>2068.45</v>
      </c>
      <c r="O2424" t="n">
        <v>3.75</v>
      </c>
      <c r="P2424" t="n">
        <v>8</v>
      </c>
      <c r="Q2424" t="n">
        <v>0</v>
      </c>
      <c r="R2424" t="n">
        <v>2020.12</v>
      </c>
      <c r="S2424" t="b">
        <v>1</v>
      </c>
      <c r="T2424" t="n">
        <v>1296862</v>
      </c>
      <c r="U2424" t="n">
        <v>3</v>
      </c>
      <c r="V2424" t="n">
        <v>0.0435</v>
      </c>
      <c r="W2424" t="n">
        <v>2.21</v>
      </c>
      <c r="X2424" t="n">
        <v>72.72</v>
      </c>
      <c r="Y2424">
        <f>VLOOKUP(D2424,$AB$2:$AC$7,2,FALSE)</f>
        <v/>
      </c>
      <c r="Z2424">
        <f>IF(A2424&lt;Y2424,"Yes","No")</f>
        <v/>
      </c>
    </row>
    <row r="2425">
      <c r="A2425" t="n">
        <v>2012</v>
      </c>
      <c r="B2425" t="inlineStr">
        <is>
          <t>Q1</t>
        </is>
      </c>
      <c r="C2425" t="inlineStr">
        <is>
          <t>South America</t>
        </is>
      </c>
      <c r="D2425" t="inlineStr">
        <is>
          <t>Model S</t>
        </is>
      </c>
      <c r="E2425" t="n">
        <v>4234</v>
      </c>
      <c r="F2425" t="n">
        <v>74532.84</v>
      </c>
      <c r="G2425" t="n">
        <v>29</v>
      </c>
      <c r="H2425" t="inlineStr">
        <is>
          <t>Standard</t>
        </is>
      </c>
      <c r="I2425" t="inlineStr">
        <is>
          <t>AWD</t>
        </is>
      </c>
      <c r="J2425" t="inlineStr">
        <is>
          <t>White</t>
        </is>
      </c>
      <c r="K2425" t="n">
        <v>520</v>
      </c>
      <c r="L2425" t="n">
        <v>75</v>
      </c>
      <c r="M2425" t="n">
        <v>20.32</v>
      </c>
      <c r="N2425" t="n">
        <v>8909.23</v>
      </c>
      <c r="O2425" t="n">
        <v>3.74</v>
      </c>
      <c r="P2425" t="n">
        <v>4</v>
      </c>
      <c r="Q2425" t="n">
        <v>3</v>
      </c>
      <c r="R2425" t="n">
        <v>2020.9</v>
      </c>
      <c r="S2425" t="b">
        <v>1</v>
      </c>
      <c r="T2425" t="n">
        <v>1357026</v>
      </c>
      <c r="U2425" t="n">
        <v>4</v>
      </c>
      <c r="V2425" t="n">
        <v>0.0171</v>
      </c>
      <c r="W2425" t="n">
        <v>0.71</v>
      </c>
      <c r="X2425" t="n">
        <v>76.66</v>
      </c>
      <c r="Y2425">
        <f>VLOOKUP(D2425,$AB$2:$AC$7,2,FALSE)</f>
        <v/>
      </c>
      <c r="Z2425">
        <f>IF(A2425&lt;Y2425,"Yes","No")</f>
        <v/>
      </c>
    </row>
    <row r="2426">
      <c r="A2426" t="n">
        <v>2022</v>
      </c>
      <c r="B2426" t="inlineStr">
        <is>
          <t>Q4</t>
        </is>
      </c>
      <c r="C2426" t="inlineStr">
        <is>
          <t>North America</t>
        </is>
      </c>
      <c r="D2426" t="inlineStr">
        <is>
          <t>Model X</t>
        </is>
      </c>
      <c r="E2426" t="n">
        <v>336</v>
      </c>
      <c r="F2426" t="n">
        <v>51218.15</v>
      </c>
      <c r="G2426" t="n">
        <v>19</v>
      </c>
      <c r="H2426" t="inlineStr">
        <is>
          <t>Long Range</t>
        </is>
      </c>
      <c r="I2426" t="inlineStr">
        <is>
          <t>AWD</t>
        </is>
      </c>
      <c r="J2426" t="inlineStr">
        <is>
          <t>Green</t>
        </is>
      </c>
      <c r="K2426" t="n">
        <v>396</v>
      </c>
      <c r="L2426" t="n">
        <v>60</v>
      </c>
      <c r="M2426" t="n">
        <v>15.86</v>
      </c>
      <c r="N2426" t="n">
        <v>228.41</v>
      </c>
      <c r="O2426" t="n">
        <v>4.96</v>
      </c>
      <c r="P2426" t="n">
        <v>6</v>
      </c>
      <c r="Q2426" t="n">
        <v>0</v>
      </c>
      <c r="R2426" t="n">
        <v>2022.7</v>
      </c>
      <c r="S2426" t="b">
        <v>0</v>
      </c>
      <c r="T2426" t="n">
        <v>3155250</v>
      </c>
      <c r="U2426" t="n">
        <v>6</v>
      </c>
      <c r="V2426" t="n">
        <v>0.0395</v>
      </c>
      <c r="W2426" t="n">
        <v>2.11</v>
      </c>
      <c r="X2426" t="n">
        <v>65.5</v>
      </c>
      <c r="Y2426">
        <f>VLOOKUP(D2426,$AB$2:$AC$7,2,FALSE)</f>
        <v/>
      </c>
      <c r="Z2426">
        <f>IF(A2426&lt;Y2426,"Yes","No")</f>
        <v/>
      </c>
    </row>
    <row r="2427">
      <c r="A2427" t="n">
        <v>2015</v>
      </c>
      <c r="B2427" t="inlineStr">
        <is>
          <t>Q2</t>
        </is>
      </c>
      <c r="C2427" t="inlineStr">
        <is>
          <t>Asia</t>
        </is>
      </c>
      <c r="D2427" t="inlineStr">
        <is>
          <t>Model X</t>
        </is>
      </c>
      <c r="E2427" t="n">
        <v>4858</v>
      </c>
      <c r="F2427" t="n">
        <v>41374.51</v>
      </c>
      <c r="G2427" t="n">
        <v>50</v>
      </c>
      <c r="H2427" t="inlineStr">
        <is>
          <t>Long Range</t>
        </is>
      </c>
      <c r="I2427" t="inlineStr">
        <is>
          <t>AWD</t>
        </is>
      </c>
      <c r="J2427" t="inlineStr">
        <is>
          <t>White</t>
        </is>
      </c>
      <c r="K2427" t="n">
        <v>685</v>
      </c>
      <c r="L2427" t="n">
        <v>56</v>
      </c>
      <c r="M2427" t="n">
        <v>17.87</v>
      </c>
      <c r="N2427" t="n">
        <v>2657.39</v>
      </c>
      <c r="O2427" t="n">
        <v>3.79</v>
      </c>
      <c r="P2427" t="n">
        <v>5</v>
      </c>
      <c r="Q2427" t="n">
        <v>1</v>
      </c>
      <c r="R2427" t="n">
        <v>2024.7</v>
      </c>
      <c r="S2427" t="b">
        <v>0</v>
      </c>
      <c r="T2427" t="n">
        <v>4369562</v>
      </c>
      <c r="U2427" t="n">
        <v>8</v>
      </c>
      <c r="V2427" t="n">
        <v>0.0399</v>
      </c>
      <c r="W2427" t="n">
        <v>0.61</v>
      </c>
      <c r="X2427" t="n">
        <v>88.12</v>
      </c>
      <c r="Y2427">
        <f>VLOOKUP(D2427,$AB$2:$AC$7,2,FALSE)</f>
        <v/>
      </c>
      <c r="Z2427">
        <f>IF(A2427&lt;Y2427,"Yes","No")</f>
        <v/>
      </c>
    </row>
    <row r="2428">
      <c r="A2428" t="n">
        <v>2016</v>
      </c>
      <c r="B2428" t="inlineStr">
        <is>
          <t>Q2</t>
        </is>
      </c>
      <c r="C2428" t="inlineStr">
        <is>
          <t>Asia</t>
        </is>
      </c>
      <c r="D2428" t="inlineStr">
        <is>
          <t>Model 3</t>
        </is>
      </c>
      <c r="E2428" t="n">
        <v>2647</v>
      </c>
      <c r="F2428" t="n">
        <v>107012.69</v>
      </c>
      <c r="G2428" t="n">
        <v>0</v>
      </c>
      <c r="H2428" t="inlineStr">
        <is>
          <t>Standard</t>
        </is>
      </c>
      <c r="I2428" t="inlineStr">
        <is>
          <t>AWD</t>
        </is>
      </c>
      <c r="J2428" t="inlineStr">
        <is>
          <t>Blue</t>
        </is>
      </c>
      <c r="K2428" t="n">
        <v>537</v>
      </c>
      <c r="L2428" t="n">
        <v>44</v>
      </c>
      <c r="M2428" t="n">
        <v>17.77</v>
      </c>
      <c r="N2428" t="n">
        <v>3764.2</v>
      </c>
      <c r="O2428" t="n">
        <v>4.71</v>
      </c>
      <c r="P2428" t="n">
        <v>8</v>
      </c>
      <c r="Q2428" t="n">
        <v>3</v>
      </c>
      <c r="R2428" t="n">
        <v>2023.8</v>
      </c>
      <c r="S2428" t="b">
        <v>1</v>
      </c>
      <c r="T2428" t="n">
        <v>1844532</v>
      </c>
      <c r="U2428" t="n">
        <v>6</v>
      </c>
      <c r="V2428" t="n">
        <v>0.0158</v>
      </c>
      <c r="W2428" t="n">
        <v>2.09</v>
      </c>
      <c r="X2428" t="n">
        <v>64.48999999999999</v>
      </c>
      <c r="Y2428">
        <f>VLOOKUP(D2428,$AB$2:$AC$7,2,FALSE)</f>
        <v/>
      </c>
      <c r="Z2428">
        <f>IF(A2428&lt;Y2428,"Yes","No")</f>
        <v/>
      </c>
    </row>
    <row r="2429">
      <c r="A2429" t="n">
        <v>2016</v>
      </c>
      <c r="B2429" t="inlineStr">
        <is>
          <t>Q4</t>
        </is>
      </c>
      <c r="C2429" t="inlineStr">
        <is>
          <t>Asia</t>
        </is>
      </c>
      <c r="D2429" t="inlineStr">
        <is>
          <t>Cybertruck</t>
        </is>
      </c>
      <c r="E2429" t="n">
        <v>581</v>
      </c>
      <c r="F2429" t="n">
        <v>93231.53999999999</v>
      </c>
      <c r="G2429" t="n">
        <v>20</v>
      </c>
      <c r="H2429" t="inlineStr">
        <is>
          <t>Standard</t>
        </is>
      </c>
      <c r="I2429" t="inlineStr">
        <is>
          <t>RWD</t>
        </is>
      </c>
      <c r="J2429" t="inlineStr">
        <is>
          <t>Red</t>
        </is>
      </c>
      <c r="K2429" t="n">
        <v>642</v>
      </c>
      <c r="L2429" t="n">
        <v>31</v>
      </c>
      <c r="M2429" t="n">
        <v>21.02</v>
      </c>
      <c r="N2429" t="n">
        <v>518.64</v>
      </c>
      <c r="O2429" t="n">
        <v>4.03</v>
      </c>
      <c r="P2429" t="n">
        <v>4</v>
      </c>
      <c r="Q2429" t="n">
        <v>2</v>
      </c>
      <c r="R2429" t="n">
        <v>2020.7</v>
      </c>
      <c r="S2429" t="b">
        <v>1</v>
      </c>
      <c r="T2429" t="n">
        <v>1386950</v>
      </c>
      <c r="U2429" t="n">
        <v>11</v>
      </c>
      <c r="V2429" t="n">
        <v>0.074</v>
      </c>
      <c r="W2429" t="n">
        <v>1.77</v>
      </c>
      <c r="X2429" t="n">
        <v>72.12</v>
      </c>
      <c r="Y2429">
        <f>VLOOKUP(D2429,$AB$2:$AC$7,2,FALSE)</f>
        <v/>
      </c>
      <c r="Z2429">
        <f>IF(A2429&lt;Y2429,"Yes","No")</f>
        <v/>
      </c>
    </row>
    <row r="2430">
      <c r="A2430" t="n">
        <v>2013</v>
      </c>
      <c r="B2430" t="inlineStr">
        <is>
          <t>Q2</t>
        </is>
      </c>
      <c r="C2430" t="inlineStr">
        <is>
          <t>Europe</t>
        </is>
      </c>
      <c r="D2430" t="inlineStr">
        <is>
          <t>Model Y</t>
        </is>
      </c>
      <c r="E2430" t="n">
        <v>752</v>
      </c>
      <c r="F2430" t="n">
        <v>39179.06</v>
      </c>
      <c r="G2430" t="n">
        <v>19</v>
      </c>
      <c r="H2430" t="inlineStr">
        <is>
          <t>Performance</t>
        </is>
      </c>
      <c r="I2430" t="inlineStr">
        <is>
          <t>AWD</t>
        </is>
      </c>
      <c r="J2430" t="inlineStr">
        <is>
          <t>Black</t>
        </is>
      </c>
      <c r="K2430" t="n">
        <v>569</v>
      </c>
      <c r="L2430" t="n">
        <v>79</v>
      </c>
      <c r="M2430" t="n">
        <v>24.44</v>
      </c>
      <c r="N2430" t="n">
        <v>1735.88</v>
      </c>
      <c r="O2430" t="n">
        <v>3.92</v>
      </c>
      <c r="P2430" t="n">
        <v>5</v>
      </c>
      <c r="Q2430" t="n">
        <v>2</v>
      </c>
      <c r="R2430" t="n">
        <v>2023.12</v>
      </c>
      <c r="S2430" t="b">
        <v>1</v>
      </c>
      <c r="T2430" t="n">
        <v>4805298</v>
      </c>
      <c r="U2430" t="n">
        <v>3</v>
      </c>
      <c r="V2430" t="n">
        <v>0.0618</v>
      </c>
      <c r="W2430" t="n">
        <v>0.82</v>
      </c>
      <c r="X2430" t="n">
        <v>60.52</v>
      </c>
      <c r="Y2430">
        <f>VLOOKUP(D2430,$AB$2:$AC$7,2,FALSE)</f>
        <v/>
      </c>
      <c r="Z2430">
        <f>IF(A2430&lt;Y2430,"Yes","No")</f>
        <v/>
      </c>
    </row>
    <row r="2431">
      <c r="A2431" t="n">
        <v>2012</v>
      </c>
      <c r="B2431" t="inlineStr">
        <is>
          <t>Q1</t>
        </is>
      </c>
      <c r="C2431" t="inlineStr">
        <is>
          <t>Australia</t>
        </is>
      </c>
      <c r="D2431" t="inlineStr">
        <is>
          <t>Model 3</t>
        </is>
      </c>
      <c r="E2431" t="n">
        <v>2008</v>
      </c>
      <c r="F2431" t="n">
        <v>83156.67999999999</v>
      </c>
      <c r="G2431" t="n">
        <v>47</v>
      </c>
      <c r="H2431" t="inlineStr">
        <is>
          <t>Standard</t>
        </is>
      </c>
      <c r="I2431" t="inlineStr">
        <is>
          <t>AWD</t>
        </is>
      </c>
      <c r="J2431" t="inlineStr">
        <is>
          <t>Blue</t>
        </is>
      </c>
      <c r="K2431" t="n">
        <v>415</v>
      </c>
      <c r="L2431" t="n">
        <v>50</v>
      </c>
      <c r="M2431" t="n">
        <v>19.99</v>
      </c>
      <c r="N2431" t="n">
        <v>1887.64</v>
      </c>
      <c r="O2431" t="n">
        <v>4.81</v>
      </c>
      <c r="P2431" t="n">
        <v>8</v>
      </c>
      <c r="Q2431" t="n">
        <v>2</v>
      </c>
      <c r="R2431" t="n">
        <v>2023.12</v>
      </c>
      <c r="S2431" t="b">
        <v>1</v>
      </c>
      <c r="T2431" t="n">
        <v>1032166</v>
      </c>
      <c r="U2431" t="n">
        <v>11</v>
      </c>
      <c r="V2431" t="n">
        <v>0.0252</v>
      </c>
      <c r="W2431" t="n">
        <v>1.09</v>
      </c>
      <c r="X2431" t="n">
        <v>77.22</v>
      </c>
      <c r="Y2431">
        <f>VLOOKUP(D2431,$AB$2:$AC$7,2,FALSE)</f>
        <v/>
      </c>
      <c r="Z2431">
        <f>IF(A2431&lt;Y2431,"Yes","No")</f>
        <v/>
      </c>
    </row>
    <row r="2432">
      <c r="A2432" t="n">
        <v>2013</v>
      </c>
      <c r="B2432" t="inlineStr">
        <is>
          <t>Q2</t>
        </is>
      </c>
      <c r="C2432" t="inlineStr">
        <is>
          <t>South America</t>
        </is>
      </c>
      <c r="D2432" t="inlineStr">
        <is>
          <t>Semi</t>
        </is>
      </c>
      <c r="E2432" t="n">
        <v>1785</v>
      </c>
      <c r="F2432" t="n">
        <v>35220.98</v>
      </c>
      <c r="G2432" t="n">
        <v>1</v>
      </c>
      <c r="H2432" t="inlineStr">
        <is>
          <t>Long Range</t>
        </is>
      </c>
      <c r="I2432" t="inlineStr">
        <is>
          <t>AWD</t>
        </is>
      </c>
      <c r="J2432" t="inlineStr">
        <is>
          <t>Black</t>
        </is>
      </c>
      <c r="K2432" t="n">
        <v>622</v>
      </c>
      <c r="L2432" t="n">
        <v>37</v>
      </c>
      <c r="M2432" t="n">
        <v>19.15</v>
      </c>
      <c r="N2432" t="n">
        <v>4146.28</v>
      </c>
      <c r="O2432" t="n">
        <v>4.99</v>
      </c>
      <c r="P2432" t="n">
        <v>5</v>
      </c>
      <c r="Q2432" t="n">
        <v>2</v>
      </c>
      <c r="R2432" t="n">
        <v>2022.2</v>
      </c>
      <c r="S2432" t="b">
        <v>0</v>
      </c>
      <c r="T2432" t="n">
        <v>4242892</v>
      </c>
      <c r="U2432" t="n">
        <v>11</v>
      </c>
      <c r="V2432" t="n">
        <v>0.018</v>
      </c>
      <c r="W2432" t="n">
        <v>1.4</v>
      </c>
      <c r="X2432" t="n">
        <v>63.67</v>
      </c>
      <c r="Y2432">
        <f>VLOOKUP(D2432,$AB$2:$AC$7,2,FALSE)</f>
        <v/>
      </c>
      <c r="Z2432">
        <f>IF(A2432&lt;Y2432,"Yes","No")</f>
        <v/>
      </c>
    </row>
    <row r="2433">
      <c r="A2433" t="n">
        <v>2023</v>
      </c>
      <c r="B2433" t="inlineStr">
        <is>
          <t>Q4</t>
        </is>
      </c>
      <c r="C2433" t="inlineStr">
        <is>
          <t>North America</t>
        </is>
      </c>
      <c r="D2433" t="inlineStr">
        <is>
          <t>Model Y</t>
        </is>
      </c>
      <c r="E2433" t="n">
        <v>749</v>
      </c>
      <c r="F2433" t="n">
        <v>43065.38</v>
      </c>
      <c r="G2433" t="n">
        <v>9</v>
      </c>
      <c r="H2433" t="inlineStr">
        <is>
          <t>Performance</t>
        </is>
      </c>
      <c r="I2433" t="inlineStr">
        <is>
          <t>AWD</t>
        </is>
      </c>
      <c r="J2433" t="inlineStr">
        <is>
          <t>Black</t>
        </is>
      </c>
      <c r="K2433" t="n">
        <v>466</v>
      </c>
      <c r="L2433" t="n">
        <v>90</v>
      </c>
      <c r="M2433" t="n">
        <v>24.8</v>
      </c>
      <c r="N2433" t="n">
        <v>863.25</v>
      </c>
      <c r="O2433" t="n">
        <v>3.68</v>
      </c>
      <c r="P2433" t="n">
        <v>5</v>
      </c>
      <c r="Q2433" t="n">
        <v>2</v>
      </c>
      <c r="R2433" t="n">
        <v>2021.2</v>
      </c>
      <c r="S2433" t="b">
        <v>0</v>
      </c>
      <c r="T2433" t="n">
        <v>2173974</v>
      </c>
      <c r="U2433" t="n">
        <v>7</v>
      </c>
      <c r="V2433" t="n">
        <v>0.0489</v>
      </c>
      <c r="W2433" t="n">
        <v>1.92</v>
      </c>
      <c r="X2433" t="n">
        <v>76.3</v>
      </c>
      <c r="Y2433">
        <f>VLOOKUP(D2433,$AB$2:$AC$7,2,FALSE)</f>
        <v/>
      </c>
      <c r="Z2433">
        <f>IF(A2433&lt;Y2433,"Yes","No")</f>
        <v/>
      </c>
    </row>
    <row r="2434">
      <c r="A2434" t="n">
        <v>2019</v>
      </c>
      <c r="B2434" t="inlineStr">
        <is>
          <t>Q2</t>
        </is>
      </c>
      <c r="C2434" t="inlineStr">
        <is>
          <t>Asia</t>
        </is>
      </c>
      <c r="D2434" t="inlineStr">
        <is>
          <t>Model X</t>
        </is>
      </c>
      <c r="E2434" t="n">
        <v>230</v>
      </c>
      <c r="F2434" t="n">
        <v>100570.94</v>
      </c>
      <c r="G2434" t="n">
        <v>45</v>
      </c>
      <c r="H2434" t="inlineStr">
        <is>
          <t>Performance</t>
        </is>
      </c>
      <c r="I2434" t="inlineStr">
        <is>
          <t>AWD</t>
        </is>
      </c>
      <c r="J2434" t="inlineStr">
        <is>
          <t>Silver</t>
        </is>
      </c>
      <c r="K2434" t="n">
        <v>479</v>
      </c>
      <c r="L2434" t="n">
        <v>36</v>
      </c>
      <c r="M2434" t="n">
        <v>16.2</v>
      </c>
      <c r="N2434" t="n">
        <v>320.3</v>
      </c>
      <c r="O2434" t="n">
        <v>4.24</v>
      </c>
      <c r="P2434" t="n">
        <v>8</v>
      </c>
      <c r="Q2434" t="n">
        <v>1</v>
      </c>
      <c r="R2434" t="n">
        <v>2024.11</v>
      </c>
      <c r="S2434" t="b">
        <v>1</v>
      </c>
      <c r="T2434" t="n">
        <v>750285</v>
      </c>
      <c r="U2434" t="n">
        <v>10</v>
      </c>
      <c r="V2434" t="n">
        <v>0.06850000000000001</v>
      </c>
      <c r="W2434" t="n">
        <v>1.08</v>
      </c>
      <c r="X2434" t="n">
        <v>71.58</v>
      </c>
      <c r="Y2434">
        <f>VLOOKUP(D2434,$AB$2:$AC$7,2,FALSE)</f>
        <v/>
      </c>
      <c r="Z2434">
        <f>IF(A2434&lt;Y2434,"Yes","No")</f>
        <v/>
      </c>
    </row>
    <row r="2435">
      <c r="A2435" t="n">
        <v>2014</v>
      </c>
      <c r="B2435" t="inlineStr">
        <is>
          <t>Q1</t>
        </is>
      </c>
      <c r="C2435" t="inlineStr">
        <is>
          <t>Australia</t>
        </is>
      </c>
      <c r="D2435" t="inlineStr">
        <is>
          <t>Model 3</t>
        </is>
      </c>
      <c r="E2435" t="n">
        <v>3125</v>
      </c>
      <c r="F2435" t="n">
        <v>46064.61</v>
      </c>
      <c r="G2435" t="n">
        <v>31</v>
      </c>
      <c r="H2435" t="inlineStr">
        <is>
          <t>Standard</t>
        </is>
      </c>
      <c r="I2435" t="inlineStr">
        <is>
          <t>AWD</t>
        </is>
      </c>
      <c r="J2435" t="inlineStr">
        <is>
          <t>Silver</t>
        </is>
      </c>
      <c r="K2435" t="n">
        <v>570</v>
      </c>
      <c r="L2435" t="n">
        <v>84</v>
      </c>
      <c r="M2435" t="n">
        <v>20.71</v>
      </c>
      <c r="N2435" t="n">
        <v>5586.61</v>
      </c>
      <c r="O2435" t="n">
        <v>4.54</v>
      </c>
      <c r="P2435" t="n">
        <v>8</v>
      </c>
      <c r="Q2435" t="n">
        <v>1</v>
      </c>
      <c r="R2435" t="n">
        <v>2021.12</v>
      </c>
      <c r="S2435" t="b">
        <v>1</v>
      </c>
      <c r="T2435" t="n">
        <v>1926223</v>
      </c>
      <c r="U2435" t="n">
        <v>4</v>
      </c>
      <c r="V2435" t="n">
        <v>0.09619999999999999</v>
      </c>
      <c r="W2435" t="n">
        <v>1</v>
      </c>
      <c r="X2435" t="n">
        <v>85.68000000000001</v>
      </c>
      <c r="Y2435">
        <f>VLOOKUP(D2435,$AB$2:$AC$7,2,FALSE)</f>
        <v/>
      </c>
      <c r="Z2435">
        <f>IF(A2435&lt;Y2435,"Yes","No")</f>
        <v/>
      </c>
    </row>
    <row r="2436">
      <c r="A2436" t="n">
        <v>2015</v>
      </c>
      <c r="B2436" t="inlineStr">
        <is>
          <t>Q4</t>
        </is>
      </c>
      <c r="C2436" t="inlineStr">
        <is>
          <t>South America</t>
        </is>
      </c>
      <c r="D2436" t="inlineStr">
        <is>
          <t>Semi</t>
        </is>
      </c>
      <c r="E2436" t="n">
        <v>1809</v>
      </c>
      <c r="F2436" t="n">
        <v>68383.16</v>
      </c>
      <c r="G2436" t="n">
        <v>47</v>
      </c>
      <c r="H2436" t="inlineStr">
        <is>
          <t>Standard</t>
        </is>
      </c>
      <c r="I2436" t="inlineStr">
        <is>
          <t>AWD</t>
        </is>
      </c>
      <c r="J2436" t="inlineStr">
        <is>
          <t>White</t>
        </is>
      </c>
      <c r="K2436" t="n">
        <v>478</v>
      </c>
      <c r="L2436" t="n">
        <v>36</v>
      </c>
      <c r="M2436" t="n">
        <v>16.52</v>
      </c>
      <c r="N2436" t="n">
        <v>4519.64</v>
      </c>
      <c r="O2436" t="n">
        <v>4.9</v>
      </c>
      <c r="P2436" t="n">
        <v>8</v>
      </c>
      <c r="Q2436" t="n">
        <v>2</v>
      </c>
      <c r="R2436" t="n">
        <v>2023.6</v>
      </c>
      <c r="S2436" t="b">
        <v>1</v>
      </c>
      <c r="T2436" t="n">
        <v>2428053</v>
      </c>
      <c r="U2436" t="n">
        <v>6</v>
      </c>
      <c r="V2436" t="n">
        <v>0.0519</v>
      </c>
      <c r="W2436" t="n">
        <v>1.89</v>
      </c>
      <c r="X2436" t="n">
        <v>73.28</v>
      </c>
      <c r="Y2436">
        <f>VLOOKUP(D2436,$AB$2:$AC$7,2,FALSE)</f>
        <v/>
      </c>
      <c r="Z2436">
        <f>IF(A2436&lt;Y2436,"Yes","No")</f>
        <v/>
      </c>
    </row>
    <row r="2437">
      <c r="A2437" t="n">
        <v>2016</v>
      </c>
      <c r="B2437" t="inlineStr">
        <is>
          <t>Q2</t>
        </is>
      </c>
      <c r="C2437" t="inlineStr">
        <is>
          <t>Asia</t>
        </is>
      </c>
      <c r="D2437" t="inlineStr">
        <is>
          <t>Model X</t>
        </is>
      </c>
      <c r="E2437" t="n">
        <v>688</v>
      </c>
      <c r="F2437" t="n">
        <v>35297.21</v>
      </c>
      <c r="G2437" t="n">
        <v>29</v>
      </c>
      <c r="H2437" t="inlineStr">
        <is>
          <t>Performance</t>
        </is>
      </c>
      <c r="I2437" t="inlineStr">
        <is>
          <t>RWD</t>
        </is>
      </c>
      <c r="J2437" t="inlineStr">
        <is>
          <t>Green</t>
        </is>
      </c>
      <c r="K2437" t="n">
        <v>367</v>
      </c>
      <c r="L2437" t="n">
        <v>54</v>
      </c>
      <c r="M2437" t="n">
        <v>21.3</v>
      </c>
      <c r="N2437" t="n">
        <v>595.13</v>
      </c>
      <c r="O2437" t="n">
        <v>4.02</v>
      </c>
      <c r="P2437" t="n">
        <v>5</v>
      </c>
      <c r="Q2437" t="n">
        <v>1</v>
      </c>
      <c r="R2437" t="n">
        <v>2021.5</v>
      </c>
      <c r="S2437" t="b">
        <v>0</v>
      </c>
      <c r="T2437" t="n">
        <v>2353347</v>
      </c>
      <c r="U2437" t="n">
        <v>12</v>
      </c>
      <c r="V2437" t="n">
        <v>0.0584</v>
      </c>
      <c r="W2437" t="n">
        <v>0.96</v>
      </c>
      <c r="X2437" t="n">
        <v>81.81</v>
      </c>
      <c r="Y2437">
        <f>VLOOKUP(D2437,$AB$2:$AC$7,2,FALSE)</f>
        <v/>
      </c>
      <c r="Z2437">
        <f>IF(A2437&lt;Y2437,"Yes","No")</f>
        <v/>
      </c>
    </row>
    <row r="2438">
      <c r="A2438" t="n">
        <v>2013</v>
      </c>
      <c r="B2438" t="inlineStr">
        <is>
          <t>Q3</t>
        </is>
      </c>
      <c r="C2438" t="inlineStr">
        <is>
          <t>Asia</t>
        </is>
      </c>
      <c r="D2438" t="inlineStr">
        <is>
          <t>Model S</t>
        </is>
      </c>
      <c r="E2438" t="n">
        <v>4556</v>
      </c>
      <c r="F2438" t="n">
        <v>90427.82000000001</v>
      </c>
      <c r="G2438" t="n">
        <v>38</v>
      </c>
      <c r="H2438" t="inlineStr">
        <is>
          <t>Long Range</t>
        </is>
      </c>
      <c r="I2438" t="inlineStr">
        <is>
          <t>RWD</t>
        </is>
      </c>
      <c r="J2438" t="inlineStr">
        <is>
          <t>White</t>
        </is>
      </c>
      <c r="K2438" t="n">
        <v>485</v>
      </c>
      <c r="L2438" t="n">
        <v>61</v>
      </c>
      <c r="M2438" t="n">
        <v>14.64</v>
      </c>
      <c r="N2438" t="n">
        <v>7232.59</v>
      </c>
      <c r="O2438" t="n">
        <v>3.68</v>
      </c>
      <c r="P2438" t="n">
        <v>6</v>
      </c>
      <c r="Q2438" t="n">
        <v>3</v>
      </c>
      <c r="R2438" t="n">
        <v>2020.7</v>
      </c>
      <c r="S2438" t="b">
        <v>0</v>
      </c>
      <c r="T2438" t="n">
        <v>1592564</v>
      </c>
      <c r="U2438" t="n">
        <v>7</v>
      </c>
      <c r="V2438" t="n">
        <v>0.0813</v>
      </c>
      <c r="W2438" t="n">
        <v>0.5</v>
      </c>
      <c r="X2438" t="n">
        <v>81.18000000000001</v>
      </c>
      <c r="Y2438">
        <f>VLOOKUP(D2438,$AB$2:$AC$7,2,FALSE)</f>
        <v/>
      </c>
      <c r="Z2438">
        <f>IF(A2438&lt;Y2438,"Yes","No")</f>
        <v/>
      </c>
    </row>
    <row r="2439">
      <c r="A2439" t="n">
        <v>2014</v>
      </c>
      <c r="B2439" t="inlineStr">
        <is>
          <t>Q2</t>
        </is>
      </c>
      <c r="C2439" t="inlineStr">
        <is>
          <t>North America</t>
        </is>
      </c>
      <c r="D2439" t="inlineStr">
        <is>
          <t>Model X</t>
        </is>
      </c>
      <c r="E2439" t="n">
        <v>1648</v>
      </c>
      <c r="F2439" t="n">
        <v>91047.14999999999</v>
      </c>
      <c r="G2439" t="n">
        <v>28</v>
      </c>
      <c r="H2439" t="inlineStr">
        <is>
          <t>Long Range</t>
        </is>
      </c>
      <c r="I2439" t="inlineStr">
        <is>
          <t>AWD</t>
        </is>
      </c>
      <c r="J2439" t="inlineStr">
        <is>
          <t>White</t>
        </is>
      </c>
      <c r="K2439" t="n">
        <v>663</v>
      </c>
      <c r="L2439" t="n">
        <v>85</v>
      </c>
      <c r="M2439" t="n">
        <v>16.42</v>
      </c>
      <c r="N2439" t="n">
        <v>3876.18</v>
      </c>
      <c r="O2439" t="n">
        <v>3.75</v>
      </c>
      <c r="P2439" t="n">
        <v>6</v>
      </c>
      <c r="Q2439" t="n">
        <v>1</v>
      </c>
      <c r="R2439" t="n">
        <v>2023.2</v>
      </c>
      <c r="S2439" t="b">
        <v>0</v>
      </c>
      <c r="T2439" t="n">
        <v>1541979</v>
      </c>
      <c r="U2439" t="n">
        <v>10</v>
      </c>
      <c r="V2439" t="n">
        <v>0.08840000000000001</v>
      </c>
      <c r="W2439" t="n">
        <v>1.87</v>
      </c>
      <c r="X2439" t="n">
        <v>80.34999999999999</v>
      </c>
      <c r="Y2439">
        <f>VLOOKUP(D2439,$AB$2:$AC$7,2,FALSE)</f>
        <v/>
      </c>
      <c r="Z2439">
        <f>IF(A2439&lt;Y2439,"Yes","No")</f>
        <v/>
      </c>
    </row>
    <row r="2440">
      <c r="A2440" t="n">
        <v>2012</v>
      </c>
      <c r="B2440" t="inlineStr">
        <is>
          <t>Q3</t>
        </is>
      </c>
      <c r="C2440" t="inlineStr">
        <is>
          <t>Australia</t>
        </is>
      </c>
      <c r="D2440" t="inlineStr">
        <is>
          <t>Cybertruck</t>
        </is>
      </c>
      <c r="E2440" t="n">
        <v>1143</v>
      </c>
      <c r="F2440" t="n">
        <v>96891.94</v>
      </c>
      <c r="G2440" t="n">
        <v>55</v>
      </c>
      <c r="H2440" t="inlineStr">
        <is>
          <t>Performance</t>
        </is>
      </c>
      <c r="I2440" t="inlineStr">
        <is>
          <t>AWD</t>
        </is>
      </c>
      <c r="J2440" t="inlineStr">
        <is>
          <t>Silver</t>
        </is>
      </c>
      <c r="K2440" t="n">
        <v>439</v>
      </c>
      <c r="L2440" t="n">
        <v>31</v>
      </c>
      <c r="M2440" t="n">
        <v>21.69</v>
      </c>
      <c r="N2440" t="n">
        <v>2037.67</v>
      </c>
      <c r="O2440" t="n">
        <v>4.78</v>
      </c>
      <c r="P2440" t="n">
        <v>5</v>
      </c>
      <c r="Q2440" t="n">
        <v>1</v>
      </c>
      <c r="R2440" t="n">
        <v>2020.1</v>
      </c>
      <c r="S2440" t="b">
        <v>1</v>
      </c>
      <c r="T2440" t="n">
        <v>3089847</v>
      </c>
      <c r="U2440" t="n">
        <v>4</v>
      </c>
      <c r="V2440" t="n">
        <v>0.0664</v>
      </c>
      <c r="W2440" t="n">
        <v>0.51</v>
      </c>
      <c r="X2440" t="n">
        <v>81.09999999999999</v>
      </c>
      <c r="Y2440">
        <f>VLOOKUP(D2440,$AB$2:$AC$7,2,FALSE)</f>
        <v/>
      </c>
      <c r="Z2440">
        <f>IF(A2440&lt;Y2440,"Yes","No")</f>
        <v/>
      </c>
    </row>
    <row r="2441">
      <c r="A2441" t="n">
        <v>2021</v>
      </c>
      <c r="B2441" t="inlineStr">
        <is>
          <t>Q3</t>
        </is>
      </c>
      <c r="C2441" t="inlineStr">
        <is>
          <t>Europe</t>
        </is>
      </c>
      <c r="D2441" t="inlineStr">
        <is>
          <t>Model 3</t>
        </is>
      </c>
      <c r="E2441" t="n">
        <v>2880</v>
      </c>
      <c r="F2441" t="n">
        <v>92692.57000000001</v>
      </c>
      <c r="G2441" t="n">
        <v>31</v>
      </c>
      <c r="H2441" t="inlineStr">
        <is>
          <t>Performance</t>
        </is>
      </c>
      <c r="I2441" t="inlineStr">
        <is>
          <t>AWD</t>
        </is>
      </c>
      <c r="J2441" t="inlineStr">
        <is>
          <t>Black</t>
        </is>
      </c>
      <c r="K2441" t="n">
        <v>375</v>
      </c>
      <c r="L2441" t="n">
        <v>76</v>
      </c>
      <c r="M2441" t="n">
        <v>14.88</v>
      </c>
      <c r="N2441" t="n">
        <v>6424.24</v>
      </c>
      <c r="O2441" t="n">
        <v>4.37</v>
      </c>
      <c r="P2441" t="n">
        <v>4</v>
      </c>
      <c r="Q2441" t="n">
        <v>1</v>
      </c>
      <c r="R2441" t="n">
        <v>2022.2</v>
      </c>
      <c r="S2441" t="b">
        <v>1</v>
      </c>
      <c r="T2441" t="n">
        <v>229679</v>
      </c>
      <c r="U2441" t="n">
        <v>12</v>
      </c>
      <c r="V2441" t="n">
        <v>0.0922</v>
      </c>
      <c r="W2441" t="n">
        <v>0.84</v>
      </c>
      <c r="X2441" t="n">
        <v>77.93000000000001</v>
      </c>
      <c r="Y2441">
        <f>VLOOKUP(D2441,$AB$2:$AC$7,2,FALSE)</f>
        <v/>
      </c>
      <c r="Z2441">
        <f>IF(A2441&lt;Y2441,"Yes","No")</f>
        <v/>
      </c>
    </row>
    <row r="2442">
      <c r="A2442" t="n">
        <v>2024</v>
      </c>
      <c r="B2442" t="inlineStr">
        <is>
          <t>Q2</t>
        </is>
      </c>
      <c r="C2442" t="inlineStr">
        <is>
          <t>Asia</t>
        </is>
      </c>
      <c r="D2442" t="inlineStr">
        <is>
          <t>Model Y</t>
        </is>
      </c>
      <c r="E2442" t="n">
        <v>4737</v>
      </c>
      <c r="F2442" t="n">
        <v>117942.44</v>
      </c>
      <c r="G2442" t="n">
        <v>36</v>
      </c>
      <c r="H2442" t="inlineStr">
        <is>
          <t>Performance</t>
        </is>
      </c>
      <c r="I2442" t="inlineStr">
        <is>
          <t>AWD</t>
        </is>
      </c>
      <c r="J2442" t="inlineStr">
        <is>
          <t>White</t>
        </is>
      </c>
      <c r="K2442" t="n">
        <v>663</v>
      </c>
      <c r="L2442" t="n">
        <v>74</v>
      </c>
      <c r="M2442" t="n">
        <v>22.71</v>
      </c>
      <c r="N2442" t="n">
        <v>8692.01</v>
      </c>
      <c r="O2442" t="n">
        <v>4.89</v>
      </c>
      <c r="P2442" t="n">
        <v>5</v>
      </c>
      <c r="Q2442" t="n">
        <v>3</v>
      </c>
      <c r="R2442" t="n">
        <v>2020.4</v>
      </c>
      <c r="S2442" t="b">
        <v>1</v>
      </c>
      <c r="T2442" t="n">
        <v>1532243</v>
      </c>
      <c r="U2442" t="n">
        <v>6</v>
      </c>
      <c r="V2442" t="n">
        <v>0.0144</v>
      </c>
      <c r="W2442" t="n">
        <v>0.51</v>
      </c>
      <c r="X2442" t="n">
        <v>79.45999999999999</v>
      </c>
      <c r="Y2442">
        <f>VLOOKUP(D2442,$AB$2:$AC$7,2,FALSE)</f>
        <v/>
      </c>
      <c r="Z2442">
        <f>IF(A2442&lt;Y2442,"Yes","No")</f>
        <v/>
      </c>
    </row>
    <row r="2443">
      <c r="A2443" t="n">
        <v>2019</v>
      </c>
      <c r="B2443" t="inlineStr">
        <is>
          <t>Q1</t>
        </is>
      </c>
      <c r="C2443" t="inlineStr">
        <is>
          <t>North America</t>
        </is>
      </c>
      <c r="D2443" t="inlineStr">
        <is>
          <t>Model 3</t>
        </is>
      </c>
      <c r="E2443" t="n">
        <v>3991</v>
      </c>
      <c r="F2443" t="n">
        <v>100636.63</v>
      </c>
      <c r="G2443" t="n">
        <v>6</v>
      </c>
      <c r="H2443" t="inlineStr">
        <is>
          <t>Long Range</t>
        </is>
      </c>
      <c r="I2443" t="inlineStr">
        <is>
          <t>AWD</t>
        </is>
      </c>
      <c r="J2443" t="inlineStr">
        <is>
          <t>White</t>
        </is>
      </c>
      <c r="K2443" t="n">
        <v>375</v>
      </c>
      <c r="L2443" t="n">
        <v>87</v>
      </c>
      <c r="M2443" t="n">
        <v>17.56</v>
      </c>
      <c r="N2443" t="n">
        <v>4611.7</v>
      </c>
      <c r="O2443" t="n">
        <v>3.94</v>
      </c>
      <c r="P2443" t="n">
        <v>4</v>
      </c>
      <c r="Q2443" t="n">
        <v>2</v>
      </c>
      <c r="R2443" t="n">
        <v>2024.3</v>
      </c>
      <c r="S2443" t="b">
        <v>1</v>
      </c>
      <c r="T2443" t="n">
        <v>4641211</v>
      </c>
      <c r="U2443" t="n">
        <v>7</v>
      </c>
      <c r="V2443" t="n">
        <v>0.0205</v>
      </c>
      <c r="W2443" t="n">
        <v>1.22</v>
      </c>
      <c r="X2443" t="n">
        <v>83.42</v>
      </c>
      <c r="Y2443">
        <f>VLOOKUP(D2443,$AB$2:$AC$7,2,FALSE)</f>
        <v/>
      </c>
      <c r="Z2443">
        <f>IF(A2443&lt;Y2443,"Yes","No")</f>
        <v/>
      </c>
    </row>
    <row r="2444">
      <c r="A2444" t="n">
        <v>2014</v>
      </c>
      <c r="B2444" t="inlineStr">
        <is>
          <t>Q4</t>
        </is>
      </c>
      <c r="C2444" t="inlineStr">
        <is>
          <t>Australia</t>
        </is>
      </c>
      <c r="D2444" t="inlineStr">
        <is>
          <t>Model S</t>
        </is>
      </c>
      <c r="E2444" t="n">
        <v>226</v>
      </c>
      <c r="F2444" t="n">
        <v>116916.41</v>
      </c>
      <c r="G2444" t="n">
        <v>37</v>
      </c>
      <c r="H2444" t="inlineStr">
        <is>
          <t>Performance</t>
        </is>
      </c>
      <c r="I2444" t="inlineStr">
        <is>
          <t>RWD</t>
        </is>
      </c>
      <c r="J2444" t="inlineStr">
        <is>
          <t>Green</t>
        </is>
      </c>
      <c r="K2444" t="n">
        <v>498</v>
      </c>
      <c r="L2444" t="n">
        <v>66</v>
      </c>
      <c r="M2444" t="n">
        <v>16.37</v>
      </c>
      <c r="N2444" t="n">
        <v>162.54</v>
      </c>
      <c r="O2444" t="n">
        <v>4.67</v>
      </c>
      <c r="P2444" t="n">
        <v>4</v>
      </c>
      <c r="Q2444" t="n">
        <v>2</v>
      </c>
      <c r="R2444" t="n">
        <v>2024.1</v>
      </c>
      <c r="S2444" t="b">
        <v>1</v>
      </c>
      <c r="T2444" t="n">
        <v>3503724</v>
      </c>
      <c r="U2444" t="n">
        <v>6</v>
      </c>
      <c r="V2444" t="n">
        <v>0.08500000000000001</v>
      </c>
      <c r="W2444" t="n">
        <v>1.5</v>
      </c>
      <c r="X2444" t="n">
        <v>74.65000000000001</v>
      </c>
      <c r="Y2444">
        <f>VLOOKUP(D2444,$AB$2:$AC$7,2,FALSE)</f>
        <v/>
      </c>
      <c r="Z2444">
        <f>IF(A2444&lt;Y2444,"Yes","No")</f>
        <v/>
      </c>
    </row>
    <row r="2445">
      <c r="A2445" t="n">
        <v>2019</v>
      </c>
      <c r="B2445" t="inlineStr">
        <is>
          <t>Q2</t>
        </is>
      </c>
      <c r="C2445" t="inlineStr">
        <is>
          <t>Asia</t>
        </is>
      </c>
      <c r="D2445" t="inlineStr">
        <is>
          <t>Cybertruck</t>
        </is>
      </c>
      <c r="E2445" t="n">
        <v>225</v>
      </c>
      <c r="F2445" t="n">
        <v>99161.35000000001</v>
      </c>
      <c r="G2445" t="n">
        <v>9</v>
      </c>
      <c r="H2445" t="inlineStr">
        <is>
          <t>Long Range</t>
        </is>
      </c>
      <c r="I2445" t="inlineStr">
        <is>
          <t>RWD</t>
        </is>
      </c>
      <c r="J2445" t="inlineStr">
        <is>
          <t>Silver</t>
        </is>
      </c>
      <c r="K2445" t="n">
        <v>492</v>
      </c>
      <c r="L2445" t="n">
        <v>63</v>
      </c>
      <c r="M2445" t="n">
        <v>21.27</v>
      </c>
      <c r="N2445" t="n">
        <v>233.58</v>
      </c>
      <c r="O2445" t="n">
        <v>3.84</v>
      </c>
      <c r="P2445" t="n">
        <v>5</v>
      </c>
      <c r="Q2445" t="n">
        <v>3</v>
      </c>
      <c r="R2445" t="n">
        <v>2024.11</v>
      </c>
      <c r="S2445" t="b">
        <v>0</v>
      </c>
      <c r="T2445" t="n">
        <v>4212417</v>
      </c>
      <c r="U2445" t="n">
        <v>3</v>
      </c>
      <c r="V2445" t="n">
        <v>0.0402</v>
      </c>
      <c r="W2445" t="n">
        <v>2.46</v>
      </c>
      <c r="X2445" t="n">
        <v>89.84</v>
      </c>
      <c r="Y2445">
        <f>VLOOKUP(D2445,$AB$2:$AC$7,2,FALSE)</f>
        <v/>
      </c>
      <c r="Z2445">
        <f>IF(A2445&lt;Y2445,"Yes","No")</f>
        <v/>
      </c>
    </row>
    <row r="2446">
      <c r="A2446" t="n">
        <v>2014</v>
      </c>
      <c r="B2446" t="inlineStr">
        <is>
          <t>Q3</t>
        </is>
      </c>
      <c r="C2446" t="inlineStr">
        <is>
          <t>South America</t>
        </is>
      </c>
      <c r="D2446" t="inlineStr">
        <is>
          <t>Cybertruck</t>
        </is>
      </c>
      <c r="E2446" t="n">
        <v>2704</v>
      </c>
      <c r="F2446" t="n">
        <v>103271.84</v>
      </c>
      <c r="G2446" t="n">
        <v>5</v>
      </c>
      <c r="H2446" t="inlineStr">
        <is>
          <t>Performance</t>
        </is>
      </c>
      <c r="I2446" t="inlineStr">
        <is>
          <t>RWD</t>
        </is>
      </c>
      <c r="J2446" t="inlineStr">
        <is>
          <t>Blue</t>
        </is>
      </c>
      <c r="K2446" t="n">
        <v>693</v>
      </c>
      <c r="L2446" t="n">
        <v>85</v>
      </c>
      <c r="M2446" t="n">
        <v>20.86</v>
      </c>
      <c r="N2446" t="n">
        <v>1631.12</v>
      </c>
      <c r="O2446" t="n">
        <v>4.2</v>
      </c>
      <c r="P2446" t="n">
        <v>4</v>
      </c>
      <c r="Q2446" t="n">
        <v>0</v>
      </c>
      <c r="R2446" t="n">
        <v>2020.4</v>
      </c>
      <c r="S2446" t="b">
        <v>0</v>
      </c>
      <c r="T2446" t="n">
        <v>1682567</v>
      </c>
      <c r="U2446" t="n">
        <v>5</v>
      </c>
      <c r="V2446" t="n">
        <v>0.0461</v>
      </c>
      <c r="W2446" t="n">
        <v>0.95</v>
      </c>
      <c r="X2446" t="n">
        <v>70.48</v>
      </c>
      <c r="Y2446">
        <f>VLOOKUP(D2446,$AB$2:$AC$7,2,FALSE)</f>
        <v/>
      </c>
      <c r="Z2446">
        <f>IF(A2446&lt;Y2446,"Yes","No")</f>
        <v/>
      </c>
    </row>
    <row r="2447">
      <c r="A2447" t="n">
        <v>2014</v>
      </c>
      <c r="B2447" t="inlineStr">
        <is>
          <t>Q1</t>
        </is>
      </c>
      <c r="C2447" t="inlineStr">
        <is>
          <t>Australia</t>
        </is>
      </c>
      <c r="D2447" t="inlineStr">
        <is>
          <t>Model 3</t>
        </is>
      </c>
      <c r="E2447" t="n">
        <v>1704</v>
      </c>
      <c r="F2447" t="n">
        <v>57585.03</v>
      </c>
      <c r="G2447" t="n">
        <v>21</v>
      </c>
      <c r="H2447" t="inlineStr">
        <is>
          <t>Performance</t>
        </is>
      </c>
      <c r="I2447" t="inlineStr">
        <is>
          <t>AWD</t>
        </is>
      </c>
      <c r="J2447" t="inlineStr">
        <is>
          <t>White</t>
        </is>
      </c>
      <c r="K2447" t="n">
        <v>514</v>
      </c>
      <c r="L2447" t="n">
        <v>64</v>
      </c>
      <c r="M2447" t="n">
        <v>24.55</v>
      </c>
      <c r="N2447" t="n">
        <v>4024.62</v>
      </c>
      <c r="O2447" t="n">
        <v>4.47</v>
      </c>
      <c r="P2447" t="n">
        <v>8</v>
      </c>
      <c r="Q2447" t="n">
        <v>3</v>
      </c>
      <c r="R2447" t="n">
        <v>2021.2</v>
      </c>
      <c r="S2447" t="b">
        <v>0</v>
      </c>
      <c r="T2447" t="n">
        <v>1955956</v>
      </c>
      <c r="U2447" t="n">
        <v>10</v>
      </c>
      <c r="V2447" t="n">
        <v>0.052</v>
      </c>
      <c r="W2447" t="n">
        <v>1.25</v>
      </c>
      <c r="X2447" t="n">
        <v>61.93</v>
      </c>
      <c r="Y2447">
        <f>VLOOKUP(D2447,$AB$2:$AC$7,2,FALSE)</f>
        <v/>
      </c>
      <c r="Z2447">
        <f>IF(A2447&lt;Y2447,"Yes","No")</f>
        <v/>
      </c>
    </row>
    <row r="2448">
      <c r="A2448" t="n">
        <v>2016</v>
      </c>
      <c r="B2448" t="inlineStr">
        <is>
          <t>Q2</t>
        </is>
      </c>
      <c r="C2448" t="inlineStr">
        <is>
          <t>North America</t>
        </is>
      </c>
      <c r="D2448" t="inlineStr">
        <is>
          <t>Model S</t>
        </is>
      </c>
      <c r="E2448" t="n">
        <v>4325</v>
      </c>
      <c r="F2448" t="n">
        <v>99587.03999999999</v>
      </c>
      <c r="G2448" t="n">
        <v>39</v>
      </c>
      <c r="H2448" t="inlineStr">
        <is>
          <t>Long Range</t>
        </is>
      </c>
      <c r="I2448" t="inlineStr">
        <is>
          <t>RWD</t>
        </is>
      </c>
      <c r="J2448" t="inlineStr">
        <is>
          <t>Silver</t>
        </is>
      </c>
      <c r="K2448" t="n">
        <v>408</v>
      </c>
      <c r="L2448" t="n">
        <v>69</v>
      </c>
      <c r="M2448" t="n">
        <v>14.78</v>
      </c>
      <c r="N2448" t="n">
        <v>8303.700000000001</v>
      </c>
      <c r="O2448" t="n">
        <v>3.99</v>
      </c>
      <c r="P2448" t="n">
        <v>6</v>
      </c>
      <c r="Q2448" t="n">
        <v>0</v>
      </c>
      <c r="R2448" t="n">
        <v>2023.4</v>
      </c>
      <c r="S2448" t="b">
        <v>1</v>
      </c>
      <c r="T2448" t="n">
        <v>3404404</v>
      </c>
      <c r="U2448" t="n">
        <v>12</v>
      </c>
      <c r="V2448" t="n">
        <v>0.0451</v>
      </c>
      <c r="W2448" t="n">
        <v>1.11</v>
      </c>
      <c r="X2448" t="n">
        <v>63.6</v>
      </c>
      <c r="Y2448">
        <f>VLOOKUP(D2448,$AB$2:$AC$7,2,FALSE)</f>
        <v/>
      </c>
      <c r="Z2448">
        <f>IF(A2448&lt;Y2448,"Yes","No")</f>
        <v/>
      </c>
    </row>
    <row r="2449">
      <c r="A2449" t="n">
        <v>2015</v>
      </c>
      <c r="B2449" t="inlineStr">
        <is>
          <t>Q1</t>
        </is>
      </c>
      <c r="C2449" t="inlineStr">
        <is>
          <t>Europe</t>
        </is>
      </c>
      <c r="D2449" t="inlineStr">
        <is>
          <t>Model Y</t>
        </is>
      </c>
      <c r="E2449" t="n">
        <v>2211</v>
      </c>
      <c r="F2449" t="n">
        <v>36971.62</v>
      </c>
      <c r="G2449" t="n">
        <v>48</v>
      </c>
      <c r="H2449" t="inlineStr">
        <is>
          <t>Performance</t>
        </is>
      </c>
      <c r="I2449" t="inlineStr">
        <is>
          <t>AWD</t>
        </is>
      </c>
      <c r="J2449" t="inlineStr">
        <is>
          <t>Green</t>
        </is>
      </c>
      <c r="K2449" t="n">
        <v>397</v>
      </c>
      <c r="L2449" t="n">
        <v>66</v>
      </c>
      <c r="M2449" t="n">
        <v>19.56</v>
      </c>
      <c r="N2449" t="n">
        <v>5043.66</v>
      </c>
      <c r="O2449" t="n">
        <v>4.74</v>
      </c>
      <c r="P2449" t="n">
        <v>4</v>
      </c>
      <c r="Q2449" t="n">
        <v>3</v>
      </c>
      <c r="R2449" t="n">
        <v>2021.9</v>
      </c>
      <c r="S2449" t="b">
        <v>1</v>
      </c>
      <c r="T2449" t="n">
        <v>1619745</v>
      </c>
      <c r="U2449" t="n">
        <v>6</v>
      </c>
      <c r="V2449" t="n">
        <v>0.0854</v>
      </c>
      <c r="W2449" t="n">
        <v>0.97</v>
      </c>
      <c r="X2449" t="n">
        <v>71.53</v>
      </c>
      <c r="Y2449">
        <f>VLOOKUP(D2449,$AB$2:$AC$7,2,FALSE)</f>
        <v/>
      </c>
      <c r="Z2449">
        <f>IF(A2449&lt;Y2449,"Yes","No")</f>
        <v/>
      </c>
    </row>
    <row r="2450">
      <c r="A2450" t="n">
        <v>2024</v>
      </c>
      <c r="B2450" t="inlineStr">
        <is>
          <t>Q3</t>
        </is>
      </c>
      <c r="C2450" t="inlineStr">
        <is>
          <t>South America</t>
        </is>
      </c>
      <c r="D2450" t="inlineStr">
        <is>
          <t>Semi</t>
        </is>
      </c>
      <c r="E2450" t="n">
        <v>2624</v>
      </c>
      <c r="F2450" t="n">
        <v>41824.86</v>
      </c>
      <c r="G2450" t="n">
        <v>32</v>
      </c>
      <c r="H2450" t="inlineStr">
        <is>
          <t>Performance</t>
        </is>
      </c>
      <c r="I2450" t="inlineStr">
        <is>
          <t>AWD</t>
        </is>
      </c>
      <c r="J2450" t="inlineStr">
        <is>
          <t>Green</t>
        </is>
      </c>
      <c r="K2450" t="n">
        <v>646</v>
      </c>
      <c r="L2450" t="n">
        <v>61</v>
      </c>
      <c r="M2450" t="n">
        <v>19.01</v>
      </c>
      <c r="N2450" t="n">
        <v>4796.26</v>
      </c>
      <c r="O2450" t="n">
        <v>4.79</v>
      </c>
      <c r="P2450" t="n">
        <v>4</v>
      </c>
      <c r="Q2450" t="n">
        <v>3</v>
      </c>
      <c r="R2450" t="n">
        <v>2024.2</v>
      </c>
      <c r="S2450" t="b">
        <v>0</v>
      </c>
      <c r="T2450" t="n">
        <v>2490742</v>
      </c>
      <c r="U2450" t="n">
        <v>5</v>
      </c>
      <c r="V2450" t="n">
        <v>0.0461</v>
      </c>
      <c r="W2450" t="n">
        <v>1.62</v>
      </c>
      <c r="X2450" t="n">
        <v>83.70999999999999</v>
      </c>
      <c r="Y2450">
        <f>VLOOKUP(D2450,$AB$2:$AC$7,2,FALSE)</f>
        <v/>
      </c>
      <c r="Z2450">
        <f>IF(A2450&lt;Y2450,"Yes","No")</f>
        <v/>
      </c>
    </row>
    <row r="2451">
      <c r="A2451" t="n">
        <v>2022</v>
      </c>
      <c r="B2451" t="inlineStr">
        <is>
          <t>Q2</t>
        </is>
      </c>
      <c r="C2451" t="inlineStr">
        <is>
          <t>Asia</t>
        </is>
      </c>
      <c r="D2451" t="inlineStr">
        <is>
          <t>Model X</t>
        </is>
      </c>
      <c r="E2451" t="n">
        <v>4985</v>
      </c>
      <c r="F2451" t="n">
        <v>95664.98</v>
      </c>
      <c r="G2451" t="n">
        <v>34</v>
      </c>
      <c r="H2451" t="inlineStr">
        <is>
          <t>Performance</t>
        </is>
      </c>
      <c r="I2451" t="inlineStr">
        <is>
          <t>AWD</t>
        </is>
      </c>
      <c r="J2451" t="inlineStr">
        <is>
          <t>Red</t>
        </is>
      </c>
      <c r="K2451" t="n">
        <v>495</v>
      </c>
      <c r="L2451" t="n">
        <v>69</v>
      </c>
      <c r="M2451" t="n">
        <v>16.27</v>
      </c>
      <c r="N2451" t="n">
        <v>7721.89</v>
      </c>
      <c r="O2451" t="n">
        <v>4.41</v>
      </c>
      <c r="P2451" t="n">
        <v>4</v>
      </c>
      <c r="Q2451" t="n">
        <v>0</v>
      </c>
      <c r="R2451" t="n">
        <v>2020.7</v>
      </c>
      <c r="S2451" t="b">
        <v>0</v>
      </c>
      <c r="T2451" t="n">
        <v>3461547</v>
      </c>
      <c r="U2451" t="n">
        <v>11</v>
      </c>
      <c r="V2451" t="n">
        <v>0.0587</v>
      </c>
      <c r="W2451" t="n">
        <v>1.71</v>
      </c>
      <c r="X2451" t="n">
        <v>81.05</v>
      </c>
      <c r="Y2451">
        <f>VLOOKUP(D2451,$AB$2:$AC$7,2,FALSE)</f>
        <v/>
      </c>
      <c r="Z2451">
        <f>IF(A2451&lt;Y2451,"Yes","No")</f>
        <v/>
      </c>
    </row>
    <row r="2452">
      <c r="A2452" t="n">
        <v>2015</v>
      </c>
      <c r="B2452" t="inlineStr">
        <is>
          <t>Q2</t>
        </is>
      </c>
      <c r="C2452" t="inlineStr">
        <is>
          <t>North America</t>
        </is>
      </c>
      <c r="D2452" t="inlineStr">
        <is>
          <t>Model Y</t>
        </is>
      </c>
      <c r="E2452" t="n">
        <v>3905</v>
      </c>
      <c r="F2452" t="n">
        <v>85073.78</v>
      </c>
      <c r="G2452" t="n">
        <v>48</v>
      </c>
      <c r="H2452" t="inlineStr">
        <is>
          <t>Standard</t>
        </is>
      </c>
      <c r="I2452" t="inlineStr">
        <is>
          <t>RWD</t>
        </is>
      </c>
      <c r="J2452" t="inlineStr">
        <is>
          <t>Blue</t>
        </is>
      </c>
      <c r="K2452" t="n">
        <v>497</v>
      </c>
      <c r="L2452" t="n">
        <v>31</v>
      </c>
      <c r="M2452" t="n">
        <v>22.15</v>
      </c>
      <c r="N2452" t="n">
        <v>8481.450000000001</v>
      </c>
      <c r="O2452" t="n">
        <v>3.86</v>
      </c>
      <c r="P2452" t="n">
        <v>4</v>
      </c>
      <c r="Q2452" t="n">
        <v>3</v>
      </c>
      <c r="R2452" t="n">
        <v>2022.1</v>
      </c>
      <c r="S2452" t="b">
        <v>0</v>
      </c>
      <c r="T2452" t="n">
        <v>4830554</v>
      </c>
      <c r="U2452" t="n">
        <v>11</v>
      </c>
      <c r="V2452" t="n">
        <v>0.061</v>
      </c>
      <c r="W2452" t="n">
        <v>1.81</v>
      </c>
      <c r="X2452" t="n">
        <v>72.92</v>
      </c>
      <c r="Y2452">
        <f>VLOOKUP(D2452,$AB$2:$AC$7,2,FALSE)</f>
        <v/>
      </c>
      <c r="Z2452">
        <f>IF(A2452&lt;Y2452,"Yes","No")</f>
        <v/>
      </c>
    </row>
    <row r="2453">
      <c r="A2453" t="n">
        <v>2012</v>
      </c>
      <c r="B2453" t="inlineStr">
        <is>
          <t>Q1</t>
        </is>
      </c>
      <c r="C2453" t="inlineStr">
        <is>
          <t>North America</t>
        </is>
      </c>
      <c r="D2453" t="inlineStr">
        <is>
          <t>Model Y</t>
        </is>
      </c>
      <c r="E2453" t="n">
        <v>3715</v>
      </c>
      <c r="F2453" t="n">
        <v>44372</v>
      </c>
      <c r="G2453" t="n">
        <v>36</v>
      </c>
      <c r="H2453" t="inlineStr">
        <is>
          <t>Standard</t>
        </is>
      </c>
      <c r="I2453" t="inlineStr">
        <is>
          <t>RWD</t>
        </is>
      </c>
      <c r="J2453" t="inlineStr">
        <is>
          <t>Silver</t>
        </is>
      </c>
      <c r="K2453" t="n">
        <v>542</v>
      </c>
      <c r="L2453" t="n">
        <v>53</v>
      </c>
      <c r="M2453" t="n">
        <v>14.18</v>
      </c>
      <c r="N2453" t="n">
        <v>7834.97</v>
      </c>
      <c r="O2453" t="n">
        <v>4.99</v>
      </c>
      <c r="P2453" t="n">
        <v>5</v>
      </c>
      <c r="Q2453" t="n">
        <v>0</v>
      </c>
      <c r="R2453" t="n">
        <v>2024.7</v>
      </c>
      <c r="S2453" t="b">
        <v>0</v>
      </c>
      <c r="T2453" t="n">
        <v>1904723</v>
      </c>
      <c r="U2453" t="n">
        <v>9</v>
      </c>
      <c r="V2453" t="n">
        <v>0.036</v>
      </c>
      <c r="W2453" t="n">
        <v>1.04</v>
      </c>
      <c r="X2453" t="n">
        <v>80.72</v>
      </c>
      <c r="Y2453">
        <f>VLOOKUP(D2453,$AB$2:$AC$7,2,FALSE)</f>
        <v/>
      </c>
      <c r="Z2453">
        <f>IF(A2453&lt;Y2453,"Yes","No")</f>
        <v/>
      </c>
    </row>
    <row r="2454">
      <c r="A2454" t="n">
        <v>2023</v>
      </c>
      <c r="B2454" t="inlineStr">
        <is>
          <t>Q2</t>
        </is>
      </c>
      <c r="C2454" t="inlineStr">
        <is>
          <t>South America</t>
        </is>
      </c>
      <c r="D2454" t="inlineStr">
        <is>
          <t>Model 3</t>
        </is>
      </c>
      <c r="E2454" t="n">
        <v>747</v>
      </c>
      <c r="F2454" t="n">
        <v>79644.60000000001</v>
      </c>
      <c r="G2454" t="n">
        <v>55</v>
      </c>
      <c r="H2454" t="inlineStr">
        <is>
          <t>Performance</t>
        </is>
      </c>
      <c r="I2454" t="inlineStr">
        <is>
          <t>RWD</t>
        </is>
      </c>
      <c r="J2454" t="inlineStr">
        <is>
          <t>Blue</t>
        </is>
      </c>
      <c r="K2454" t="n">
        <v>520</v>
      </c>
      <c r="L2454" t="n">
        <v>46</v>
      </c>
      <c r="M2454" t="n">
        <v>23.61</v>
      </c>
      <c r="N2454" t="n">
        <v>1814.57</v>
      </c>
      <c r="O2454" t="n">
        <v>3.88</v>
      </c>
      <c r="P2454" t="n">
        <v>8</v>
      </c>
      <c r="Q2454" t="n">
        <v>0</v>
      </c>
      <c r="R2454" t="n">
        <v>2021.7</v>
      </c>
      <c r="S2454" t="b">
        <v>1</v>
      </c>
      <c r="T2454" t="n">
        <v>160611</v>
      </c>
      <c r="U2454" t="n">
        <v>9</v>
      </c>
      <c r="V2454" t="n">
        <v>0.0665</v>
      </c>
      <c r="W2454" t="n">
        <v>2.09</v>
      </c>
      <c r="X2454" t="n">
        <v>82.23999999999999</v>
      </c>
      <c r="Y2454">
        <f>VLOOKUP(D2454,$AB$2:$AC$7,2,FALSE)</f>
        <v/>
      </c>
      <c r="Z2454">
        <f>IF(A2454&lt;Y2454,"Yes","No")</f>
        <v/>
      </c>
    </row>
    <row r="2455">
      <c r="A2455" t="n">
        <v>2018</v>
      </c>
      <c r="B2455" t="inlineStr">
        <is>
          <t>Q2</t>
        </is>
      </c>
      <c r="C2455" t="inlineStr">
        <is>
          <t>Europe</t>
        </is>
      </c>
      <c r="D2455" t="inlineStr">
        <is>
          <t>Model S</t>
        </is>
      </c>
      <c r="E2455" t="n">
        <v>712</v>
      </c>
      <c r="F2455" t="n">
        <v>85848.91</v>
      </c>
      <c r="G2455" t="n">
        <v>2</v>
      </c>
      <c r="H2455" t="inlineStr">
        <is>
          <t>Performance</t>
        </is>
      </c>
      <c r="I2455" t="inlineStr">
        <is>
          <t>AWD</t>
        </is>
      </c>
      <c r="J2455" t="inlineStr">
        <is>
          <t>Red</t>
        </is>
      </c>
      <c r="K2455" t="n">
        <v>601</v>
      </c>
      <c r="L2455" t="n">
        <v>70</v>
      </c>
      <c r="M2455" t="n">
        <v>22.32</v>
      </c>
      <c r="N2455" t="n">
        <v>527.83</v>
      </c>
      <c r="O2455" t="n">
        <v>4.61</v>
      </c>
      <c r="P2455" t="n">
        <v>5</v>
      </c>
      <c r="Q2455" t="n">
        <v>1</v>
      </c>
      <c r="R2455" t="n">
        <v>2021.6</v>
      </c>
      <c r="S2455" t="b">
        <v>0</v>
      </c>
      <c r="T2455" t="n">
        <v>4555070</v>
      </c>
      <c r="U2455" t="n">
        <v>10</v>
      </c>
      <c r="V2455" t="n">
        <v>0.0203</v>
      </c>
      <c r="W2455" t="n">
        <v>1.79</v>
      </c>
      <c r="X2455" t="n">
        <v>81.5</v>
      </c>
      <c r="Y2455">
        <f>VLOOKUP(D2455,$AB$2:$AC$7,2,FALSE)</f>
        <v/>
      </c>
      <c r="Z2455">
        <f>IF(A2455&lt;Y2455,"Yes","No")</f>
        <v/>
      </c>
    </row>
    <row r="2456">
      <c r="A2456" t="n">
        <v>2021</v>
      </c>
      <c r="B2456" t="inlineStr">
        <is>
          <t>Q1</t>
        </is>
      </c>
      <c r="C2456" t="inlineStr">
        <is>
          <t>Europe</t>
        </is>
      </c>
      <c r="D2456" t="inlineStr">
        <is>
          <t>Semi</t>
        </is>
      </c>
      <c r="E2456" t="n">
        <v>3653</v>
      </c>
      <c r="F2456" t="n">
        <v>74385.92999999999</v>
      </c>
      <c r="G2456" t="n">
        <v>6</v>
      </c>
      <c r="H2456" t="inlineStr">
        <is>
          <t>Long Range</t>
        </is>
      </c>
      <c r="I2456" t="inlineStr">
        <is>
          <t>AWD</t>
        </is>
      </c>
      <c r="J2456" t="inlineStr">
        <is>
          <t>Silver</t>
        </is>
      </c>
      <c r="K2456" t="n">
        <v>365</v>
      </c>
      <c r="L2456" t="n">
        <v>58</v>
      </c>
      <c r="M2456" t="n">
        <v>24.97</v>
      </c>
      <c r="N2456" t="n">
        <v>8107.17</v>
      </c>
      <c r="O2456" t="n">
        <v>3.97</v>
      </c>
      <c r="P2456" t="n">
        <v>6</v>
      </c>
      <c r="Q2456" t="n">
        <v>3</v>
      </c>
      <c r="R2456" t="n">
        <v>2023.7</v>
      </c>
      <c r="S2456" t="b">
        <v>1</v>
      </c>
      <c r="T2456" t="n">
        <v>612530</v>
      </c>
      <c r="U2456" t="n">
        <v>6</v>
      </c>
      <c r="V2456" t="n">
        <v>0.0883</v>
      </c>
      <c r="W2456" t="n">
        <v>2.39</v>
      </c>
      <c r="X2456" t="n">
        <v>84.13</v>
      </c>
      <c r="Y2456">
        <f>VLOOKUP(D2456,$AB$2:$AC$7,2,FALSE)</f>
        <v/>
      </c>
      <c r="Z2456">
        <f>IF(A2456&lt;Y2456,"Yes","No")</f>
        <v/>
      </c>
    </row>
    <row r="2457">
      <c r="A2457" t="n">
        <v>2017</v>
      </c>
      <c r="B2457" t="inlineStr">
        <is>
          <t>Q4</t>
        </is>
      </c>
      <c r="C2457" t="inlineStr">
        <is>
          <t>Australia</t>
        </is>
      </c>
      <c r="D2457" t="inlineStr">
        <is>
          <t>Model X</t>
        </is>
      </c>
      <c r="E2457" t="n">
        <v>4121</v>
      </c>
      <c r="F2457" t="n">
        <v>42859.37</v>
      </c>
      <c r="G2457" t="n">
        <v>21</v>
      </c>
      <c r="H2457" t="inlineStr">
        <is>
          <t>Long Range</t>
        </is>
      </c>
      <c r="I2457" t="inlineStr">
        <is>
          <t>RWD</t>
        </is>
      </c>
      <c r="J2457" t="inlineStr">
        <is>
          <t>White</t>
        </is>
      </c>
      <c r="K2457" t="n">
        <v>629</v>
      </c>
      <c r="L2457" t="n">
        <v>49</v>
      </c>
      <c r="M2457" t="n">
        <v>22.57</v>
      </c>
      <c r="N2457" t="n">
        <v>5690.62</v>
      </c>
      <c r="O2457" t="n">
        <v>4.5</v>
      </c>
      <c r="P2457" t="n">
        <v>6</v>
      </c>
      <c r="Q2457" t="n">
        <v>0</v>
      </c>
      <c r="R2457" t="n">
        <v>2024.7</v>
      </c>
      <c r="S2457" t="b">
        <v>1</v>
      </c>
      <c r="T2457" t="n">
        <v>2232939</v>
      </c>
      <c r="U2457" t="n">
        <v>11</v>
      </c>
      <c r="V2457" t="n">
        <v>0.0868</v>
      </c>
      <c r="W2457" t="n">
        <v>1.73</v>
      </c>
      <c r="X2457" t="n">
        <v>89.11</v>
      </c>
      <c r="Y2457">
        <f>VLOOKUP(D2457,$AB$2:$AC$7,2,FALSE)</f>
        <v/>
      </c>
      <c r="Z2457">
        <f>IF(A2457&lt;Y2457,"Yes","No")</f>
        <v/>
      </c>
    </row>
    <row r="2458">
      <c r="A2458" t="n">
        <v>2013</v>
      </c>
      <c r="B2458" t="inlineStr">
        <is>
          <t>Q3</t>
        </is>
      </c>
      <c r="C2458" t="inlineStr">
        <is>
          <t>North America</t>
        </is>
      </c>
      <c r="D2458" t="inlineStr">
        <is>
          <t>Semi</t>
        </is>
      </c>
      <c r="E2458" t="n">
        <v>4862</v>
      </c>
      <c r="F2458" t="n">
        <v>116331.5</v>
      </c>
      <c r="G2458" t="n">
        <v>21</v>
      </c>
      <c r="H2458" t="inlineStr">
        <is>
          <t>Long Range</t>
        </is>
      </c>
      <c r="I2458" t="inlineStr">
        <is>
          <t>RWD</t>
        </is>
      </c>
      <c r="J2458" t="inlineStr">
        <is>
          <t>White</t>
        </is>
      </c>
      <c r="K2458" t="n">
        <v>642</v>
      </c>
      <c r="L2458" t="n">
        <v>57</v>
      </c>
      <c r="M2458" t="n">
        <v>15.04</v>
      </c>
      <c r="N2458" t="n">
        <v>9661.18</v>
      </c>
      <c r="O2458" t="n">
        <v>4.06</v>
      </c>
      <c r="P2458" t="n">
        <v>4</v>
      </c>
      <c r="Q2458" t="n">
        <v>3</v>
      </c>
      <c r="R2458" t="n">
        <v>2022.4</v>
      </c>
      <c r="S2458" t="b">
        <v>0</v>
      </c>
      <c r="T2458" t="n">
        <v>1921098</v>
      </c>
      <c r="U2458" t="n">
        <v>11</v>
      </c>
      <c r="V2458" t="n">
        <v>0.0979</v>
      </c>
      <c r="W2458" t="n">
        <v>2.09</v>
      </c>
      <c r="X2458" t="n">
        <v>80.19</v>
      </c>
      <c r="Y2458">
        <f>VLOOKUP(D2458,$AB$2:$AC$7,2,FALSE)</f>
        <v/>
      </c>
      <c r="Z2458">
        <f>IF(A2458&lt;Y2458,"Yes","No")</f>
        <v/>
      </c>
    </row>
    <row r="2459">
      <c r="A2459" t="n">
        <v>2019</v>
      </c>
      <c r="B2459" t="inlineStr">
        <is>
          <t>Q4</t>
        </is>
      </c>
      <c r="C2459" t="inlineStr">
        <is>
          <t>Australia</t>
        </is>
      </c>
      <c r="D2459" t="inlineStr">
        <is>
          <t>Semi</t>
        </is>
      </c>
      <c r="E2459" t="n">
        <v>3345</v>
      </c>
      <c r="F2459" t="n">
        <v>76315.64</v>
      </c>
      <c r="G2459" t="n">
        <v>44</v>
      </c>
      <c r="H2459" t="inlineStr">
        <is>
          <t>Standard</t>
        </is>
      </c>
      <c r="I2459" t="inlineStr">
        <is>
          <t>RWD</t>
        </is>
      </c>
      <c r="J2459" t="inlineStr">
        <is>
          <t>Green</t>
        </is>
      </c>
      <c r="K2459" t="n">
        <v>502</v>
      </c>
      <c r="L2459" t="n">
        <v>41</v>
      </c>
      <c r="M2459" t="n">
        <v>13.17</v>
      </c>
      <c r="N2459" t="n">
        <v>7313.53</v>
      </c>
      <c r="O2459" t="n">
        <v>3.66</v>
      </c>
      <c r="P2459" t="n">
        <v>6</v>
      </c>
      <c r="Q2459" t="n">
        <v>3</v>
      </c>
      <c r="R2459" t="n">
        <v>2024.1</v>
      </c>
      <c r="S2459" t="b">
        <v>0</v>
      </c>
      <c r="T2459" t="n">
        <v>175958</v>
      </c>
      <c r="U2459" t="n">
        <v>8</v>
      </c>
      <c r="V2459" t="n">
        <v>0.0929</v>
      </c>
      <c r="W2459" t="n">
        <v>1.19</v>
      </c>
      <c r="X2459" t="n">
        <v>76.72</v>
      </c>
      <c r="Y2459">
        <f>VLOOKUP(D2459,$AB$2:$AC$7,2,FALSE)</f>
        <v/>
      </c>
      <c r="Z2459">
        <f>IF(A2459&lt;Y2459,"Yes","No")</f>
        <v/>
      </c>
    </row>
    <row r="2460">
      <c r="A2460" t="n">
        <v>2013</v>
      </c>
      <c r="B2460" t="inlineStr">
        <is>
          <t>Q2</t>
        </is>
      </c>
      <c r="C2460" t="inlineStr">
        <is>
          <t>Asia</t>
        </is>
      </c>
      <c r="D2460" t="inlineStr">
        <is>
          <t>Model X</t>
        </is>
      </c>
      <c r="E2460" t="n">
        <v>528</v>
      </c>
      <c r="F2460" t="n">
        <v>102634.75</v>
      </c>
      <c r="G2460" t="n">
        <v>28</v>
      </c>
      <c r="H2460" t="inlineStr">
        <is>
          <t>Performance</t>
        </is>
      </c>
      <c r="I2460" t="inlineStr">
        <is>
          <t>AWD</t>
        </is>
      </c>
      <c r="J2460" t="inlineStr">
        <is>
          <t>Blue</t>
        </is>
      </c>
      <c r="K2460" t="n">
        <v>464</v>
      </c>
      <c r="L2460" t="n">
        <v>50</v>
      </c>
      <c r="M2460" t="n">
        <v>13.51</v>
      </c>
      <c r="N2460" t="n">
        <v>1106.09</v>
      </c>
      <c r="O2460" t="n">
        <v>4.13</v>
      </c>
      <c r="P2460" t="n">
        <v>4</v>
      </c>
      <c r="Q2460" t="n">
        <v>0</v>
      </c>
      <c r="R2460" t="n">
        <v>2024.3</v>
      </c>
      <c r="S2460" t="b">
        <v>1</v>
      </c>
      <c r="T2460" t="n">
        <v>3954739</v>
      </c>
      <c r="U2460" t="n">
        <v>3</v>
      </c>
      <c r="V2460" t="n">
        <v>0.0788</v>
      </c>
      <c r="W2460" t="n">
        <v>1.34</v>
      </c>
      <c r="X2460" t="n">
        <v>65.14</v>
      </c>
      <c r="Y2460">
        <f>VLOOKUP(D2460,$AB$2:$AC$7,2,FALSE)</f>
        <v/>
      </c>
      <c r="Z2460">
        <f>IF(A2460&lt;Y2460,"Yes","No")</f>
        <v/>
      </c>
    </row>
    <row r="2461">
      <c r="A2461" t="n">
        <v>2021</v>
      </c>
      <c r="B2461" t="inlineStr">
        <is>
          <t>Q2</t>
        </is>
      </c>
      <c r="C2461" t="inlineStr">
        <is>
          <t>Asia</t>
        </is>
      </c>
      <c r="D2461" t="inlineStr">
        <is>
          <t>Model 3</t>
        </is>
      </c>
      <c r="E2461" t="n">
        <v>3486</v>
      </c>
      <c r="F2461" t="n">
        <v>35103.95</v>
      </c>
      <c r="G2461" t="n">
        <v>29</v>
      </c>
      <c r="H2461" t="inlineStr">
        <is>
          <t>Performance</t>
        </is>
      </c>
      <c r="I2461" t="inlineStr">
        <is>
          <t>RWD</t>
        </is>
      </c>
      <c r="J2461" t="inlineStr">
        <is>
          <t>Black</t>
        </is>
      </c>
      <c r="K2461" t="n">
        <v>563</v>
      </c>
      <c r="L2461" t="n">
        <v>51</v>
      </c>
      <c r="M2461" t="n">
        <v>17.03</v>
      </c>
      <c r="N2461" t="n">
        <v>2212.46</v>
      </c>
      <c r="O2461" t="n">
        <v>4.85</v>
      </c>
      <c r="P2461" t="n">
        <v>5</v>
      </c>
      <c r="Q2461" t="n">
        <v>3</v>
      </c>
      <c r="R2461" t="n">
        <v>2020.4</v>
      </c>
      <c r="S2461" t="b">
        <v>0</v>
      </c>
      <c r="T2461" t="n">
        <v>2280689</v>
      </c>
      <c r="U2461" t="n">
        <v>4</v>
      </c>
      <c r="V2461" t="n">
        <v>0.0843</v>
      </c>
      <c r="W2461" t="n">
        <v>2.34</v>
      </c>
      <c r="X2461" t="n">
        <v>86.47</v>
      </c>
      <c r="Y2461">
        <f>VLOOKUP(D2461,$AB$2:$AC$7,2,FALSE)</f>
        <v/>
      </c>
      <c r="Z2461">
        <f>IF(A2461&lt;Y2461,"Yes","No")</f>
        <v/>
      </c>
    </row>
    <row r="2462">
      <c r="A2462" t="n">
        <v>2013</v>
      </c>
      <c r="B2462" t="inlineStr">
        <is>
          <t>Q2</t>
        </is>
      </c>
      <c r="C2462" t="inlineStr">
        <is>
          <t>Europe</t>
        </is>
      </c>
      <c r="D2462" t="inlineStr">
        <is>
          <t>Model 3</t>
        </is>
      </c>
      <c r="E2462" t="n">
        <v>1136</v>
      </c>
      <c r="F2462" t="n">
        <v>89709.66</v>
      </c>
      <c r="G2462" t="n">
        <v>58</v>
      </c>
      <c r="H2462" t="inlineStr">
        <is>
          <t>Standard</t>
        </is>
      </c>
      <c r="I2462" t="inlineStr">
        <is>
          <t>AWD</t>
        </is>
      </c>
      <c r="J2462" t="inlineStr">
        <is>
          <t>Black</t>
        </is>
      </c>
      <c r="K2462" t="n">
        <v>516</v>
      </c>
      <c r="L2462" t="n">
        <v>85</v>
      </c>
      <c r="M2462" t="n">
        <v>24.01</v>
      </c>
      <c r="N2462" t="n">
        <v>1074.1</v>
      </c>
      <c r="O2462" t="n">
        <v>3.91</v>
      </c>
      <c r="P2462" t="n">
        <v>8</v>
      </c>
      <c r="Q2462" t="n">
        <v>3</v>
      </c>
      <c r="R2462" t="n">
        <v>2022.1</v>
      </c>
      <c r="S2462" t="b">
        <v>0</v>
      </c>
      <c r="T2462" t="n">
        <v>887618</v>
      </c>
      <c r="U2462" t="n">
        <v>10</v>
      </c>
      <c r="V2462" t="n">
        <v>0.09320000000000001</v>
      </c>
      <c r="W2462" t="n">
        <v>2.48</v>
      </c>
      <c r="X2462" t="n">
        <v>83.89</v>
      </c>
      <c r="Y2462">
        <f>VLOOKUP(D2462,$AB$2:$AC$7,2,FALSE)</f>
        <v/>
      </c>
      <c r="Z2462">
        <f>IF(A2462&lt;Y2462,"Yes","No")</f>
        <v/>
      </c>
    </row>
    <row r="2463">
      <c r="A2463" t="n">
        <v>2015</v>
      </c>
      <c r="B2463" t="inlineStr">
        <is>
          <t>Q2</t>
        </is>
      </c>
      <c r="C2463" t="inlineStr">
        <is>
          <t>North America</t>
        </is>
      </c>
      <c r="D2463" t="inlineStr">
        <is>
          <t>Model S</t>
        </is>
      </c>
      <c r="E2463" t="n">
        <v>2836</v>
      </c>
      <c r="F2463" t="n">
        <v>69306.67</v>
      </c>
      <c r="G2463" t="n">
        <v>44</v>
      </c>
      <c r="H2463" t="inlineStr">
        <is>
          <t>Performance</t>
        </is>
      </c>
      <c r="I2463" t="inlineStr">
        <is>
          <t>AWD</t>
        </is>
      </c>
      <c r="J2463" t="inlineStr">
        <is>
          <t>White</t>
        </is>
      </c>
      <c r="K2463" t="n">
        <v>562</v>
      </c>
      <c r="L2463" t="n">
        <v>41</v>
      </c>
      <c r="M2463" t="n">
        <v>24.41</v>
      </c>
      <c r="N2463" t="n">
        <v>6740.57</v>
      </c>
      <c r="O2463" t="n">
        <v>4.33</v>
      </c>
      <c r="P2463" t="n">
        <v>8</v>
      </c>
      <c r="Q2463" t="n">
        <v>2</v>
      </c>
      <c r="R2463" t="n">
        <v>2021.11</v>
      </c>
      <c r="S2463" t="b">
        <v>1</v>
      </c>
      <c r="T2463" t="n">
        <v>4370267</v>
      </c>
      <c r="U2463" t="n">
        <v>6</v>
      </c>
      <c r="V2463" t="n">
        <v>0.0589</v>
      </c>
      <c r="W2463" t="n">
        <v>2.37</v>
      </c>
      <c r="X2463" t="n">
        <v>67.09999999999999</v>
      </c>
      <c r="Y2463">
        <f>VLOOKUP(D2463,$AB$2:$AC$7,2,FALSE)</f>
        <v/>
      </c>
      <c r="Z2463">
        <f>IF(A2463&lt;Y2463,"Yes","No")</f>
        <v/>
      </c>
    </row>
    <row r="2464">
      <c r="A2464" t="n">
        <v>2018</v>
      </c>
      <c r="B2464" t="inlineStr">
        <is>
          <t>Q3</t>
        </is>
      </c>
      <c r="C2464" t="inlineStr">
        <is>
          <t>South America</t>
        </is>
      </c>
      <c r="D2464" t="inlineStr">
        <is>
          <t>Model 3</t>
        </is>
      </c>
      <c r="E2464" t="n">
        <v>957</v>
      </c>
      <c r="F2464" t="n">
        <v>64292.88</v>
      </c>
      <c r="G2464" t="n">
        <v>52</v>
      </c>
      <c r="H2464" t="inlineStr">
        <is>
          <t>Performance</t>
        </is>
      </c>
      <c r="I2464" t="inlineStr">
        <is>
          <t>RWD</t>
        </is>
      </c>
      <c r="J2464" t="inlineStr">
        <is>
          <t>White</t>
        </is>
      </c>
      <c r="K2464" t="n">
        <v>536</v>
      </c>
      <c r="L2464" t="n">
        <v>90</v>
      </c>
      <c r="M2464" t="n">
        <v>19.25</v>
      </c>
      <c r="N2464" t="n">
        <v>1917.2</v>
      </c>
      <c r="O2464" t="n">
        <v>4.07</v>
      </c>
      <c r="P2464" t="n">
        <v>5</v>
      </c>
      <c r="Q2464" t="n">
        <v>1</v>
      </c>
      <c r="R2464" t="n">
        <v>2020.4</v>
      </c>
      <c r="S2464" t="b">
        <v>1</v>
      </c>
      <c r="T2464" t="n">
        <v>1450422</v>
      </c>
      <c r="U2464" t="n">
        <v>3</v>
      </c>
      <c r="V2464" t="n">
        <v>0.0491</v>
      </c>
      <c r="W2464" t="n">
        <v>2.46</v>
      </c>
      <c r="X2464" t="n">
        <v>81.39</v>
      </c>
      <c r="Y2464">
        <f>VLOOKUP(D2464,$AB$2:$AC$7,2,FALSE)</f>
        <v/>
      </c>
      <c r="Z2464">
        <f>IF(A2464&lt;Y2464,"Yes","No")</f>
        <v/>
      </c>
    </row>
    <row r="2465">
      <c r="A2465" t="n">
        <v>2020</v>
      </c>
      <c r="B2465" t="inlineStr">
        <is>
          <t>Q1</t>
        </is>
      </c>
      <c r="C2465" t="inlineStr">
        <is>
          <t>Australia</t>
        </is>
      </c>
      <c r="D2465" t="inlineStr">
        <is>
          <t>Model S</t>
        </is>
      </c>
      <c r="E2465" t="n">
        <v>833</v>
      </c>
      <c r="F2465" t="n">
        <v>78511.2</v>
      </c>
      <c r="G2465" t="n">
        <v>55</v>
      </c>
      <c r="H2465" t="inlineStr">
        <is>
          <t>Standard</t>
        </is>
      </c>
      <c r="I2465" t="inlineStr">
        <is>
          <t>RWD</t>
        </is>
      </c>
      <c r="J2465" t="inlineStr">
        <is>
          <t>White</t>
        </is>
      </c>
      <c r="K2465" t="n">
        <v>600</v>
      </c>
      <c r="L2465" t="n">
        <v>46</v>
      </c>
      <c r="M2465" t="n">
        <v>24.63</v>
      </c>
      <c r="N2465" t="n">
        <v>1788.24</v>
      </c>
      <c r="O2465" t="n">
        <v>3.63</v>
      </c>
      <c r="P2465" t="n">
        <v>5</v>
      </c>
      <c r="Q2465" t="n">
        <v>2</v>
      </c>
      <c r="R2465" t="n">
        <v>2020.3</v>
      </c>
      <c r="S2465" t="b">
        <v>1</v>
      </c>
      <c r="T2465" t="n">
        <v>4669578</v>
      </c>
      <c r="U2465" t="n">
        <v>10</v>
      </c>
      <c r="V2465" t="n">
        <v>0.0271</v>
      </c>
      <c r="W2465" t="n">
        <v>2.28</v>
      </c>
      <c r="X2465" t="n">
        <v>65.84999999999999</v>
      </c>
      <c r="Y2465">
        <f>VLOOKUP(D2465,$AB$2:$AC$7,2,FALSE)</f>
        <v/>
      </c>
      <c r="Z2465">
        <f>IF(A2465&lt;Y2465,"Yes","No")</f>
        <v/>
      </c>
    </row>
    <row r="2466">
      <c r="A2466" t="n">
        <v>2012</v>
      </c>
      <c r="B2466" t="inlineStr">
        <is>
          <t>Q1</t>
        </is>
      </c>
      <c r="C2466" t="inlineStr">
        <is>
          <t>Australia</t>
        </is>
      </c>
      <c r="D2466" t="inlineStr">
        <is>
          <t>Cybertruck</t>
        </is>
      </c>
      <c r="E2466" t="n">
        <v>642</v>
      </c>
      <c r="F2466" t="n">
        <v>85395.69</v>
      </c>
      <c r="G2466" t="n">
        <v>19</v>
      </c>
      <c r="H2466" t="inlineStr">
        <is>
          <t>Long Range</t>
        </is>
      </c>
      <c r="I2466" t="inlineStr">
        <is>
          <t>RWD</t>
        </is>
      </c>
      <c r="J2466" t="inlineStr">
        <is>
          <t>Green</t>
        </is>
      </c>
      <c r="K2466" t="n">
        <v>537</v>
      </c>
      <c r="L2466" t="n">
        <v>86</v>
      </c>
      <c r="M2466" t="n">
        <v>18.68</v>
      </c>
      <c r="N2466" t="n">
        <v>882.0700000000001</v>
      </c>
      <c r="O2466" t="n">
        <v>4.08</v>
      </c>
      <c r="P2466" t="n">
        <v>8</v>
      </c>
      <c r="Q2466" t="n">
        <v>1</v>
      </c>
      <c r="R2466" t="n">
        <v>2022.4</v>
      </c>
      <c r="S2466" t="b">
        <v>0</v>
      </c>
      <c r="T2466" t="n">
        <v>3885903</v>
      </c>
      <c r="U2466" t="n">
        <v>3</v>
      </c>
      <c r="V2466" t="n">
        <v>0.0192</v>
      </c>
      <c r="W2466" t="n">
        <v>0.75</v>
      </c>
      <c r="X2466" t="n">
        <v>64.09</v>
      </c>
      <c r="Y2466">
        <f>VLOOKUP(D2466,$AB$2:$AC$7,2,FALSE)</f>
        <v/>
      </c>
      <c r="Z2466">
        <f>IF(A2466&lt;Y2466,"Yes","No")</f>
        <v/>
      </c>
    </row>
    <row r="2467">
      <c r="A2467" t="n">
        <v>2015</v>
      </c>
      <c r="B2467" t="inlineStr">
        <is>
          <t>Q3</t>
        </is>
      </c>
      <c r="C2467" t="inlineStr">
        <is>
          <t>Asia</t>
        </is>
      </c>
      <c r="D2467" t="inlineStr">
        <is>
          <t>Semi</t>
        </is>
      </c>
      <c r="E2467" t="n">
        <v>3978</v>
      </c>
      <c r="F2467" t="n">
        <v>93816.45</v>
      </c>
      <c r="G2467" t="n">
        <v>7</v>
      </c>
      <c r="H2467" t="inlineStr">
        <is>
          <t>Performance</t>
        </is>
      </c>
      <c r="I2467" t="inlineStr">
        <is>
          <t>RWD</t>
        </is>
      </c>
      <c r="J2467" t="inlineStr">
        <is>
          <t>White</t>
        </is>
      </c>
      <c r="K2467" t="n">
        <v>544</v>
      </c>
      <c r="L2467" t="n">
        <v>52</v>
      </c>
      <c r="M2467" t="n">
        <v>24.75</v>
      </c>
      <c r="N2467" t="n">
        <v>8434.83</v>
      </c>
      <c r="O2467" t="n">
        <v>4.58</v>
      </c>
      <c r="P2467" t="n">
        <v>5</v>
      </c>
      <c r="Q2467" t="n">
        <v>1</v>
      </c>
      <c r="R2467" t="n">
        <v>2020.1</v>
      </c>
      <c r="S2467" t="b">
        <v>1</v>
      </c>
      <c r="T2467" t="n">
        <v>1651184</v>
      </c>
      <c r="U2467" t="n">
        <v>6</v>
      </c>
      <c r="V2467" t="n">
        <v>0.098</v>
      </c>
      <c r="W2467" t="n">
        <v>0.76</v>
      </c>
      <c r="X2467" t="n">
        <v>89.04000000000001</v>
      </c>
      <c r="Y2467">
        <f>VLOOKUP(D2467,$AB$2:$AC$7,2,FALSE)</f>
        <v/>
      </c>
      <c r="Z2467">
        <f>IF(A2467&lt;Y2467,"Yes","No")</f>
        <v/>
      </c>
    </row>
    <row r="2468">
      <c r="A2468" t="n">
        <v>2019</v>
      </c>
      <c r="B2468" t="inlineStr">
        <is>
          <t>Q1</t>
        </is>
      </c>
      <c r="C2468" t="inlineStr">
        <is>
          <t>Australia</t>
        </is>
      </c>
      <c r="D2468" t="inlineStr">
        <is>
          <t>Model Y</t>
        </is>
      </c>
      <c r="E2468" t="n">
        <v>2598</v>
      </c>
      <c r="F2468" t="n">
        <v>54379.3</v>
      </c>
      <c r="G2468" t="n">
        <v>13</v>
      </c>
      <c r="H2468" t="inlineStr">
        <is>
          <t>Performance</t>
        </is>
      </c>
      <c r="I2468" t="inlineStr">
        <is>
          <t>AWD</t>
        </is>
      </c>
      <c r="J2468" t="inlineStr">
        <is>
          <t>Green</t>
        </is>
      </c>
      <c r="K2468" t="n">
        <v>532</v>
      </c>
      <c r="L2468" t="n">
        <v>88</v>
      </c>
      <c r="M2468" t="n">
        <v>14.01</v>
      </c>
      <c r="N2468" t="n">
        <v>4413.18</v>
      </c>
      <c r="O2468" t="n">
        <v>4.43</v>
      </c>
      <c r="P2468" t="n">
        <v>5</v>
      </c>
      <c r="Q2468" t="n">
        <v>0</v>
      </c>
      <c r="R2468" t="n">
        <v>2020.2</v>
      </c>
      <c r="S2468" t="b">
        <v>0</v>
      </c>
      <c r="T2468" t="n">
        <v>1219756</v>
      </c>
      <c r="U2468" t="n">
        <v>11</v>
      </c>
      <c r="V2468" t="n">
        <v>0.0246</v>
      </c>
      <c r="W2468" t="n">
        <v>2</v>
      </c>
      <c r="X2468" t="n">
        <v>60.26</v>
      </c>
      <c r="Y2468">
        <f>VLOOKUP(D2468,$AB$2:$AC$7,2,FALSE)</f>
        <v/>
      </c>
      <c r="Z2468">
        <f>IF(A2468&lt;Y2468,"Yes","No")</f>
        <v/>
      </c>
    </row>
    <row r="2469">
      <c r="A2469" t="n">
        <v>2024</v>
      </c>
      <c r="B2469" t="inlineStr">
        <is>
          <t>Q2</t>
        </is>
      </c>
      <c r="C2469" t="inlineStr">
        <is>
          <t>North America</t>
        </is>
      </c>
      <c r="D2469" t="inlineStr">
        <is>
          <t>Model Y</t>
        </is>
      </c>
      <c r="E2469" t="n">
        <v>3909</v>
      </c>
      <c r="F2469" t="n">
        <v>71461.92</v>
      </c>
      <c r="G2469" t="n">
        <v>16</v>
      </c>
      <c r="H2469" t="inlineStr">
        <is>
          <t>Standard</t>
        </is>
      </c>
      <c r="I2469" t="inlineStr">
        <is>
          <t>AWD</t>
        </is>
      </c>
      <c r="J2469" t="inlineStr">
        <is>
          <t>Green</t>
        </is>
      </c>
      <c r="K2469" t="n">
        <v>409</v>
      </c>
      <c r="L2469" t="n">
        <v>76</v>
      </c>
      <c r="M2469" t="n">
        <v>22.28</v>
      </c>
      <c r="N2469" t="n">
        <v>5853.05</v>
      </c>
      <c r="O2469" t="n">
        <v>4.64</v>
      </c>
      <c r="P2469" t="n">
        <v>5</v>
      </c>
      <c r="Q2469" t="n">
        <v>0</v>
      </c>
      <c r="R2469" t="n">
        <v>2020.2</v>
      </c>
      <c r="S2469" t="b">
        <v>1</v>
      </c>
      <c r="T2469" t="n">
        <v>1062403</v>
      </c>
      <c r="U2469" t="n">
        <v>2</v>
      </c>
      <c r="V2469" t="n">
        <v>0.096</v>
      </c>
      <c r="W2469" t="n">
        <v>2.03</v>
      </c>
      <c r="X2469" t="n">
        <v>71.77</v>
      </c>
      <c r="Y2469">
        <f>VLOOKUP(D2469,$AB$2:$AC$7,2,FALSE)</f>
        <v/>
      </c>
      <c r="Z2469">
        <f>IF(A2469&lt;Y2469,"Yes","No")</f>
        <v/>
      </c>
    </row>
    <row r="2470">
      <c r="A2470" t="n">
        <v>2012</v>
      </c>
      <c r="B2470" t="inlineStr">
        <is>
          <t>Q3</t>
        </is>
      </c>
      <c r="C2470" t="inlineStr">
        <is>
          <t>Europe</t>
        </is>
      </c>
      <c r="D2470" t="inlineStr">
        <is>
          <t>Semi</t>
        </is>
      </c>
      <c r="E2470" t="n">
        <v>433</v>
      </c>
      <c r="F2470" t="n">
        <v>61463.89</v>
      </c>
      <c r="G2470" t="n">
        <v>21</v>
      </c>
      <c r="H2470" t="inlineStr">
        <is>
          <t>Long Range</t>
        </is>
      </c>
      <c r="I2470" t="inlineStr">
        <is>
          <t>RWD</t>
        </is>
      </c>
      <c r="J2470" t="inlineStr">
        <is>
          <t>Silver</t>
        </is>
      </c>
      <c r="K2470" t="n">
        <v>555</v>
      </c>
      <c r="L2470" t="n">
        <v>75</v>
      </c>
      <c r="M2470" t="n">
        <v>17.16</v>
      </c>
      <c r="N2470" t="n">
        <v>234.57</v>
      </c>
      <c r="O2470" t="n">
        <v>4.32</v>
      </c>
      <c r="P2470" t="n">
        <v>6</v>
      </c>
      <c r="Q2470" t="n">
        <v>1</v>
      </c>
      <c r="R2470" t="n">
        <v>2023.11</v>
      </c>
      <c r="S2470" t="b">
        <v>1</v>
      </c>
      <c r="T2470" t="n">
        <v>1236291</v>
      </c>
      <c r="U2470" t="n">
        <v>9</v>
      </c>
      <c r="V2470" t="n">
        <v>0.0795</v>
      </c>
      <c r="W2470" t="n">
        <v>2.06</v>
      </c>
      <c r="X2470" t="n">
        <v>66.90000000000001</v>
      </c>
      <c r="Y2470">
        <f>VLOOKUP(D2470,$AB$2:$AC$7,2,FALSE)</f>
        <v/>
      </c>
      <c r="Z2470">
        <f>IF(A2470&lt;Y2470,"Yes","No")</f>
        <v/>
      </c>
    </row>
    <row r="2471">
      <c r="A2471" t="n">
        <v>2021</v>
      </c>
      <c r="B2471" t="inlineStr">
        <is>
          <t>Q2</t>
        </is>
      </c>
      <c r="C2471" t="inlineStr">
        <is>
          <t>South America</t>
        </is>
      </c>
      <c r="D2471" t="inlineStr">
        <is>
          <t>Model S</t>
        </is>
      </c>
      <c r="E2471" t="n">
        <v>1414</v>
      </c>
      <c r="F2471" t="n">
        <v>63945.48</v>
      </c>
      <c r="G2471" t="n">
        <v>13</v>
      </c>
      <c r="H2471" t="inlineStr">
        <is>
          <t>Standard</t>
        </is>
      </c>
      <c r="I2471" t="inlineStr">
        <is>
          <t>RWD</t>
        </is>
      </c>
      <c r="J2471" t="inlineStr">
        <is>
          <t>White</t>
        </is>
      </c>
      <c r="K2471" t="n">
        <v>620</v>
      </c>
      <c r="L2471" t="n">
        <v>64</v>
      </c>
      <c r="M2471" t="n">
        <v>19.53</v>
      </c>
      <c r="N2471" t="n">
        <v>3333.43</v>
      </c>
      <c r="O2471" t="n">
        <v>4.24</v>
      </c>
      <c r="P2471" t="n">
        <v>8</v>
      </c>
      <c r="Q2471" t="n">
        <v>3</v>
      </c>
      <c r="R2471" t="n">
        <v>2022.8</v>
      </c>
      <c r="S2471" t="b">
        <v>0</v>
      </c>
      <c r="T2471" t="n">
        <v>3446297</v>
      </c>
      <c r="U2471" t="n">
        <v>7</v>
      </c>
      <c r="V2471" t="n">
        <v>0.0381</v>
      </c>
      <c r="W2471" t="n">
        <v>1.64</v>
      </c>
      <c r="X2471" t="n">
        <v>88.88</v>
      </c>
      <c r="Y2471">
        <f>VLOOKUP(D2471,$AB$2:$AC$7,2,FALSE)</f>
        <v/>
      </c>
      <c r="Z2471">
        <f>IF(A2471&lt;Y2471,"Yes","No")</f>
        <v/>
      </c>
    </row>
    <row r="2472">
      <c r="A2472" t="n">
        <v>2014</v>
      </c>
      <c r="B2472" t="inlineStr">
        <is>
          <t>Q1</t>
        </is>
      </c>
      <c r="C2472" t="inlineStr">
        <is>
          <t>Asia</t>
        </is>
      </c>
      <c r="D2472" t="inlineStr">
        <is>
          <t>Model Y</t>
        </is>
      </c>
      <c r="E2472" t="n">
        <v>1983</v>
      </c>
      <c r="F2472" t="n">
        <v>99818.05</v>
      </c>
      <c r="G2472" t="n">
        <v>10</v>
      </c>
      <c r="H2472" t="inlineStr">
        <is>
          <t>Performance</t>
        </is>
      </c>
      <c r="I2472" t="inlineStr">
        <is>
          <t>RWD</t>
        </is>
      </c>
      <c r="J2472" t="inlineStr">
        <is>
          <t>White</t>
        </is>
      </c>
      <c r="K2472" t="n">
        <v>700</v>
      </c>
      <c r="L2472" t="n">
        <v>45</v>
      </c>
      <c r="M2472" t="n">
        <v>16.11</v>
      </c>
      <c r="N2472" t="n">
        <v>2029.15</v>
      </c>
      <c r="O2472" t="n">
        <v>4.56</v>
      </c>
      <c r="P2472" t="n">
        <v>4</v>
      </c>
      <c r="Q2472" t="n">
        <v>0</v>
      </c>
      <c r="R2472" t="n">
        <v>2023.1</v>
      </c>
      <c r="S2472" t="b">
        <v>0</v>
      </c>
      <c r="T2472" t="n">
        <v>4004822</v>
      </c>
      <c r="U2472" t="n">
        <v>10</v>
      </c>
      <c r="V2472" t="n">
        <v>0.0713</v>
      </c>
      <c r="W2472" t="n">
        <v>0.74</v>
      </c>
      <c r="X2472" t="n">
        <v>64.73999999999999</v>
      </c>
      <c r="Y2472">
        <f>VLOOKUP(D2472,$AB$2:$AC$7,2,FALSE)</f>
        <v/>
      </c>
      <c r="Z2472">
        <f>IF(A2472&lt;Y2472,"Yes","No")</f>
        <v/>
      </c>
    </row>
    <row r="2473">
      <c r="A2473" t="n">
        <v>2014</v>
      </c>
      <c r="B2473" t="inlineStr">
        <is>
          <t>Q2</t>
        </is>
      </c>
      <c r="C2473" t="inlineStr">
        <is>
          <t>Asia</t>
        </is>
      </c>
      <c r="D2473" t="inlineStr">
        <is>
          <t>Semi</t>
        </is>
      </c>
      <c r="E2473" t="n">
        <v>2270</v>
      </c>
      <c r="F2473" t="n">
        <v>88920.10000000001</v>
      </c>
      <c r="G2473" t="n">
        <v>51</v>
      </c>
      <c r="H2473" t="inlineStr">
        <is>
          <t>Long Range</t>
        </is>
      </c>
      <c r="I2473" t="inlineStr">
        <is>
          <t>RWD</t>
        </is>
      </c>
      <c r="J2473" t="inlineStr">
        <is>
          <t>Blue</t>
        </is>
      </c>
      <c r="K2473" t="n">
        <v>691</v>
      </c>
      <c r="L2473" t="n">
        <v>80</v>
      </c>
      <c r="M2473" t="n">
        <v>16.62</v>
      </c>
      <c r="N2473" t="n">
        <v>2514.1</v>
      </c>
      <c r="O2473" t="n">
        <v>4.03</v>
      </c>
      <c r="P2473" t="n">
        <v>8</v>
      </c>
      <c r="Q2473" t="n">
        <v>2</v>
      </c>
      <c r="R2473" t="n">
        <v>2022.6</v>
      </c>
      <c r="S2473" t="b">
        <v>1</v>
      </c>
      <c r="T2473" t="n">
        <v>2301807</v>
      </c>
      <c r="U2473" t="n">
        <v>4</v>
      </c>
      <c r="V2473" t="n">
        <v>0.0206</v>
      </c>
      <c r="W2473" t="n">
        <v>1.24</v>
      </c>
      <c r="X2473" t="n">
        <v>64.20999999999999</v>
      </c>
      <c r="Y2473">
        <f>VLOOKUP(D2473,$AB$2:$AC$7,2,FALSE)</f>
        <v/>
      </c>
      <c r="Z2473">
        <f>IF(A2473&lt;Y2473,"Yes","No")</f>
        <v/>
      </c>
    </row>
    <row r="2474">
      <c r="A2474" t="n">
        <v>2023</v>
      </c>
      <c r="B2474" t="inlineStr">
        <is>
          <t>Q1</t>
        </is>
      </c>
      <c r="C2474" t="inlineStr">
        <is>
          <t>Asia</t>
        </is>
      </c>
      <c r="D2474" t="inlineStr">
        <is>
          <t>Model 3</t>
        </is>
      </c>
      <c r="E2474" t="n">
        <v>3158</v>
      </c>
      <c r="F2474" t="n">
        <v>96021.53999999999</v>
      </c>
      <c r="G2474" t="n">
        <v>30</v>
      </c>
      <c r="H2474" t="inlineStr">
        <is>
          <t>Standard</t>
        </is>
      </c>
      <c r="I2474" t="inlineStr">
        <is>
          <t>AWD</t>
        </is>
      </c>
      <c r="J2474" t="inlineStr">
        <is>
          <t>Black</t>
        </is>
      </c>
      <c r="K2474" t="n">
        <v>646</v>
      </c>
      <c r="L2474" t="n">
        <v>35</v>
      </c>
      <c r="M2474" t="n">
        <v>16.24</v>
      </c>
      <c r="N2474" t="n">
        <v>7285.7</v>
      </c>
      <c r="O2474" t="n">
        <v>3.69</v>
      </c>
      <c r="P2474" t="n">
        <v>8</v>
      </c>
      <c r="Q2474" t="n">
        <v>2</v>
      </c>
      <c r="R2474" t="n">
        <v>2023.2</v>
      </c>
      <c r="S2474" t="b">
        <v>1</v>
      </c>
      <c r="T2474" t="n">
        <v>1874708</v>
      </c>
      <c r="U2474" t="n">
        <v>11</v>
      </c>
      <c r="V2474" t="n">
        <v>0.0416</v>
      </c>
      <c r="W2474" t="n">
        <v>1.03</v>
      </c>
      <c r="X2474" t="n">
        <v>82.19</v>
      </c>
      <c r="Y2474">
        <f>VLOOKUP(D2474,$AB$2:$AC$7,2,FALSE)</f>
        <v/>
      </c>
      <c r="Z2474">
        <f>IF(A2474&lt;Y2474,"Yes","No")</f>
        <v/>
      </c>
    </row>
    <row r="2475">
      <c r="A2475" t="n">
        <v>2022</v>
      </c>
      <c r="B2475" t="inlineStr">
        <is>
          <t>Q2</t>
        </is>
      </c>
      <c r="C2475" t="inlineStr">
        <is>
          <t>Asia</t>
        </is>
      </c>
      <c r="D2475" t="inlineStr">
        <is>
          <t>Semi</t>
        </is>
      </c>
      <c r="E2475" t="n">
        <v>4728</v>
      </c>
      <c r="F2475" t="n">
        <v>101153.71</v>
      </c>
      <c r="G2475" t="n">
        <v>53</v>
      </c>
      <c r="H2475" t="inlineStr">
        <is>
          <t>Standard</t>
        </is>
      </c>
      <c r="I2475" t="inlineStr">
        <is>
          <t>RWD</t>
        </is>
      </c>
      <c r="J2475" t="inlineStr">
        <is>
          <t>Black</t>
        </is>
      </c>
      <c r="K2475" t="n">
        <v>355</v>
      </c>
      <c r="L2475" t="n">
        <v>82</v>
      </c>
      <c r="M2475" t="n">
        <v>17.96</v>
      </c>
      <c r="N2475" t="n">
        <v>6795.05</v>
      </c>
      <c r="O2475" t="n">
        <v>4.46</v>
      </c>
      <c r="P2475" t="n">
        <v>5</v>
      </c>
      <c r="Q2475" t="n">
        <v>0</v>
      </c>
      <c r="R2475" t="n">
        <v>2024.11</v>
      </c>
      <c r="S2475" t="b">
        <v>0</v>
      </c>
      <c r="T2475" t="n">
        <v>4811353</v>
      </c>
      <c r="U2475" t="n">
        <v>2</v>
      </c>
      <c r="V2475" t="n">
        <v>0.0317</v>
      </c>
      <c r="W2475" t="n">
        <v>1.72</v>
      </c>
      <c r="X2475" t="n">
        <v>81.73999999999999</v>
      </c>
      <c r="Y2475">
        <f>VLOOKUP(D2475,$AB$2:$AC$7,2,FALSE)</f>
        <v/>
      </c>
      <c r="Z2475">
        <f>IF(A2475&lt;Y2475,"Yes","No")</f>
        <v/>
      </c>
    </row>
    <row r="2476">
      <c r="A2476" t="n">
        <v>2016</v>
      </c>
      <c r="B2476" t="inlineStr">
        <is>
          <t>Q4</t>
        </is>
      </c>
      <c r="C2476" t="inlineStr">
        <is>
          <t>South America</t>
        </is>
      </c>
      <c r="D2476" t="inlineStr">
        <is>
          <t>Model Y</t>
        </is>
      </c>
      <c r="E2476" t="n">
        <v>1368</v>
      </c>
      <c r="F2476" t="n">
        <v>39323.79</v>
      </c>
      <c r="G2476" t="n">
        <v>30</v>
      </c>
      <c r="H2476" t="inlineStr">
        <is>
          <t>Long Range</t>
        </is>
      </c>
      <c r="I2476" t="inlineStr">
        <is>
          <t>AWD</t>
        </is>
      </c>
      <c r="J2476" t="inlineStr">
        <is>
          <t>Silver</t>
        </is>
      </c>
      <c r="K2476" t="n">
        <v>409</v>
      </c>
      <c r="L2476" t="n">
        <v>82</v>
      </c>
      <c r="M2476" t="n">
        <v>20.19</v>
      </c>
      <c r="N2476" t="n">
        <v>2765.45</v>
      </c>
      <c r="O2476" t="n">
        <v>4.67</v>
      </c>
      <c r="P2476" t="n">
        <v>5</v>
      </c>
      <c r="Q2476" t="n">
        <v>1</v>
      </c>
      <c r="R2476" t="n">
        <v>2024.11</v>
      </c>
      <c r="S2476" t="b">
        <v>1</v>
      </c>
      <c r="T2476" t="n">
        <v>4378902</v>
      </c>
      <c r="U2476" t="n">
        <v>5</v>
      </c>
      <c r="V2476" t="n">
        <v>0.0895</v>
      </c>
      <c r="W2476" t="n">
        <v>1.95</v>
      </c>
      <c r="X2476" t="n">
        <v>60.39</v>
      </c>
      <c r="Y2476">
        <f>VLOOKUP(D2476,$AB$2:$AC$7,2,FALSE)</f>
        <v/>
      </c>
      <c r="Z2476">
        <f>IF(A2476&lt;Y2476,"Yes","No")</f>
        <v/>
      </c>
    </row>
    <row r="2477">
      <c r="A2477" t="n">
        <v>2015</v>
      </c>
      <c r="B2477" t="inlineStr">
        <is>
          <t>Q3</t>
        </is>
      </c>
      <c r="C2477" t="inlineStr">
        <is>
          <t>South America</t>
        </is>
      </c>
      <c r="D2477" t="inlineStr">
        <is>
          <t>Semi</t>
        </is>
      </c>
      <c r="E2477" t="n">
        <v>2686</v>
      </c>
      <c r="F2477" t="n">
        <v>63876.67</v>
      </c>
      <c r="G2477" t="n">
        <v>23</v>
      </c>
      <c r="H2477" t="inlineStr">
        <is>
          <t>Standard</t>
        </is>
      </c>
      <c r="I2477" t="inlineStr">
        <is>
          <t>RWD</t>
        </is>
      </c>
      <c r="J2477" t="inlineStr">
        <is>
          <t>Silver</t>
        </is>
      </c>
      <c r="K2477" t="n">
        <v>410</v>
      </c>
      <c r="L2477" t="n">
        <v>52</v>
      </c>
      <c r="M2477" t="n">
        <v>14.13</v>
      </c>
      <c r="N2477" t="n">
        <v>1808.46</v>
      </c>
      <c r="O2477" t="n">
        <v>4.12</v>
      </c>
      <c r="P2477" t="n">
        <v>8</v>
      </c>
      <c r="Q2477" t="n">
        <v>2</v>
      </c>
      <c r="R2477" t="n">
        <v>2023.11</v>
      </c>
      <c r="S2477" t="b">
        <v>0</v>
      </c>
      <c r="T2477" t="n">
        <v>1450900</v>
      </c>
      <c r="U2477" t="n">
        <v>3</v>
      </c>
      <c r="V2477" t="n">
        <v>0.0523</v>
      </c>
      <c r="W2477" t="n">
        <v>2.38</v>
      </c>
      <c r="X2477" t="n">
        <v>82.61</v>
      </c>
      <c r="Y2477">
        <f>VLOOKUP(D2477,$AB$2:$AC$7,2,FALSE)</f>
        <v/>
      </c>
      <c r="Z2477">
        <f>IF(A2477&lt;Y2477,"Yes","No")</f>
        <v/>
      </c>
    </row>
    <row r="2478">
      <c r="A2478" t="n">
        <v>2014</v>
      </c>
      <c r="B2478" t="inlineStr">
        <is>
          <t>Q4</t>
        </is>
      </c>
      <c r="C2478" t="inlineStr">
        <is>
          <t>Europe</t>
        </is>
      </c>
      <c r="D2478" t="inlineStr">
        <is>
          <t>Model X</t>
        </is>
      </c>
      <c r="E2478" t="n">
        <v>1934</v>
      </c>
      <c r="F2478" t="n">
        <v>104531.83</v>
      </c>
      <c r="G2478" t="n">
        <v>53</v>
      </c>
      <c r="H2478" t="inlineStr">
        <is>
          <t>Standard</t>
        </is>
      </c>
      <c r="I2478" t="inlineStr">
        <is>
          <t>RWD</t>
        </is>
      </c>
      <c r="J2478" t="inlineStr">
        <is>
          <t>White</t>
        </is>
      </c>
      <c r="K2478" t="n">
        <v>535</v>
      </c>
      <c r="L2478" t="n">
        <v>56</v>
      </c>
      <c r="M2478" t="n">
        <v>23.42</v>
      </c>
      <c r="N2478" t="n">
        <v>4782.24</v>
      </c>
      <c r="O2478" t="n">
        <v>3.62</v>
      </c>
      <c r="P2478" t="n">
        <v>6</v>
      </c>
      <c r="Q2478" t="n">
        <v>3</v>
      </c>
      <c r="R2478" t="n">
        <v>2022.4</v>
      </c>
      <c r="S2478" t="b">
        <v>1</v>
      </c>
      <c r="T2478" t="n">
        <v>684598</v>
      </c>
      <c r="U2478" t="n">
        <v>6</v>
      </c>
      <c r="V2478" t="n">
        <v>0.0334</v>
      </c>
      <c r="W2478" t="n">
        <v>2</v>
      </c>
      <c r="X2478" t="n">
        <v>67.31999999999999</v>
      </c>
      <c r="Y2478">
        <f>VLOOKUP(D2478,$AB$2:$AC$7,2,FALSE)</f>
        <v/>
      </c>
      <c r="Z2478">
        <f>IF(A2478&lt;Y2478,"Yes","No")</f>
        <v/>
      </c>
    </row>
    <row r="2479">
      <c r="A2479" t="n">
        <v>2016</v>
      </c>
      <c r="B2479" t="inlineStr">
        <is>
          <t>Q3</t>
        </is>
      </c>
      <c r="C2479" t="inlineStr">
        <is>
          <t>Asia</t>
        </is>
      </c>
      <c r="D2479" t="inlineStr">
        <is>
          <t>Model X</t>
        </is>
      </c>
      <c r="E2479" t="n">
        <v>2783</v>
      </c>
      <c r="F2479" t="n">
        <v>102975.71</v>
      </c>
      <c r="G2479" t="n">
        <v>5</v>
      </c>
      <c r="H2479" t="inlineStr">
        <is>
          <t>Standard</t>
        </is>
      </c>
      <c r="I2479" t="inlineStr">
        <is>
          <t>AWD</t>
        </is>
      </c>
      <c r="J2479" t="inlineStr">
        <is>
          <t>Black</t>
        </is>
      </c>
      <c r="K2479" t="n">
        <v>387</v>
      </c>
      <c r="L2479" t="n">
        <v>88</v>
      </c>
      <c r="M2479" t="n">
        <v>20.4</v>
      </c>
      <c r="N2479" t="n">
        <v>5213.89</v>
      </c>
      <c r="O2479" t="n">
        <v>4.28</v>
      </c>
      <c r="P2479" t="n">
        <v>6</v>
      </c>
      <c r="Q2479" t="n">
        <v>0</v>
      </c>
      <c r="R2479" t="n">
        <v>2021.2</v>
      </c>
      <c r="S2479" t="b">
        <v>1</v>
      </c>
      <c r="T2479" t="n">
        <v>550198</v>
      </c>
      <c r="U2479" t="n">
        <v>7</v>
      </c>
      <c r="V2479" t="n">
        <v>0.0888</v>
      </c>
      <c r="W2479" t="n">
        <v>0.99</v>
      </c>
      <c r="X2479" t="n">
        <v>76.61</v>
      </c>
      <c r="Y2479">
        <f>VLOOKUP(D2479,$AB$2:$AC$7,2,FALSE)</f>
        <v/>
      </c>
      <c r="Z2479">
        <f>IF(A2479&lt;Y2479,"Yes","No")</f>
        <v/>
      </c>
    </row>
    <row r="2480">
      <c r="A2480" t="n">
        <v>2020</v>
      </c>
      <c r="B2480" t="inlineStr">
        <is>
          <t>Q2</t>
        </is>
      </c>
      <c r="C2480" t="inlineStr">
        <is>
          <t>North America</t>
        </is>
      </c>
      <c r="D2480" t="inlineStr">
        <is>
          <t>Cybertruck</t>
        </is>
      </c>
      <c r="E2480" t="n">
        <v>1295</v>
      </c>
      <c r="F2480" t="n">
        <v>90566.44</v>
      </c>
      <c r="G2480" t="n">
        <v>11</v>
      </c>
      <c r="H2480" t="inlineStr">
        <is>
          <t>Standard</t>
        </is>
      </c>
      <c r="I2480" t="inlineStr">
        <is>
          <t>AWD</t>
        </is>
      </c>
      <c r="J2480" t="inlineStr">
        <is>
          <t>Black</t>
        </is>
      </c>
      <c r="K2480" t="n">
        <v>508</v>
      </c>
      <c r="L2480" t="n">
        <v>86</v>
      </c>
      <c r="M2480" t="n">
        <v>13.83</v>
      </c>
      <c r="N2480" t="n">
        <v>1942</v>
      </c>
      <c r="O2480" t="n">
        <v>4.11</v>
      </c>
      <c r="P2480" t="n">
        <v>8</v>
      </c>
      <c r="Q2480" t="n">
        <v>0</v>
      </c>
      <c r="R2480" t="n">
        <v>2023.9</v>
      </c>
      <c r="S2480" t="b">
        <v>1</v>
      </c>
      <c r="T2480" t="n">
        <v>4692645</v>
      </c>
      <c r="U2480" t="n">
        <v>4</v>
      </c>
      <c r="V2480" t="n">
        <v>0.0597</v>
      </c>
      <c r="W2480" t="n">
        <v>1.26</v>
      </c>
      <c r="X2480" t="n">
        <v>72.26000000000001</v>
      </c>
      <c r="Y2480">
        <f>VLOOKUP(D2480,$AB$2:$AC$7,2,FALSE)</f>
        <v/>
      </c>
      <c r="Z2480">
        <f>IF(A2480&lt;Y2480,"Yes","No")</f>
        <v/>
      </c>
    </row>
    <row r="2481">
      <c r="A2481" t="n">
        <v>2016</v>
      </c>
      <c r="B2481" t="inlineStr">
        <is>
          <t>Q1</t>
        </is>
      </c>
      <c r="C2481" t="inlineStr">
        <is>
          <t>North America</t>
        </is>
      </c>
      <c r="D2481" t="inlineStr">
        <is>
          <t>Semi</t>
        </is>
      </c>
      <c r="E2481" t="n">
        <v>108</v>
      </c>
      <c r="F2481" t="n">
        <v>85858.62</v>
      </c>
      <c r="G2481" t="n">
        <v>42</v>
      </c>
      <c r="H2481" t="inlineStr">
        <is>
          <t>Long Range</t>
        </is>
      </c>
      <c r="I2481" t="inlineStr">
        <is>
          <t>RWD</t>
        </is>
      </c>
      <c r="J2481" t="inlineStr">
        <is>
          <t>Black</t>
        </is>
      </c>
      <c r="K2481" t="n">
        <v>517</v>
      </c>
      <c r="L2481" t="n">
        <v>74</v>
      </c>
      <c r="M2481" t="n">
        <v>23.23</v>
      </c>
      <c r="N2481" t="n">
        <v>179.35</v>
      </c>
      <c r="O2481" t="n">
        <v>4.11</v>
      </c>
      <c r="P2481" t="n">
        <v>6</v>
      </c>
      <c r="Q2481" t="n">
        <v>2</v>
      </c>
      <c r="R2481" t="n">
        <v>2024.1</v>
      </c>
      <c r="S2481" t="b">
        <v>1</v>
      </c>
      <c r="T2481" t="n">
        <v>1283803</v>
      </c>
      <c r="U2481" t="n">
        <v>3</v>
      </c>
      <c r="V2481" t="n">
        <v>0.0296</v>
      </c>
      <c r="W2481" t="n">
        <v>1.16</v>
      </c>
      <c r="X2481" t="n">
        <v>65.67</v>
      </c>
      <c r="Y2481">
        <f>VLOOKUP(D2481,$AB$2:$AC$7,2,FALSE)</f>
        <v/>
      </c>
      <c r="Z2481">
        <f>IF(A2481&lt;Y2481,"Yes","No")</f>
        <v/>
      </c>
    </row>
    <row r="2482">
      <c r="A2482" t="n">
        <v>2013</v>
      </c>
      <c r="B2482" t="inlineStr">
        <is>
          <t>Q2</t>
        </is>
      </c>
      <c r="C2482" t="inlineStr">
        <is>
          <t>Asia</t>
        </is>
      </c>
      <c r="D2482" t="inlineStr">
        <is>
          <t>Model 3</t>
        </is>
      </c>
      <c r="E2482" t="n">
        <v>2118</v>
      </c>
      <c r="F2482" t="n">
        <v>93188.55</v>
      </c>
      <c r="G2482" t="n">
        <v>12</v>
      </c>
      <c r="H2482" t="inlineStr">
        <is>
          <t>Long Range</t>
        </is>
      </c>
      <c r="I2482" t="inlineStr">
        <is>
          <t>RWD</t>
        </is>
      </c>
      <c r="J2482" t="inlineStr">
        <is>
          <t>Blue</t>
        </is>
      </c>
      <c r="K2482" t="n">
        <v>569</v>
      </c>
      <c r="L2482" t="n">
        <v>67</v>
      </c>
      <c r="M2482" t="n">
        <v>15.67</v>
      </c>
      <c r="N2482" t="n">
        <v>1319.66</v>
      </c>
      <c r="O2482" t="n">
        <v>4.21</v>
      </c>
      <c r="P2482" t="n">
        <v>6</v>
      </c>
      <c r="Q2482" t="n">
        <v>3</v>
      </c>
      <c r="R2482" t="n">
        <v>2022.5</v>
      </c>
      <c r="S2482" t="b">
        <v>1</v>
      </c>
      <c r="T2482" t="n">
        <v>1866054</v>
      </c>
      <c r="U2482" t="n">
        <v>12</v>
      </c>
      <c r="V2482" t="n">
        <v>0.0178</v>
      </c>
      <c r="W2482" t="n">
        <v>1.53</v>
      </c>
      <c r="X2482" t="n">
        <v>65.5</v>
      </c>
      <c r="Y2482">
        <f>VLOOKUP(D2482,$AB$2:$AC$7,2,FALSE)</f>
        <v/>
      </c>
      <c r="Z2482">
        <f>IF(A2482&lt;Y2482,"Yes","No")</f>
        <v/>
      </c>
    </row>
    <row r="2483">
      <c r="A2483" t="n">
        <v>2013</v>
      </c>
      <c r="B2483" t="inlineStr">
        <is>
          <t>Q3</t>
        </is>
      </c>
      <c r="C2483" t="inlineStr">
        <is>
          <t>Asia</t>
        </is>
      </c>
      <c r="D2483" t="inlineStr">
        <is>
          <t>Semi</t>
        </is>
      </c>
      <c r="E2483" t="n">
        <v>4095</v>
      </c>
      <c r="F2483" t="n">
        <v>50346.12</v>
      </c>
      <c r="G2483" t="n">
        <v>56</v>
      </c>
      <c r="H2483" t="inlineStr">
        <is>
          <t>Long Range</t>
        </is>
      </c>
      <c r="I2483" t="inlineStr">
        <is>
          <t>RWD</t>
        </is>
      </c>
      <c r="J2483" t="inlineStr">
        <is>
          <t>White</t>
        </is>
      </c>
      <c r="K2483" t="n">
        <v>466</v>
      </c>
      <c r="L2483" t="n">
        <v>40</v>
      </c>
      <c r="M2483" t="n">
        <v>14.21</v>
      </c>
      <c r="N2483" t="n">
        <v>8685.24</v>
      </c>
      <c r="O2483" t="n">
        <v>4.91</v>
      </c>
      <c r="P2483" t="n">
        <v>6</v>
      </c>
      <c r="Q2483" t="n">
        <v>2</v>
      </c>
      <c r="R2483" t="n">
        <v>2022.1</v>
      </c>
      <c r="S2483" t="b">
        <v>1</v>
      </c>
      <c r="T2483" t="n">
        <v>3350663</v>
      </c>
      <c r="U2483" t="n">
        <v>11</v>
      </c>
      <c r="V2483" t="n">
        <v>0.0357</v>
      </c>
      <c r="W2483" t="n">
        <v>1.23</v>
      </c>
      <c r="X2483" t="n">
        <v>70.58</v>
      </c>
      <c r="Y2483">
        <f>VLOOKUP(D2483,$AB$2:$AC$7,2,FALSE)</f>
        <v/>
      </c>
      <c r="Z2483">
        <f>IF(A2483&lt;Y2483,"Yes","No")</f>
        <v/>
      </c>
    </row>
    <row r="2484">
      <c r="A2484" t="n">
        <v>2020</v>
      </c>
      <c r="B2484" t="inlineStr">
        <is>
          <t>Q2</t>
        </is>
      </c>
      <c r="C2484" t="inlineStr">
        <is>
          <t>Australia</t>
        </is>
      </c>
      <c r="D2484" t="inlineStr">
        <is>
          <t>Model S</t>
        </is>
      </c>
      <c r="E2484" t="n">
        <v>3839</v>
      </c>
      <c r="F2484" t="n">
        <v>48513.19</v>
      </c>
      <c r="G2484" t="n">
        <v>35</v>
      </c>
      <c r="H2484" t="inlineStr">
        <is>
          <t>Performance</t>
        </is>
      </c>
      <c r="I2484" t="inlineStr">
        <is>
          <t>RWD</t>
        </is>
      </c>
      <c r="J2484" t="inlineStr">
        <is>
          <t>Silver</t>
        </is>
      </c>
      <c r="K2484" t="n">
        <v>645</v>
      </c>
      <c r="L2484" t="n">
        <v>42</v>
      </c>
      <c r="M2484" t="n">
        <v>24.53</v>
      </c>
      <c r="N2484" t="n">
        <v>6372.51</v>
      </c>
      <c r="O2484" t="n">
        <v>4.69</v>
      </c>
      <c r="P2484" t="n">
        <v>8</v>
      </c>
      <c r="Q2484" t="n">
        <v>3</v>
      </c>
      <c r="R2484" t="n">
        <v>2024.1</v>
      </c>
      <c r="S2484" t="b">
        <v>1</v>
      </c>
      <c r="T2484" t="n">
        <v>921724</v>
      </c>
      <c r="U2484" t="n">
        <v>2</v>
      </c>
      <c r="V2484" t="n">
        <v>0.046</v>
      </c>
      <c r="W2484" t="n">
        <v>1.86</v>
      </c>
      <c r="X2484" t="n">
        <v>88.22</v>
      </c>
      <c r="Y2484">
        <f>VLOOKUP(D2484,$AB$2:$AC$7,2,FALSE)</f>
        <v/>
      </c>
      <c r="Z2484">
        <f>IF(A2484&lt;Y2484,"Yes","No")</f>
        <v/>
      </c>
    </row>
    <row r="2485">
      <c r="A2485" t="n">
        <v>2023</v>
      </c>
      <c r="B2485" t="inlineStr">
        <is>
          <t>Q2</t>
        </is>
      </c>
      <c r="C2485" t="inlineStr">
        <is>
          <t>South America</t>
        </is>
      </c>
      <c r="D2485" t="inlineStr">
        <is>
          <t>Model X</t>
        </is>
      </c>
      <c r="E2485" t="n">
        <v>2385</v>
      </c>
      <c r="F2485" t="n">
        <v>116179.41</v>
      </c>
      <c r="G2485" t="n">
        <v>46</v>
      </c>
      <c r="H2485" t="inlineStr">
        <is>
          <t>Standard</t>
        </is>
      </c>
      <c r="I2485" t="inlineStr">
        <is>
          <t>AWD</t>
        </is>
      </c>
      <c r="J2485" t="inlineStr">
        <is>
          <t>White</t>
        </is>
      </c>
      <c r="K2485" t="n">
        <v>439</v>
      </c>
      <c r="L2485" t="n">
        <v>72</v>
      </c>
      <c r="M2485" t="n">
        <v>15.54</v>
      </c>
      <c r="N2485" t="n">
        <v>5942.52</v>
      </c>
      <c r="O2485" t="n">
        <v>3.65</v>
      </c>
      <c r="P2485" t="n">
        <v>6</v>
      </c>
      <c r="Q2485" t="n">
        <v>0</v>
      </c>
      <c r="R2485" t="n">
        <v>2023.4</v>
      </c>
      <c r="S2485" t="b">
        <v>0</v>
      </c>
      <c r="T2485" t="n">
        <v>249832</v>
      </c>
      <c r="U2485" t="n">
        <v>9</v>
      </c>
      <c r="V2485" t="n">
        <v>0.0674</v>
      </c>
      <c r="W2485" t="n">
        <v>1.49</v>
      </c>
      <c r="X2485" t="n">
        <v>67.81999999999999</v>
      </c>
      <c r="Y2485">
        <f>VLOOKUP(D2485,$AB$2:$AC$7,2,FALSE)</f>
        <v/>
      </c>
      <c r="Z2485">
        <f>IF(A2485&lt;Y2485,"Yes","No")</f>
        <v/>
      </c>
    </row>
    <row r="2486">
      <c r="A2486" t="n">
        <v>2014</v>
      </c>
      <c r="B2486" t="inlineStr">
        <is>
          <t>Q1</t>
        </is>
      </c>
      <c r="C2486" t="inlineStr">
        <is>
          <t>North America</t>
        </is>
      </c>
      <c r="D2486" t="inlineStr">
        <is>
          <t>Semi</t>
        </is>
      </c>
      <c r="E2486" t="n">
        <v>2913</v>
      </c>
      <c r="F2486" t="n">
        <v>39500.23</v>
      </c>
      <c r="G2486" t="n">
        <v>41</v>
      </c>
      <c r="H2486" t="inlineStr">
        <is>
          <t>Performance</t>
        </is>
      </c>
      <c r="I2486" t="inlineStr">
        <is>
          <t>RWD</t>
        </is>
      </c>
      <c r="J2486" t="inlineStr">
        <is>
          <t>Red</t>
        </is>
      </c>
      <c r="K2486" t="n">
        <v>576</v>
      </c>
      <c r="L2486" t="n">
        <v>66</v>
      </c>
      <c r="M2486" t="n">
        <v>20.37</v>
      </c>
      <c r="N2486" t="n">
        <v>2777.79</v>
      </c>
      <c r="O2486" t="n">
        <v>4.86</v>
      </c>
      <c r="P2486" t="n">
        <v>8</v>
      </c>
      <c r="Q2486" t="n">
        <v>0</v>
      </c>
      <c r="R2486" t="n">
        <v>2020.5</v>
      </c>
      <c r="S2486" t="b">
        <v>0</v>
      </c>
      <c r="T2486" t="n">
        <v>941368</v>
      </c>
      <c r="U2486" t="n">
        <v>7</v>
      </c>
      <c r="V2486" t="n">
        <v>0.0795</v>
      </c>
      <c r="W2486" t="n">
        <v>0.55</v>
      </c>
      <c r="X2486" t="n">
        <v>70.76000000000001</v>
      </c>
      <c r="Y2486">
        <f>VLOOKUP(D2486,$AB$2:$AC$7,2,FALSE)</f>
        <v/>
      </c>
      <c r="Z2486">
        <f>IF(A2486&lt;Y2486,"Yes","No")</f>
        <v/>
      </c>
    </row>
    <row r="2487">
      <c r="A2487" t="n">
        <v>2016</v>
      </c>
      <c r="B2487" t="inlineStr">
        <is>
          <t>Q2</t>
        </is>
      </c>
      <c r="C2487" t="inlineStr">
        <is>
          <t>Asia</t>
        </is>
      </c>
      <c r="D2487" t="inlineStr">
        <is>
          <t>Cybertruck</t>
        </is>
      </c>
      <c r="E2487" t="n">
        <v>3712</v>
      </c>
      <c r="F2487" t="n">
        <v>79430.64</v>
      </c>
      <c r="G2487" t="n">
        <v>40</v>
      </c>
      <c r="H2487" t="inlineStr">
        <is>
          <t>Standard</t>
        </is>
      </c>
      <c r="I2487" t="inlineStr">
        <is>
          <t>RWD</t>
        </is>
      </c>
      <c r="J2487" t="inlineStr">
        <is>
          <t>Red</t>
        </is>
      </c>
      <c r="K2487" t="n">
        <v>507</v>
      </c>
      <c r="L2487" t="n">
        <v>61</v>
      </c>
      <c r="M2487" t="n">
        <v>24.61</v>
      </c>
      <c r="N2487" t="n">
        <v>3788.3</v>
      </c>
      <c r="O2487" t="n">
        <v>4.52</v>
      </c>
      <c r="P2487" t="n">
        <v>8</v>
      </c>
      <c r="Q2487" t="n">
        <v>3</v>
      </c>
      <c r="R2487" t="n">
        <v>2024.6</v>
      </c>
      <c r="S2487" t="b">
        <v>1</v>
      </c>
      <c r="T2487" t="n">
        <v>2811775</v>
      </c>
      <c r="U2487" t="n">
        <v>8</v>
      </c>
      <c r="V2487" t="n">
        <v>0.0649</v>
      </c>
      <c r="W2487" t="n">
        <v>2.16</v>
      </c>
      <c r="X2487" t="n">
        <v>64.01000000000001</v>
      </c>
      <c r="Y2487">
        <f>VLOOKUP(D2487,$AB$2:$AC$7,2,FALSE)</f>
        <v/>
      </c>
      <c r="Z2487">
        <f>IF(A2487&lt;Y2487,"Yes","No")</f>
        <v/>
      </c>
    </row>
    <row r="2488">
      <c r="A2488" t="n">
        <v>2013</v>
      </c>
      <c r="B2488" t="inlineStr">
        <is>
          <t>Q2</t>
        </is>
      </c>
      <c r="C2488" t="inlineStr">
        <is>
          <t>Australia</t>
        </is>
      </c>
      <c r="D2488" t="inlineStr">
        <is>
          <t>Semi</t>
        </is>
      </c>
      <c r="E2488" t="n">
        <v>4820</v>
      </c>
      <c r="F2488" t="n">
        <v>37879.01</v>
      </c>
      <c r="G2488" t="n">
        <v>4</v>
      </c>
      <c r="H2488" t="inlineStr">
        <is>
          <t>Long Range</t>
        </is>
      </c>
      <c r="I2488" t="inlineStr">
        <is>
          <t>RWD</t>
        </is>
      </c>
      <c r="J2488" t="inlineStr">
        <is>
          <t>Green</t>
        </is>
      </c>
      <c r="K2488" t="n">
        <v>357</v>
      </c>
      <c r="L2488" t="n">
        <v>49</v>
      </c>
      <c r="M2488" t="n">
        <v>21.39</v>
      </c>
      <c r="N2488" t="n">
        <v>10573.01</v>
      </c>
      <c r="O2488" t="n">
        <v>4.53</v>
      </c>
      <c r="P2488" t="n">
        <v>5</v>
      </c>
      <c r="Q2488" t="n">
        <v>0</v>
      </c>
      <c r="R2488" t="n">
        <v>2024.12</v>
      </c>
      <c r="S2488" t="b">
        <v>0</v>
      </c>
      <c r="T2488" t="n">
        <v>4050589</v>
      </c>
      <c r="U2488" t="n">
        <v>12</v>
      </c>
      <c r="V2488" t="n">
        <v>0.06370000000000001</v>
      </c>
      <c r="W2488" t="n">
        <v>1.11</v>
      </c>
      <c r="X2488" t="n">
        <v>87.11</v>
      </c>
      <c r="Y2488">
        <f>VLOOKUP(D2488,$AB$2:$AC$7,2,FALSE)</f>
        <v/>
      </c>
      <c r="Z2488">
        <f>IF(A2488&lt;Y2488,"Yes","No")</f>
        <v/>
      </c>
    </row>
    <row r="2489">
      <c r="A2489" t="n">
        <v>2022</v>
      </c>
      <c r="B2489" t="inlineStr">
        <is>
          <t>Q2</t>
        </is>
      </c>
      <c r="C2489" t="inlineStr">
        <is>
          <t>South America</t>
        </is>
      </c>
      <c r="D2489" t="inlineStr">
        <is>
          <t>Model X</t>
        </is>
      </c>
      <c r="E2489" t="n">
        <v>1185</v>
      </c>
      <c r="F2489" t="n">
        <v>74717.82000000001</v>
      </c>
      <c r="G2489" t="n">
        <v>60</v>
      </c>
      <c r="H2489" t="inlineStr">
        <is>
          <t>Long Range</t>
        </is>
      </c>
      <c r="I2489" t="inlineStr">
        <is>
          <t>RWD</t>
        </is>
      </c>
      <c r="J2489" t="inlineStr">
        <is>
          <t>Blue</t>
        </is>
      </c>
      <c r="K2489" t="n">
        <v>492</v>
      </c>
      <c r="L2489" t="n">
        <v>36</v>
      </c>
      <c r="M2489" t="n">
        <v>18.2</v>
      </c>
      <c r="N2489" t="n">
        <v>1166.07</v>
      </c>
      <c r="O2489" t="n">
        <v>4.17</v>
      </c>
      <c r="P2489" t="n">
        <v>8</v>
      </c>
      <c r="Q2489" t="n">
        <v>3</v>
      </c>
      <c r="R2489" t="n">
        <v>2023.9</v>
      </c>
      <c r="S2489" t="b">
        <v>0</v>
      </c>
      <c r="T2489" t="n">
        <v>3616168</v>
      </c>
      <c r="U2489" t="n">
        <v>5</v>
      </c>
      <c r="V2489" t="n">
        <v>0.07149999999999999</v>
      </c>
      <c r="W2489" t="n">
        <v>0.7</v>
      </c>
      <c r="X2489" t="n">
        <v>68.90000000000001</v>
      </c>
      <c r="Y2489">
        <f>VLOOKUP(D2489,$AB$2:$AC$7,2,FALSE)</f>
        <v/>
      </c>
      <c r="Z2489">
        <f>IF(A2489&lt;Y2489,"Yes","No")</f>
        <v/>
      </c>
    </row>
    <row r="2490">
      <c r="A2490" t="n">
        <v>2018</v>
      </c>
      <c r="B2490" t="inlineStr">
        <is>
          <t>Q1</t>
        </is>
      </c>
      <c r="C2490" t="inlineStr">
        <is>
          <t>North America</t>
        </is>
      </c>
      <c r="D2490" t="inlineStr">
        <is>
          <t>Model S</t>
        </is>
      </c>
      <c r="E2490" t="n">
        <v>3366</v>
      </c>
      <c r="F2490" t="n">
        <v>103435.08</v>
      </c>
      <c r="G2490" t="n">
        <v>23</v>
      </c>
      <c r="H2490" t="inlineStr">
        <is>
          <t>Performance</t>
        </is>
      </c>
      <c r="I2490" t="inlineStr">
        <is>
          <t>RWD</t>
        </is>
      </c>
      <c r="J2490" t="inlineStr">
        <is>
          <t>Black</t>
        </is>
      </c>
      <c r="K2490" t="n">
        <v>509</v>
      </c>
      <c r="L2490" t="n">
        <v>34</v>
      </c>
      <c r="M2490" t="n">
        <v>23.87</v>
      </c>
      <c r="N2490" t="n">
        <v>2475.15</v>
      </c>
      <c r="O2490" t="n">
        <v>4.28</v>
      </c>
      <c r="P2490" t="n">
        <v>6</v>
      </c>
      <c r="Q2490" t="n">
        <v>3</v>
      </c>
      <c r="R2490" t="n">
        <v>2024.3</v>
      </c>
      <c r="S2490" t="b">
        <v>0</v>
      </c>
      <c r="T2490" t="n">
        <v>3512228</v>
      </c>
      <c r="U2490" t="n">
        <v>12</v>
      </c>
      <c r="V2490" t="n">
        <v>0.0323</v>
      </c>
      <c r="W2490" t="n">
        <v>1.96</v>
      </c>
      <c r="X2490" t="n">
        <v>66.12</v>
      </c>
      <c r="Y2490">
        <f>VLOOKUP(D2490,$AB$2:$AC$7,2,FALSE)</f>
        <v/>
      </c>
      <c r="Z2490">
        <f>IF(A2490&lt;Y2490,"Yes","No")</f>
        <v/>
      </c>
    </row>
    <row r="2491">
      <c r="A2491" t="n">
        <v>2017</v>
      </c>
      <c r="B2491" t="inlineStr">
        <is>
          <t>Q1</t>
        </is>
      </c>
      <c r="C2491" t="inlineStr">
        <is>
          <t>North America</t>
        </is>
      </c>
      <c r="D2491" t="inlineStr">
        <is>
          <t>Model S</t>
        </is>
      </c>
      <c r="E2491" t="n">
        <v>720</v>
      </c>
      <c r="F2491" t="n">
        <v>37300.93</v>
      </c>
      <c r="G2491" t="n">
        <v>42</v>
      </c>
      <c r="H2491" t="inlineStr">
        <is>
          <t>Performance</t>
        </is>
      </c>
      <c r="I2491" t="inlineStr">
        <is>
          <t>AWD</t>
        </is>
      </c>
      <c r="J2491" t="inlineStr">
        <is>
          <t>Green</t>
        </is>
      </c>
      <c r="K2491" t="n">
        <v>410</v>
      </c>
      <c r="L2491" t="n">
        <v>80</v>
      </c>
      <c r="M2491" t="n">
        <v>16.22</v>
      </c>
      <c r="N2491" t="n">
        <v>1320.4</v>
      </c>
      <c r="O2491" t="n">
        <v>3.6</v>
      </c>
      <c r="P2491" t="n">
        <v>4</v>
      </c>
      <c r="Q2491" t="n">
        <v>0</v>
      </c>
      <c r="R2491" t="n">
        <v>2020.2</v>
      </c>
      <c r="S2491" t="b">
        <v>1</v>
      </c>
      <c r="T2491" t="n">
        <v>481228</v>
      </c>
      <c r="U2491" t="n">
        <v>3</v>
      </c>
      <c r="V2491" t="n">
        <v>0.0682</v>
      </c>
      <c r="W2491" t="n">
        <v>2.12</v>
      </c>
      <c r="X2491" t="n">
        <v>74.02</v>
      </c>
      <c r="Y2491">
        <f>VLOOKUP(D2491,$AB$2:$AC$7,2,FALSE)</f>
        <v/>
      </c>
      <c r="Z2491">
        <f>IF(A2491&lt;Y2491,"Yes","No")</f>
        <v/>
      </c>
    </row>
    <row r="2492">
      <c r="A2492" t="n">
        <v>2023</v>
      </c>
      <c r="B2492" t="inlineStr">
        <is>
          <t>Q1</t>
        </is>
      </c>
      <c r="C2492" t="inlineStr">
        <is>
          <t>Asia</t>
        </is>
      </c>
      <c r="D2492" t="inlineStr">
        <is>
          <t>Semi</t>
        </is>
      </c>
      <c r="E2492" t="n">
        <v>3941</v>
      </c>
      <c r="F2492" t="n">
        <v>83336.42999999999</v>
      </c>
      <c r="G2492" t="n">
        <v>6</v>
      </c>
      <c r="H2492" t="inlineStr">
        <is>
          <t>Performance</t>
        </is>
      </c>
      <c r="I2492" t="inlineStr">
        <is>
          <t>RWD</t>
        </is>
      </c>
      <c r="J2492" t="inlineStr">
        <is>
          <t>Black</t>
        </is>
      </c>
      <c r="K2492" t="n">
        <v>446</v>
      </c>
      <c r="L2492" t="n">
        <v>79</v>
      </c>
      <c r="M2492" t="n">
        <v>19.01</v>
      </c>
      <c r="N2492" t="n">
        <v>3437.32</v>
      </c>
      <c r="O2492" t="n">
        <v>3.6</v>
      </c>
      <c r="P2492" t="n">
        <v>6</v>
      </c>
      <c r="Q2492" t="n">
        <v>2</v>
      </c>
      <c r="R2492" t="n">
        <v>2024.3</v>
      </c>
      <c r="S2492" t="b">
        <v>0</v>
      </c>
      <c r="T2492" t="n">
        <v>4108390</v>
      </c>
      <c r="U2492" t="n">
        <v>2</v>
      </c>
      <c r="V2492" t="n">
        <v>0.0558</v>
      </c>
      <c r="W2492" t="n">
        <v>0.55</v>
      </c>
      <c r="X2492" t="n">
        <v>74.94</v>
      </c>
      <c r="Y2492">
        <f>VLOOKUP(D2492,$AB$2:$AC$7,2,FALSE)</f>
        <v/>
      </c>
      <c r="Z2492">
        <f>IF(A2492&lt;Y2492,"Yes","No")</f>
        <v/>
      </c>
    </row>
    <row r="2493">
      <c r="A2493" t="n">
        <v>2021</v>
      </c>
      <c r="B2493" t="inlineStr">
        <is>
          <t>Q2</t>
        </is>
      </c>
      <c r="C2493" t="inlineStr">
        <is>
          <t>Australia</t>
        </is>
      </c>
      <c r="D2493" t="inlineStr">
        <is>
          <t>Cybertruck</t>
        </is>
      </c>
      <c r="E2493" t="n">
        <v>3023</v>
      </c>
      <c r="F2493" t="n">
        <v>73132.24000000001</v>
      </c>
      <c r="G2493" t="n">
        <v>46</v>
      </c>
      <c r="H2493" t="inlineStr">
        <is>
          <t>Standard</t>
        </is>
      </c>
      <c r="I2493" t="inlineStr">
        <is>
          <t>RWD</t>
        </is>
      </c>
      <c r="J2493" t="inlineStr">
        <is>
          <t>Green</t>
        </is>
      </c>
      <c r="K2493" t="n">
        <v>497</v>
      </c>
      <c r="L2493" t="n">
        <v>40</v>
      </c>
      <c r="M2493" t="n">
        <v>16.96</v>
      </c>
      <c r="N2493" t="n">
        <v>2590.49</v>
      </c>
      <c r="O2493" t="n">
        <v>3.96</v>
      </c>
      <c r="P2493" t="n">
        <v>8</v>
      </c>
      <c r="Q2493" t="n">
        <v>0</v>
      </c>
      <c r="R2493" t="n">
        <v>2021.7</v>
      </c>
      <c r="S2493" t="b">
        <v>1</v>
      </c>
      <c r="T2493" t="n">
        <v>2770974</v>
      </c>
      <c r="U2493" t="n">
        <v>12</v>
      </c>
      <c r="V2493" t="n">
        <v>0.0363</v>
      </c>
      <c r="W2493" t="n">
        <v>1.31</v>
      </c>
      <c r="X2493" t="n">
        <v>78.2</v>
      </c>
      <c r="Y2493">
        <f>VLOOKUP(D2493,$AB$2:$AC$7,2,FALSE)</f>
        <v/>
      </c>
      <c r="Z2493">
        <f>IF(A2493&lt;Y2493,"Yes","No")</f>
        <v/>
      </c>
    </row>
    <row r="2494">
      <c r="A2494" t="n">
        <v>2014</v>
      </c>
      <c r="B2494" t="inlineStr">
        <is>
          <t>Q1</t>
        </is>
      </c>
      <c r="C2494" t="inlineStr">
        <is>
          <t>Australia</t>
        </is>
      </c>
      <c r="D2494" t="inlineStr">
        <is>
          <t>Semi</t>
        </is>
      </c>
      <c r="E2494" t="n">
        <v>1477</v>
      </c>
      <c r="F2494" t="n">
        <v>83595.47</v>
      </c>
      <c r="G2494" t="n">
        <v>9</v>
      </c>
      <c r="H2494" t="inlineStr">
        <is>
          <t>Standard</t>
        </is>
      </c>
      <c r="I2494" t="inlineStr">
        <is>
          <t>AWD</t>
        </is>
      </c>
      <c r="J2494" t="inlineStr">
        <is>
          <t>Green</t>
        </is>
      </c>
      <c r="K2494" t="n">
        <v>409</v>
      </c>
      <c r="L2494" t="n">
        <v>76</v>
      </c>
      <c r="M2494" t="n">
        <v>24.18</v>
      </c>
      <c r="N2494" t="n">
        <v>2652.55</v>
      </c>
      <c r="O2494" t="n">
        <v>4.96</v>
      </c>
      <c r="P2494" t="n">
        <v>8</v>
      </c>
      <c r="Q2494" t="n">
        <v>1</v>
      </c>
      <c r="R2494" t="n">
        <v>2021.5</v>
      </c>
      <c r="S2494" t="b">
        <v>0</v>
      </c>
      <c r="T2494" t="n">
        <v>3039414</v>
      </c>
      <c r="U2494" t="n">
        <v>5</v>
      </c>
      <c r="V2494" t="n">
        <v>0.0624</v>
      </c>
      <c r="W2494" t="n">
        <v>2.39</v>
      </c>
      <c r="X2494" t="n">
        <v>86.22</v>
      </c>
      <c r="Y2494">
        <f>VLOOKUP(D2494,$AB$2:$AC$7,2,FALSE)</f>
        <v/>
      </c>
      <c r="Z2494">
        <f>IF(A2494&lt;Y2494,"Yes","No")</f>
        <v/>
      </c>
    </row>
    <row r="2495">
      <c r="A2495" t="n">
        <v>2012</v>
      </c>
      <c r="B2495" t="inlineStr">
        <is>
          <t>Q2</t>
        </is>
      </c>
      <c r="C2495" t="inlineStr">
        <is>
          <t>South America</t>
        </is>
      </c>
      <c r="D2495" t="inlineStr">
        <is>
          <t>Semi</t>
        </is>
      </c>
      <c r="E2495" t="n">
        <v>216</v>
      </c>
      <c r="F2495" t="n">
        <v>93497.38</v>
      </c>
      <c r="G2495" t="n">
        <v>32</v>
      </c>
      <c r="H2495" t="inlineStr">
        <is>
          <t>Performance</t>
        </is>
      </c>
      <c r="I2495" t="inlineStr">
        <is>
          <t>RWD</t>
        </is>
      </c>
      <c r="J2495" t="inlineStr">
        <is>
          <t>Blue</t>
        </is>
      </c>
      <c r="K2495" t="n">
        <v>654</v>
      </c>
      <c r="L2495" t="n">
        <v>62</v>
      </c>
      <c r="M2495" t="n">
        <v>13.55</v>
      </c>
      <c r="N2495" t="n">
        <v>167.8</v>
      </c>
      <c r="O2495" t="n">
        <v>3.95</v>
      </c>
      <c r="P2495" t="n">
        <v>4</v>
      </c>
      <c r="Q2495" t="n">
        <v>1</v>
      </c>
      <c r="R2495" t="n">
        <v>2023.9</v>
      </c>
      <c r="S2495" t="b">
        <v>1</v>
      </c>
      <c r="T2495" t="n">
        <v>3622362</v>
      </c>
      <c r="U2495" t="n">
        <v>4</v>
      </c>
      <c r="V2495" t="n">
        <v>0.0693</v>
      </c>
      <c r="W2495" t="n">
        <v>1.6</v>
      </c>
      <c r="X2495" t="n">
        <v>87.23</v>
      </c>
      <c r="Y2495">
        <f>VLOOKUP(D2495,$AB$2:$AC$7,2,FALSE)</f>
        <v/>
      </c>
      <c r="Z2495">
        <f>IF(A2495&lt;Y2495,"Yes","No")</f>
        <v/>
      </c>
    </row>
    <row r="2496">
      <c r="A2496" t="n">
        <v>2016</v>
      </c>
      <c r="B2496" t="inlineStr">
        <is>
          <t>Q3</t>
        </is>
      </c>
      <c r="C2496" t="inlineStr">
        <is>
          <t>North America</t>
        </is>
      </c>
      <c r="D2496" t="inlineStr">
        <is>
          <t>Semi</t>
        </is>
      </c>
      <c r="E2496" t="n">
        <v>2452</v>
      </c>
      <c r="F2496" t="n">
        <v>103648.39</v>
      </c>
      <c r="G2496" t="n">
        <v>29</v>
      </c>
      <c r="H2496" t="inlineStr">
        <is>
          <t>Performance</t>
        </is>
      </c>
      <c r="I2496" t="inlineStr">
        <is>
          <t>AWD</t>
        </is>
      </c>
      <c r="J2496" t="inlineStr">
        <is>
          <t>White</t>
        </is>
      </c>
      <c r="K2496" t="n">
        <v>496</v>
      </c>
      <c r="L2496" t="n">
        <v>59</v>
      </c>
      <c r="M2496" t="n">
        <v>16.92</v>
      </c>
      <c r="N2496" t="n">
        <v>2923.84</v>
      </c>
      <c r="O2496" t="n">
        <v>4.84</v>
      </c>
      <c r="P2496" t="n">
        <v>5</v>
      </c>
      <c r="Q2496" t="n">
        <v>3</v>
      </c>
      <c r="R2496" t="n">
        <v>2020.7</v>
      </c>
      <c r="S2496" t="b">
        <v>1</v>
      </c>
      <c r="T2496" t="n">
        <v>4628728</v>
      </c>
      <c r="U2496" t="n">
        <v>4</v>
      </c>
      <c r="V2496" t="n">
        <v>0.0324</v>
      </c>
      <c r="W2496" t="n">
        <v>1.54</v>
      </c>
      <c r="X2496" t="n">
        <v>60.34</v>
      </c>
      <c r="Y2496">
        <f>VLOOKUP(D2496,$AB$2:$AC$7,2,FALSE)</f>
        <v/>
      </c>
      <c r="Z2496">
        <f>IF(A2496&lt;Y2496,"Yes","No")</f>
        <v/>
      </c>
    </row>
    <row r="2497">
      <c r="A2497" t="n">
        <v>2022</v>
      </c>
      <c r="B2497" t="inlineStr">
        <is>
          <t>Q1</t>
        </is>
      </c>
      <c r="C2497" t="inlineStr">
        <is>
          <t>North America</t>
        </is>
      </c>
      <c r="D2497" t="inlineStr">
        <is>
          <t>Semi</t>
        </is>
      </c>
      <c r="E2497" t="n">
        <v>1461</v>
      </c>
      <c r="F2497" t="n">
        <v>85496.32000000001</v>
      </c>
      <c r="G2497" t="n">
        <v>34</v>
      </c>
      <c r="H2497" t="inlineStr">
        <is>
          <t>Standard</t>
        </is>
      </c>
      <c r="I2497" t="inlineStr">
        <is>
          <t>RWD</t>
        </is>
      </c>
      <c r="J2497" t="inlineStr">
        <is>
          <t>Green</t>
        </is>
      </c>
      <c r="K2497" t="n">
        <v>596</v>
      </c>
      <c r="L2497" t="n">
        <v>76</v>
      </c>
      <c r="M2497" t="n">
        <v>22.51</v>
      </c>
      <c r="N2497" t="n">
        <v>1136.42</v>
      </c>
      <c r="O2497" t="n">
        <v>3.9</v>
      </c>
      <c r="P2497" t="n">
        <v>6</v>
      </c>
      <c r="Q2497" t="n">
        <v>2</v>
      </c>
      <c r="R2497" t="n">
        <v>2021.1</v>
      </c>
      <c r="S2497" t="b">
        <v>1</v>
      </c>
      <c r="T2497" t="n">
        <v>1351874</v>
      </c>
      <c r="U2497" t="n">
        <v>4</v>
      </c>
      <c r="V2497" t="n">
        <v>0.09569999999999999</v>
      </c>
      <c r="W2497" t="n">
        <v>0.74</v>
      </c>
      <c r="X2497" t="n">
        <v>75.42</v>
      </c>
      <c r="Y2497">
        <f>VLOOKUP(D2497,$AB$2:$AC$7,2,FALSE)</f>
        <v/>
      </c>
      <c r="Z2497">
        <f>IF(A2497&lt;Y2497,"Yes","No")</f>
        <v/>
      </c>
    </row>
    <row r="2498">
      <c r="A2498" t="n">
        <v>2013</v>
      </c>
      <c r="B2498" t="inlineStr">
        <is>
          <t>Q4</t>
        </is>
      </c>
      <c r="C2498" t="inlineStr">
        <is>
          <t>South America</t>
        </is>
      </c>
      <c r="D2498" t="inlineStr">
        <is>
          <t>Model S</t>
        </is>
      </c>
      <c r="E2498" t="n">
        <v>1727</v>
      </c>
      <c r="F2498" t="n">
        <v>102562.73</v>
      </c>
      <c r="G2498" t="n">
        <v>20</v>
      </c>
      <c r="H2498" t="inlineStr">
        <is>
          <t>Performance</t>
        </is>
      </c>
      <c r="I2498" t="inlineStr">
        <is>
          <t>AWD</t>
        </is>
      </c>
      <c r="J2498" t="inlineStr">
        <is>
          <t>Black</t>
        </is>
      </c>
      <c r="K2498" t="n">
        <v>426</v>
      </c>
      <c r="L2498" t="n">
        <v>44</v>
      </c>
      <c r="M2498" t="n">
        <v>15</v>
      </c>
      <c r="N2498" t="n">
        <v>1359.62</v>
      </c>
      <c r="O2498" t="n">
        <v>3.96</v>
      </c>
      <c r="P2498" t="n">
        <v>5</v>
      </c>
      <c r="Q2498" t="n">
        <v>2</v>
      </c>
      <c r="R2498" t="n">
        <v>2020.7</v>
      </c>
      <c r="S2498" t="b">
        <v>1</v>
      </c>
      <c r="T2498" t="n">
        <v>4426430</v>
      </c>
      <c r="U2498" t="n">
        <v>5</v>
      </c>
      <c r="V2498" t="n">
        <v>0.0601</v>
      </c>
      <c r="W2498" t="n">
        <v>2.37</v>
      </c>
      <c r="X2498" t="n">
        <v>80.02</v>
      </c>
      <c r="Y2498">
        <f>VLOOKUP(D2498,$AB$2:$AC$7,2,FALSE)</f>
        <v/>
      </c>
      <c r="Z2498">
        <f>IF(A2498&lt;Y2498,"Yes","No")</f>
        <v/>
      </c>
    </row>
    <row r="2499">
      <c r="A2499" t="n">
        <v>2016</v>
      </c>
      <c r="B2499" t="inlineStr">
        <is>
          <t>Q3</t>
        </is>
      </c>
      <c r="C2499" t="inlineStr">
        <is>
          <t>South America</t>
        </is>
      </c>
      <c r="D2499" t="inlineStr">
        <is>
          <t>Semi</t>
        </is>
      </c>
      <c r="E2499" t="n">
        <v>1416</v>
      </c>
      <c r="F2499" t="n">
        <v>119217.14</v>
      </c>
      <c r="G2499" t="n">
        <v>10</v>
      </c>
      <c r="H2499" t="inlineStr">
        <is>
          <t>Standard</t>
        </is>
      </c>
      <c r="I2499" t="inlineStr">
        <is>
          <t>AWD</t>
        </is>
      </c>
      <c r="J2499" t="inlineStr">
        <is>
          <t>Black</t>
        </is>
      </c>
      <c r="K2499" t="n">
        <v>440</v>
      </c>
      <c r="L2499" t="n">
        <v>62</v>
      </c>
      <c r="M2499" t="n">
        <v>24.27</v>
      </c>
      <c r="N2499" t="n">
        <v>1560.7</v>
      </c>
      <c r="O2499" t="n">
        <v>4.63</v>
      </c>
      <c r="P2499" t="n">
        <v>8</v>
      </c>
      <c r="Q2499" t="n">
        <v>0</v>
      </c>
      <c r="R2499" t="n">
        <v>2024.1</v>
      </c>
      <c r="S2499" t="b">
        <v>0</v>
      </c>
      <c r="T2499" t="n">
        <v>780171</v>
      </c>
      <c r="U2499" t="n">
        <v>2</v>
      </c>
      <c r="V2499" t="n">
        <v>0.0557</v>
      </c>
      <c r="W2499" t="n">
        <v>0.6899999999999999</v>
      </c>
      <c r="X2499" t="n">
        <v>75.27</v>
      </c>
      <c r="Y2499">
        <f>VLOOKUP(D2499,$AB$2:$AC$7,2,FALSE)</f>
        <v/>
      </c>
      <c r="Z2499">
        <f>IF(A2499&lt;Y2499,"Yes","No")</f>
        <v/>
      </c>
    </row>
    <row r="2500">
      <c r="A2500" t="n">
        <v>2015</v>
      </c>
      <c r="B2500" t="inlineStr">
        <is>
          <t>Q2</t>
        </is>
      </c>
      <c r="C2500" t="inlineStr">
        <is>
          <t>North America</t>
        </is>
      </c>
      <c r="D2500" t="inlineStr">
        <is>
          <t>Model 3</t>
        </is>
      </c>
      <c r="E2500" t="n">
        <v>1907</v>
      </c>
      <c r="F2500" t="n">
        <v>72917.89999999999</v>
      </c>
      <c r="G2500" t="n">
        <v>48</v>
      </c>
      <c r="H2500" t="inlineStr">
        <is>
          <t>Performance</t>
        </is>
      </c>
      <c r="I2500" t="inlineStr">
        <is>
          <t>RWD</t>
        </is>
      </c>
      <c r="J2500" t="inlineStr">
        <is>
          <t>Green</t>
        </is>
      </c>
      <c r="K2500" t="n">
        <v>698</v>
      </c>
      <c r="L2500" t="n">
        <v>84</v>
      </c>
      <c r="M2500" t="n">
        <v>15.14</v>
      </c>
      <c r="N2500" t="n">
        <v>3925.15</v>
      </c>
      <c r="O2500" t="n">
        <v>4.02</v>
      </c>
      <c r="P2500" t="n">
        <v>6</v>
      </c>
      <c r="Q2500" t="n">
        <v>2</v>
      </c>
      <c r="R2500" t="n">
        <v>2022.8</v>
      </c>
      <c r="S2500" t="b">
        <v>1</v>
      </c>
      <c r="T2500" t="n">
        <v>1394638</v>
      </c>
      <c r="U2500" t="n">
        <v>9</v>
      </c>
      <c r="V2500" t="n">
        <v>0.0125</v>
      </c>
      <c r="W2500" t="n">
        <v>0.6</v>
      </c>
      <c r="X2500" t="n">
        <v>67.92</v>
      </c>
      <c r="Y2500">
        <f>VLOOKUP(D2500,$AB$2:$AC$7,2,FALSE)</f>
        <v/>
      </c>
      <c r="Z2500">
        <f>IF(A2500&lt;Y2500,"Yes","No")</f>
        <v/>
      </c>
    </row>
    <row r="2501">
      <c r="A2501" t="n">
        <v>2020</v>
      </c>
      <c r="B2501" t="inlineStr">
        <is>
          <t>Q4</t>
        </is>
      </c>
      <c r="C2501" t="inlineStr">
        <is>
          <t>Asia</t>
        </is>
      </c>
      <c r="D2501" t="inlineStr">
        <is>
          <t>Model X</t>
        </is>
      </c>
      <c r="E2501" t="n">
        <v>1404</v>
      </c>
      <c r="F2501" t="n">
        <v>112228.71</v>
      </c>
      <c r="G2501" t="n">
        <v>42</v>
      </c>
      <c r="H2501" t="inlineStr">
        <is>
          <t>Long Range</t>
        </is>
      </c>
      <c r="I2501" t="inlineStr">
        <is>
          <t>RWD</t>
        </is>
      </c>
      <c r="J2501" t="inlineStr">
        <is>
          <t>Black</t>
        </is>
      </c>
      <c r="K2501" t="n">
        <v>366</v>
      </c>
      <c r="L2501" t="n">
        <v>43</v>
      </c>
      <c r="M2501" t="n">
        <v>18.9</v>
      </c>
      <c r="N2501" t="n">
        <v>2148.43</v>
      </c>
      <c r="O2501" t="n">
        <v>4.71</v>
      </c>
      <c r="P2501" t="n">
        <v>4</v>
      </c>
      <c r="Q2501" t="n">
        <v>1</v>
      </c>
      <c r="R2501" t="n">
        <v>2023.5</v>
      </c>
      <c r="S2501" t="b">
        <v>1</v>
      </c>
      <c r="T2501" t="n">
        <v>1316832</v>
      </c>
      <c r="U2501" t="n">
        <v>2</v>
      </c>
      <c r="V2501" t="n">
        <v>0.07770000000000001</v>
      </c>
      <c r="W2501" t="n">
        <v>2.28</v>
      </c>
      <c r="X2501" t="n">
        <v>89.7</v>
      </c>
      <c r="Y2501">
        <f>VLOOKUP(D2501,$AB$2:$AC$7,2,FALSE)</f>
        <v/>
      </c>
      <c r="Z2501">
        <f>IF(A2501&lt;Y2501,"Yes","No")</f>
        <v/>
      </c>
    </row>
    <row r="2502">
      <c r="A2502" t="n">
        <v>2018</v>
      </c>
      <c r="B2502" t="inlineStr">
        <is>
          <t>Q1</t>
        </is>
      </c>
      <c r="C2502" t="inlineStr">
        <is>
          <t>South America</t>
        </is>
      </c>
      <c r="D2502" t="inlineStr">
        <is>
          <t>Model 3</t>
        </is>
      </c>
      <c r="E2502" t="n">
        <v>66</v>
      </c>
      <c r="F2502" t="n">
        <v>89320.06</v>
      </c>
      <c r="G2502" t="n">
        <v>29</v>
      </c>
      <c r="H2502" t="inlineStr">
        <is>
          <t>Long Range</t>
        </is>
      </c>
      <c r="I2502" t="inlineStr">
        <is>
          <t>AWD</t>
        </is>
      </c>
      <c r="J2502" t="inlineStr">
        <is>
          <t>Blue</t>
        </is>
      </c>
      <c r="K2502" t="n">
        <v>690</v>
      </c>
      <c r="L2502" t="n">
        <v>54</v>
      </c>
      <c r="M2502" t="n">
        <v>18.8</v>
      </c>
      <c r="N2502" t="n">
        <v>80.97</v>
      </c>
      <c r="O2502" t="n">
        <v>4.26</v>
      </c>
      <c r="P2502" t="n">
        <v>8</v>
      </c>
      <c r="Q2502" t="n">
        <v>3</v>
      </c>
      <c r="R2502" t="n">
        <v>2020.12</v>
      </c>
      <c r="S2502" t="b">
        <v>0</v>
      </c>
      <c r="T2502" t="n">
        <v>4024251</v>
      </c>
      <c r="U2502" t="n">
        <v>5</v>
      </c>
      <c r="V2502" t="n">
        <v>0.0304</v>
      </c>
      <c r="W2502" t="n">
        <v>1.16</v>
      </c>
      <c r="X2502" t="n">
        <v>66.67</v>
      </c>
      <c r="Y2502">
        <f>VLOOKUP(D2502,$AB$2:$AC$7,2,FALSE)</f>
        <v/>
      </c>
      <c r="Z2502">
        <f>IF(A2502&lt;Y2502,"Yes","No")</f>
        <v/>
      </c>
    </row>
    <row r="2503">
      <c r="A2503" t="n">
        <v>2015</v>
      </c>
      <c r="B2503" t="inlineStr">
        <is>
          <t>Q4</t>
        </is>
      </c>
      <c r="C2503" t="inlineStr">
        <is>
          <t>South America</t>
        </is>
      </c>
      <c r="D2503" t="inlineStr">
        <is>
          <t>Model S</t>
        </is>
      </c>
      <c r="E2503" t="n">
        <v>1560</v>
      </c>
      <c r="F2503" t="n">
        <v>55964.84</v>
      </c>
      <c r="G2503" t="n">
        <v>46</v>
      </c>
      <c r="H2503" t="inlineStr">
        <is>
          <t>Performance</t>
        </is>
      </c>
      <c r="I2503" t="inlineStr">
        <is>
          <t>RWD</t>
        </is>
      </c>
      <c r="J2503" t="inlineStr">
        <is>
          <t>Green</t>
        </is>
      </c>
      <c r="K2503" t="n">
        <v>378</v>
      </c>
      <c r="L2503" t="n">
        <v>50</v>
      </c>
      <c r="M2503" t="n">
        <v>18.24</v>
      </c>
      <c r="N2503" t="n">
        <v>3061.99</v>
      </c>
      <c r="O2503" t="n">
        <v>4.52</v>
      </c>
      <c r="P2503" t="n">
        <v>8</v>
      </c>
      <c r="Q2503" t="n">
        <v>3</v>
      </c>
      <c r="R2503" t="n">
        <v>2020.1</v>
      </c>
      <c r="S2503" t="b">
        <v>1</v>
      </c>
      <c r="T2503" t="n">
        <v>3986731</v>
      </c>
      <c r="U2503" t="n">
        <v>10</v>
      </c>
      <c r="V2503" t="n">
        <v>0.0208</v>
      </c>
      <c r="W2503" t="n">
        <v>1.99</v>
      </c>
      <c r="X2503" t="n">
        <v>87.04000000000001</v>
      </c>
      <c r="Y2503">
        <f>VLOOKUP(D2503,$AB$2:$AC$7,2,FALSE)</f>
        <v/>
      </c>
      <c r="Z2503">
        <f>IF(A2503&lt;Y2503,"Yes","No")</f>
        <v/>
      </c>
    </row>
    <row r="2504">
      <c r="A2504" t="n">
        <v>2019</v>
      </c>
      <c r="B2504" t="inlineStr">
        <is>
          <t>Q4</t>
        </is>
      </c>
      <c r="C2504" t="inlineStr">
        <is>
          <t>Europe</t>
        </is>
      </c>
      <c r="D2504" t="inlineStr">
        <is>
          <t>Model X</t>
        </is>
      </c>
      <c r="E2504" t="n">
        <v>4481</v>
      </c>
      <c r="F2504" t="n">
        <v>38058.19</v>
      </c>
      <c r="G2504" t="n">
        <v>36</v>
      </c>
      <c r="H2504" t="inlineStr">
        <is>
          <t>Performance</t>
        </is>
      </c>
      <c r="I2504" t="inlineStr">
        <is>
          <t>RWD</t>
        </is>
      </c>
      <c r="J2504" t="inlineStr">
        <is>
          <t>Black</t>
        </is>
      </c>
      <c r="K2504" t="n">
        <v>431</v>
      </c>
      <c r="L2504" t="n">
        <v>46</v>
      </c>
      <c r="M2504" t="n">
        <v>20.88</v>
      </c>
      <c r="N2504" t="n">
        <v>9001.17</v>
      </c>
      <c r="O2504" t="n">
        <v>3.99</v>
      </c>
      <c r="P2504" t="n">
        <v>4</v>
      </c>
      <c r="Q2504" t="n">
        <v>3</v>
      </c>
      <c r="R2504" t="n">
        <v>2021.8</v>
      </c>
      <c r="S2504" t="b">
        <v>1</v>
      </c>
      <c r="T2504" t="n">
        <v>556064</v>
      </c>
      <c r="U2504" t="n">
        <v>3</v>
      </c>
      <c r="V2504" t="n">
        <v>0.0528</v>
      </c>
      <c r="W2504" t="n">
        <v>1.95</v>
      </c>
      <c r="X2504" t="n">
        <v>84.91</v>
      </c>
      <c r="Y2504">
        <f>VLOOKUP(D2504,$AB$2:$AC$7,2,FALSE)</f>
        <v/>
      </c>
      <c r="Z2504">
        <f>IF(A2504&lt;Y2504,"Yes","No")</f>
        <v/>
      </c>
    </row>
    <row r="2505">
      <c r="A2505" t="n">
        <v>2012</v>
      </c>
      <c r="B2505" t="inlineStr">
        <is>
          <t>Q1</t>
        </is>
      </c>
      <c r="C2505" t="inlineStr">
        <is>
          <t>North America</t>
        </is>
      </c>
      <c r="D2505" t="inlineStr">
        <is>
          <t>Model Y</t>
        </is>
      </c>
      <c r="E2505" t="n">
        <v>2681</v>
      </c>
      <c r="F2505" t="n">
        <v>89235.23</v>
      </c>
      <c r="G2505" t="n">
        <v>21</v>
      </c>
      <c r="H2505" t="inlineStr">
        <is>
          <t>Performance</t>
        </is>
      </c>
      <c r="I2505" t="inlineStr">
        <is>
          <t>RWD</t>
        </is>
      </c>
      <c r="J2505" t="inlineStr">
        <is>
          <t>Blue</t>
        </is>
      </c>
      <c r="K2505" t="n">
        <v>585</v>
      </c>
      <c r="L2505" t="n">
        <v>85</v>
      </c>
      <c r="M2505" t="n">
        <v>16.53</v>
      </c>
      <c r="N2505" t="n">
        <v>2669.18</v>
      </c>
      <c r="O2505" t="n">
        <v>3.67</v>
      </c>
      <c r="P2505" t="n">
        <v>8</v>
      </c>
      <c r="Q2505" t="n">
        <v>3</v>
      </c>
      <c r="R2505" t="n">
        <v>2022.5</v>
      </c>
      <c r="S2505" t="b">
        <v>0</v>
      </c>
      <c r="T2505" t="n">
        <v>4362185</v>
      </c>
      <c r="U2505" t="n">
        <v>11</v>
      </c>
      <c r="V2505" t="n">
        <v>0.0989</v>
      </c>
      <c r="W2505" t="n">
        <v>2.07</v>
      </c>
      <c r="X2505" t="n">
        <v>74.73</v>
      </c>
      <c r="Y2505">
        <f>VLOOKUP(D2505,$AB$2:$AC$7,2,FALSE)</f>
        <v/>
      </c>
      <c r="Z2505">
        <f>IF(A2505&lt;Y2505,"Yes","No")</f>
        <v/>
      </c>
    </row>
    <row r="2506">
      <c r="A2506" t="n">
        <v>2013</v>
      </c>
      <c r="B2506" t="inlineStr">
        <is>
          <t>Q4</t>
        </is>
      </c>
      <c r="C2506" t="inlineStr">
        <is>
          <t>Australia</t>
        </is>
      </c>
      <c r="D2506" t="inlineStr">
        <is>
          <t>Semi</t>
        </is>
      </c>
      <c r="E2506" t="n">
        <v>4077</v>
      </c>
      <c r="F2506" t="n">
        <v>79146.12</v>
      </c>
      <c r="G2506" t="n">
        <v>53</v>
      </c>
      <c r="H2506" t="inlineStr">
        <is>
          <t>Performance</t>
        </is>
      </c>
      <c r="I2506" t="inlineStr">
        <is>
          <t>AWD</t>
        </is>
      </c>
      <c r="J2506" t="inlineStr">
        <is>
          <t>Black</t>
        </is>
      </c>
      <c r="K2506" t="n">
        <v>359</v>
      </c>
      <c r="L2506" t="n">
        <v>81</v>
      </c>
      <c r="M2506" t="n">
        <v>14.99</v>
      </c>
      <c r="N2506" t="n">
        <v>4373.53</v>
      </c>
      <c r="O2506" t="n">
        <v>4.63</v>
      </c>
      <c r="P2506" t="n">
        <v>5</v>
      </c>
      <c r="Q2506" t="n">
        <v>1</v>
      </c>
      <c r="R2506" t="n">
        <v>2020.1</v>
      </c>
      <c r="S2506" t="b">
        <v>1</v>
      </c>
      <c r="T2506" t="n">
        <v>1982033</v>
      </c>
      <c r="U2506" t="n">
        <v>6</v>
      </c>
      <c r="V2506" t="n">
        <v>0.0209</v>
      </c>
      <c r="W2506" t="n">
        <v>1.57</v>
      </c>
      <c r="X2506" t="n">
        <v>84.16</v>
      </c>
      <c r="Y2506">
        <f>VLOOKUP(D2506,$AB$2:$AC$7,2,FALSE)</f>
        <v/>
      </c>
      <c r="Z2506">
        <f>IF(A2506&lt;Y2506,"Yes","No")</f>
        <v/>
      </c>
    </row>
    <row r="2507">
      <c r="A2507" t="n">
        <v>2013</v>
      </c>
      <c r="B2507" t="inlineStr">
        <is>
          <t>Q3</t>
        </is>
      </c>
      <c r="C2507" t="inlineStr">
        <is>
          <t>Asia</t>
        </is>
      </c>
      <c r="D2507" t="inlineStr">
        <is>
          <t>Semi</t>
        </is>
      </c>
      <c r="E2507" t="n">
        <v>199</v>
      </c>
      <c r="F2507" t="n">
        <v>119369.9</v>
      </c>
      <c r="G2507" t="n">
        <v>12</v>
      </c>
      <c r="H2507" t="inlineStr">
        <is>
          <t>Performance</t>
        </is>
      </c>
      <c r="I2507" t="inlineStr">
        <is>
          <t>AWD</t>
        </is>
      </c>
      <c r="J2507" t="inlineStr">
        <is>
          <t>Red</t>
        </is>
      </c>
      <c r="K2507" t="n">
        <v>467</v>
      </c>
      <c r="L2507" t="n">
        <v>62</v>
      </c>
      <c r="M2507" t="n">
        <v>24.32</v>
      </c>
      <c r="N2507" t="n">
        <v>472.02</v>
      </c>
      <c r="O2507" t="n">
        <v>3.79</v>
      </c>
      <c r="P2507" t="n">
        <v>6</v>
      </c>
      <c r="Q2507" t="n">
        <v>2</v>
      </c>
      <c r="R2507" t="n">
        <v>2021.2</v>
      </c>
      <c r="S2507" t="b">
        <v>1</v>
      </c>
      <c r="T2507" t="n">
        <v>3799564</v>
      </c>
      <c r="U2507" t="n">
        <v>5</v>
      </c>
      <c r="V2507" t="n">
        <v>0.0198</v>
      </c>
      <c r="W2507" t="n">
        <v>2.36</v>
      </c>
      <c r="X2507" t="n">
        <v>77.14</v>
      </c>
      <c r="Y2507">
        <f>VLOOKUP(D2507,$AB$2:$AC$7,2,FALSE)</f>
        <v/>
      </c>
      <c r="Z2507">
        <f>IF(A2507&lt;Y2507,"Yes","No")</f>
        <v/>
      </c>
    </row>
    <row r="2508">
      <c r="A2508" t="n">
        <v>2024</v>
      </c>
      <c r="B2508" t="inlineStr">
        <is>
          <t>Q1</t>
        </is>
      </c>
      <c r="C2508" t="inlineStr">
        <is>
          <t>Asia</t>
        </is>
      </c>
      <c r="D2508" t="inlineStr">
        <is>
          <t>Cybertruck</t>
        </is>
      </c>
      <c r="E2508" t="n">
        <v>4267</v>
      </c>
      <c r="F2508" t="n">
        <v>88290.58</v>
      </c>
      <c r="G2508" t="n">
        <v>58</v>
      </c>
      <c r="H2508" t="inlineStr">
        <is>
          <t>Performance</t>
        </is>
      </c>
      <c r="I2508" t="inlineStr">
        <is>
          <t>AWD</t>
        </is>
      </c>
      <c r="J2508" t="inlineStr">
        <is>
          <t>Silver</t>
        </is>
      </c>
      <c r="K2508" t="n">
        <v>627</v>
      </c>
      <c r="L2508" t="n">
        <v>61</v>
      </c>
      <c r="M2508" t="n">
        <v>21.42</v>
      </c>
      <c r="N2508" t="n">
        <v>6956.5</v>
      </c>
      <c r="O2508" t="n">
        <v>4.98</v>
      </c>
      <c r="P2508" t="n">
        <v>8</v>
      </c>
      <c r="Q2508" t="n">
        <v>1</v>
      </c>
      <c r="R2508" t="n">
        <v>2021.12</v>
      </c>
      <c r="S2508" t="b">
        <v>1</v>
      </c>
      <c r="T2508" t="n">
        <v>4993130</v>
      </c>
      <c r="U2508" t="n">
        <v>4</v>
      </c>
      <c r="V2508" t="n">
        <v>0.0887</v>
      </c>
      <c r="W2508" t="n">
        <v>1.46</v>
      </c>
      <c r="X2508" t="n">
        <v>61.17</v>
      </c>
      <c r="Y2508">
        <f>VLOOKUP(D2508,$AB$2:$AC$7,2,FALSE)</f>
        <v/>
      </c>
      <c r="Z2508">
        <f>IF(A2508&lt;Y2508,"Yes","No")</f>
        <v/>
      </c>
    </row>
    <row r="2509">
      <c r="A2509" t="n">
        <v>2021</v>
      </c>
      <c r="B2509" t="inlineStr">
        <is>
          <t>Q2</t>
        </is>
      </c>
      <c r="C2509" t="inlineStr">
        <is>
          <t>South America</t>
        </is>
      </c>
      <c r="D2509" t="inlineStr">
        <is>
          <t>Model 3</t>
        </is>
      </c>
      <c r="E2509" t="n">
        <v>4760</v>
      </c>
      <c r="F2509" t="n">
        <v>106730.92</v>
      </c>
      <c r="G2509" t="n">
        <v>25</v>
      </c>
      <c r="H2509" t="inlineStr">
        <is>
          <t>Standard</t>
        </is>
      </c>
      <c r="I2509" t="inlineStr">
        <is>
          <t>AWD</t>
        </is>
      </c>
      <c r="J2509" t="inlineStr">
        <is>
          <t>Green</t>
        </is>
      </c>
      <c r="K2509" t="n">
        <v>369</v>
      </c>
      <c r="L2509" t="n">
        <v>56</v>
      </c>
      <c r="M2509" t="n">
        <v>15.14</v>
      </c>
      <c r="N2509" t="n">
        <v>5011.65</v>
      </c>
      <c r="O2509" t="n">
        <v>4.14</v>
      </c>
      <c r="P2509" t="n">
        <v>8</v>
      </c>
      <c r="Q2509" t="n">
        <v>3</v>
      </c>
      <c r="R2509" t="n">
        <v>2021.1</v>
      </c>
      <c r="S2509" t="b">
        <v>1</v>
      </c>
      <c r="T2509" t="n">
        <v>4653697</v>
      </c>
      <c r="U2509" t="n">
        <v>3</v>
      </c>
      <c r="V2509" t="n">
        <v>0.0866</v>
      </c>
      <c r="W2509" t="n">
        <v>1.66</v>
      </c>
      <c r="X2509" t="n">
        <v>87.40000000000001</v>
      </c>
      <c r="Y2509">
        <f>VLOOKUP(D2509,$AB$2:$AC$7,2,FALSE)</f>
        <v/>
      </c>
      <c r="Z2509">
        <f>IF(A2509&lt;Y2509,"Yes","No")</f>
        <v/>
      </c>
    </row>
    <row r="2510">
      <c r="A2510" t="n">
        <v>2024</v>
      </c>
      <c r="B2510" t="inlineStr">
        <is>
          <t>Q3</t>
        </is>
      </c>
      <c r="C2510" t="inlineStr">
        <is>
          <t>South America</t>
        </is>
      </c>
      <c r="D2510" t="inlineStr">
        <is>
          <t>Model Y</t>
        </is>
      </c>
      <c r="E2510" t="n">
        <v>3979</v>
      </c>
      <c r="F2510" t="n">
        <v>38320.63</v>
      </c>
      <c r="G2510" t="n">
        <v>41</v>
      </c>
      <c r="H2510" t="inlineStr">
        <is>
          <t>Long Range</t>
        </is>
      </c>
      <c r="I2510" t="inlineStr">
        <is>
          <t>RWD</t>
        </is>
      </c>
      <c r="J2510" t="inlineStr">
        <is>
          <t>White</t>
        </is>
      </c>
      <c r="K2510" t="n">
        <v>489</v>
      </c>
      <c r="L2510" t="n">
        <v>82</v>
      </c>
      <c r="M2510" t="n">
        <v>16.29</v>
      </c>
      <c r="N2510" t="n">
        <v>2500.87</v>
      </c>
      <c r="O2510" t="n">
        <v>4.32</v>
      </c>
      <c r="P2510" t="n">
        <v>4</v>
      </c>
      <c r="Q2510" t="n">
        <v>0</v>
      </c>
      <c r="R2510" t="n">
        <v>2020.6</v>
      </c>
      <c r="S2510" t="b">
        <v>0</v>
      </c>
      <c r="T2510" t="n">
        <v>1496516</v>
      </c>
      <c r="U2510" t="n">
        <v>9</v>
      </c>
      <c r="V2510" t="n">
        <v>0.08</v>
      </c>
      <c r="W2510" t="n">
        <v>0.85</v>
      </c>
      <c r="X2510" t="n">
        <v>70.03</v>
      </c>
      <c r="Y2510">
        <f>VLOOKUP(D2510,$AB$2:$AC$7,2,FALSE)</f>
        <v/>
      </c>
      <c r="Z2510">
        <f>IF(A2510&lt;Y2510,"Yes","No")</f>
        <v/>
      </c>
    </row>
    <row r="2511">
      <c r="A2511" t="n">
        <v>2019</v>
      </c>
      <c r="B2511" t="inlineStr">
        <is>
          <t>Q2</t>
        </is>
      </c>
      <c r="C2511" t="inlineStr">
        <is>
          <t>North America</t>
        </is>
      </c>
      <c r="D2511" t="inlineStr">
        <is>
          <t>Semi</t>
        </is>
      </c>
      <c r="E2511" t="n">
        <v>889</v>
      </c>
      <c r="F2511" t="n">
        <v>119310.68</v>
      </c>
      <c r="G2511" t="n">
        <v>47</v>
      </c>
      <c r="H2511" t="inlineStr">
        <is>
          <t>Standard</t>
        </is>
      </c>
      <c r="I2511" t="inlineStr">
        <is>
          <t>RWD</t>
        </is>
      </c>
      <c r="J2511" t="inlineStr">
        <is>
          <t>Black</t>
        </is>
      </c>
      <c r="K2511" t="n">
        <v>522</v>
      </c>
      <c r="L2511" t="n">
        <v>62</v>
      </c>
      <c r="M2511" t="n">
        <v>16.62</v>
      </c>
      <c r="N2511" t="n">
        <v>1963.4</v>
      </c>
      <c r="O2511" t="n">
        <v>3.52</v>
      </c>
      <c r="P2511" t="n">
        <v>5</v>
      </c>
      <c r="Q2511" t="n">
        <v>3</v>
      </c>
      <c r="R2511" t="n">
        <v>2021.8</v>
      </c>
      <c r="S2511" t="b">
        <v>0</v>
      </c>
      <c r="T2511" t="n">
        <v>1427344</v>
      </c>
      <c r="U2511" t="n">
        <v>3</v>
      </c>
      <c r="V2511" t="n">
        <v>0.07190000000000001</v>
      </c>
      <c r="W2511" t="n">
        <v>2.19</v>
      </c>
      <c r="X2511" t="n">
        <v>65.04000000000001</v>
      </c>
      <c r="Y2511">
        <f>VLOOKUP(D2511,$AB$2:$AC$7,2,FALSE)</f>
        <v/>
      </c>
      <c r="Z2511">
        <f>IF(A2511&lt;Y2511,"Yes","No")</f>
        <v/>
      </c>
    </row>
    <row r="2512">
      <c r="A2512" t="n">
        <v>2024</v>
      </c>
      <c r="B2512" t="inlineStr">
        <is>
          <t>Q2</t>
        </is>
      </c>
      <c r="C2512" t="inlineStr">
        <is>
          <t>Europe</t>
        </is>
      </c>
      <c r="D2512" t="inlineStr">
        <is>
          <t>Model S</t>
        </is>
      </c>
      <c r="E2512" t="n">
        <v>1037</v>
      </c>
      <c r="F2512" t="n">
        <v>94590.33</v>
      </c>
      <c r="G2512" t="n">
        <v>14</v>
      </c>
      <c r="H2512" t="inlineStr">
        <is>
          <t>Long Range</t>
        </is>
      </c>
      <c r="I2512" t="inlineStr">
        <is>
          <t>AWD</t>
        </is>
      </c>
      <c r="J2512" t="inlineStr">
        <is>
          <t>Green</t>
        </is>
      </c>
      <c r="K2512" t="n">
        <v>547</v>
      </c>
      <c r="L2512" t="n">
        <v>54</v>
      </c>
      <c r="M2512" t="n">
        <v>24.5</v>
      </c>
      <c r="N2512" t="n">
        <v>1003.52</v>
      </c>
      <c r="O2512" t="n">
        <v>3.74</v>
      </c>
      <c r="P2512" t="n">
        <v>8</v>
      </c>
      <c r="Q2512" t="n">
        <v>3</v>
      </c>
      <c r="R2512" t="n">
        <v>2022.1</v>
      </c>
      <c r="S2512" t="b">
        <v>0</v>
      </c>
      <c r="T2512" t="n">
        <v>1206057</v>
      </c>
      <c r="U2512" t="n">
        <v>9</v>
      </c>
      <c r="V2512" t="n">
        <v>0.0497</v>
      </c>
      <c r="W2512" t="n">
        <v>0.72</v>
      </c>
      <c r="X2512" t="n">
        <v>77.15000000000001</v>
      </c>
      <c r="Y2512">
        <f>VLOOKUP(D2512,$AB$2:$AC$7,2,FALSE)</f>
        <v/>
      </c>
      <c r="Z2512">
        <f>IF(A2512&lt;Y2512,"Yes","No")</f>
        <v/>
      </c>
    </row>
    <row r="2513">
      <c r="A2513" t="n">
        <v>2023</v>
      </c>
      <c r="B2513" t="inlineStr">
        <is>
          <t>Q3</t>
        </is>
      </c>
      <c r="C2513" t="inlineStr">
        <is>
          <t>Australia</t>
        </is>
      </c>
      <c r="D2513" t="inlineStr">
        <is>
          <t>Model S</t>
        </is>
      </c>
      <c r="E2513" t="n">
        <v>2937</v>
      </c>
      <c r="F2513" t="n">
        <v>51038.79</v>
      </c>
      <c r="G2513" t="n">
        <v>59</v>
      </c>
      <c r="H2513" t="inlineStr">
        <is>
          <t>Long Range</t>
        </is>
      </c>
      <c r="I2513" t="inlineStr">
        <is>
          <t>RWD</t>
        </is>
      </c>
      <c r="J2513" t="inlineStr">
        <is>
          <t>Green</t>
        </is>
      </c>
      <c r="K2513" t="n">
        <v>519</v>
      </c>
      <c r="L2513" t="n">
        <v>70</v>
      </c>
      <c r="M2513" t="n">
        <v>23.88</v>
      </c>
      <c r="N2513" t="n">
        <v>3151.04</v>
      </c>
      <c r="O2513" t="n">
        <v>4.64</v>
      </c>
      <c r="P2513" t="n">
        <v>4</v>
      </c>
      <c r="Q2513" t="n">
        <v>3</v>
      </c>
      <c r="R2513" t="n">
        <v>2024.4</v>
      </c>
      <c r="S2513" t="b">
        <v>0</v>
      </c>
      <c r="T2513" t="n">
        <v>4579268</v>
      </c>
      <c r="U2513" t="n">
        <v>8</v>
      </c>
      <c r="V2513" t="n">
        <v>0.0803</v>
      </c>
      <c r="W2513" t="n">
        <v>1.69</v>
      </c>
      <c r="X2513" t="n">
        <v>74.69</v>
      </c>
      <c r="Y2513">
        <f>VLOOKUP(D2513,$AB$2:$AC$7,2,FALSE)</f>
        <v/>
      </c>
      <c r="Z2513">
        <f>IF(A2513&lt;Y2513,"Yes","No")</f>
        <v/>
      </c>
    </row>
    <row r="2514">
      <c r="A2514" t="n">
        <v>2018</v>
      </c>
      <c r="B2514" t="inlineStr">
        <is>
          <t>Q3</t>
        </is>
      </c>
      <c r="C2514" t="inlineStr">
        <is>
          <t>Australia</t>
        </is>
      </c>
      <c r="D2514" t="inlineStr">
        <is>
          <t>Model 3</t>
        </is>
      </c>
      <c r="E2514" t="n">
        <v>1080</v>
      </c>
      <c r="F2514" t="n">
        <v>83017.55</v>
      </c>
      <c r="G2514" t="n">
        <v>48</v>
      </c>
      <c r="H2514" t="inlineStr">
        <is>
          <t>Long Range</t>
        </is>
      </c>
      <c r="I2514" t="inlineStr">
        <is>
          <t>RWD</t>
        </is>
      </c>
      <c r="J2514" t="inlineStr">
        <is>
          <t>Black</t>
        </is>
      </c>
      <c r="K2514" t="n">
        <v>549</v>
      </c>
      <c r="L2514" t="n">
        <v>79</v>
      </c>
      <c r="M2514" t="n">
        <v>13.23</v>
      </c>
      <c r="N2514" t="n">
        <v>1061.5</v>
      </c>
      <c r="O2514" t="n">
        <v>4.74</v>
      </c>
      <c r="P2514" t="n">
        <v>4</v>
      </c>
      <c r="Q2514" t="n">
        <v>0</v>
      </c>
      <c r="R2514" t="n">
        <v>2020.1</v>
      </c>
      <c r="S2514" t="b">
        <v>1</v>
      </c>
      <c r="T2514" t="n">
        <v>368088</v>
      </c>
      <c r="U2514" t="n">
        <v>9</v>
      </c>
      <c r="V2514" t="n">
        <v>0.08649999999999999</v>
      </c>
      <c r="W2514" t="n">
        <v>1.44</v>
      </c>
      <c r="X2514" t="n">
        <v>67.09</v>
      </c>
      <c r="Y2514">
        <f>VLOOKUP(D2514,$AB$2:$AC$7,2,FALSE)</f>
        <v/>
      </c>
      <c r="Z2514">
        <f>IF(A2514&lt;Y2514,"Yes","No")</f>
        <v/>
      </c>
    </row>
    <row r="2515">
      <c r="A2515" t="n">
        <v>2013</v>
      </c>
      <c r="B2515" t="inlineStr">
        <is>
          <t>Q2</t>
        </is>
      </c>
      <c r="C2515" t="inlineStr">
        <is>
          <t>Australia</t>
        </is>
      </c>
      <c r="D2515" t="inlineStr">
        <is>
          <t>Model 3</t>
        </is>
      </c>
      <c r="E2515" t="n">
        <v>3954</v>
      </c>
      <c r="F2515" t="n">
        <v>89346.35000000001</v>
      </c>
      <c r="G2515" t="n">
        <v>4</v>
      </c>
      <c r="H2515" t="inlineStr">
        <is>
          <t>Performance</t>
        </is>
      </c>
      <c r="I2515" t="inlineStr">
        <is>
          <t>RWD</t>
        </is>
      </c>
      <c r="J2515" t="inlineStr">
        <is>
          <t>Green</t>
        </is>
      </c>
      <c r="K2515" t="n">
        <v>374</v>
      </c>
      <c r="L2515" t="n">
        <v>43</v>
      </c>
      <c r="M2515" t="n">
        <v>23.94</v>
      </c>
      <c r="N2515" t="n">
        <v>3447.65</v>
      </c>
      <c r="O2515" t="n">
        <v>3.58</v>
      </c>
      <c r="P2515" t="n">
        <v>4</v>
      </c>
      <c r="Q2515" t="n">
        <v>1</v>
      </c>
      <c r="R2515" t="n">
        <v>2021.1</v>
      </c>
      <c r="S2515" t="b">
        <v>1</v>
      </c>
      <c r="T2515" t="n">
        <v>1449699</v>
      </c>
      <c r="U2515" t="n">
        <v>9</v>
      </c>
      <c r="V2515" t="n">
        <v>0.09760000000000001</v>
      </c>
      <c r="W2515" t="n">
        <v>1.02</v>
      </c>
      <c r="X2515" t="n">
        <v>68.73</v>
      </c>
      <c r="Y2515">
        <f>VLOOKUP(D2515,$AB$2:$AC$7,2,FALSE)</f>
        <v/>
      </c>
      <c r="Z2515">
        <f>IF(A2515&lt;Y2515,"Yes","No")</f>
        <v/>
      </c>
    </row>
    <row r="2516">
      <c r="A2516" t="n">
        <v>2017</v>
      </c>
      <c r="B2516" t="inlineStr">
        <is>
          <t>Q3</t>
        </is>
      </c>
      <c r="C2516" t="inlineStr">
        <is>
          <t>Asia</t>
        </is>
      </c>
      <c r="D2516" t="inlineStr">
        <is>
          <t>Semi</t>
        </is>
      </c>
      <c r="E2516" t="n">
        <v>2373</v>
      </c>
      <c r="F2516" t="n">
        <v>100341.53</v>
      </c>
      <c r="G2516" t="n">
        <v>58</v>
      </c>
      <c r="H2516" t="inlineStr">
        <is>
          <t>Long Range</t>
        </is>
      </c>
      <c r="I2516" t="inlineStr">
        <is>
          <t>AWD</t>
        </is>
      </c>
      <c r="J2516" t="inlineStr">
        <is>
          <t>Blue</t>
        </is>
      </c>
      <c r="K2516" t="n">
        <v>615</v>
      </c>
      <c r="L2516" t="n">
        <v>88</v>
      </c>
      <c r="M2516" t="n">
        <v>18.93</v>
      </c>
      <c r="N2516" t="n">
        <v>4032.7</v>
      </c>
      <c r="O2516" t="n">
        <v>3.76</v>
      </c>
      <c r="P2516" t="n">
        <v>6</v>
      </c>
      <c r="Q2516" t="n">
        <v>3</v>
      </c>
      <c r="R2516" t="n">
        <v>2023.2</v>
      </c>
      <c r="S2516" t="b">
        <v>0</v>
      </c>
      <c r="T2516" t="n">
        <v>2715660</v>
      </c>
      <c r="U2516" t="n">
        <v>2</v>
      </c>
      <c r="V2516" t="n">
        <v>0.0467</v>
      </c>
      <c r="W2516" t="n">
        <v>1.28</v>
      </c>
      <c r="X2516" t="n">
        <v>71.62</v>
      </c>
      <c r="Y2516">
        <f>VLOOKUP(D2516,$AB$2:$AC$7,2,FALSE)</f>
        <v/>
      </c>
      <c r="Z2516">
        <f>IF(A2516&lt;Y2516,"Yes","No")</f>
        <v/>
      </c>
    </row>
    <row r="2517">
      <c r="A2517" t="n">
        <v>2021</v>
      </c>
      <c r="B2517" t="inlineStr">
        <is>
          <t>Q3</t>
        </is>
      </c>
      <c r="C2517" t="inlineStr">
        <is>
          <t>Europe</t>
        </is>
      </c>
      <c r="D2517" t="inlineStr">
        <is>
          <t>Model S</t>
        </is>
      </c>
      <c r="E2517" t="n">
        <v>3129</v>
      </c>
      <c r="F2517" t="n">
        <v>45251.64</v>
      </c>
      <c r="G2517" t="n">
        <v>30</v>
      </c>
      <c r="H2517" t="inlineStr">
        <is>
          <t>Long Range</t>
        </is>
      </c>
      <c r="I2517" t="inlineStr">
        <is>
          <t>AWD</t>
        </is>
      </c>
      <c r="J2517" t="inlineStr">
        <is>
          <t>Black</t>
        </is>
      </c>
      <c r="K2517" t="n">
        <v>581</v>
      </c>
      <c r="L2517" t="n">
        <v>54</v>
      </c>
      <c r="M2517" t="n">
        <v>14.02</v>
      </c>
      <c r="N2517" t="n">
        <v>5073.98</v>
      </c>
      <c r="O2517" t="n">
        <v>3.98</v>
      </c>
      <c r="P2517" t="n">
        <v>5</v>
      </c>
      <c r="Q2517" t="n">
        <v>0</v>
      </c>
      <c r="R2517" t="n">
        <v>2024.8</v>
      </c>
      <c r="S2517" t="b">
        <v>0</v>
      </c>
      <c r="T2517" t="n">
        <v>4828848</v>
      </c>
      <c r="U2517" t="n">
        <v>2</v>
      </c>
      <c r="V2517" t="n">
        <v>0.064</v>
      </c>
      <c r="W2517" t="n">
        <v>0.85</v>
      </c>
      <c r="X2517" t="n">
        <v>89.48</v>
      </c>
      <c r="Y2517">
        <f>VLOOKUP(D2517,$AB$2:$AC$7,2,FALSE)</f>
        <v/>
      </c>
      <c r="Z2517">
        <f>IF(A2517&lt;Y2517,"Yes","No")</f>
        <v/>
      </c>
    </row>
    <row r="2518">
      <c r="A2518" t="n">
        <v>2014</v>
      </c>
      <c r="B2518" t="inlineStr">
        <is>
          <t>Q1</t>
        </is>
      </c>
      <c r="C2518" t="inlineStr">
        <is>
          <t>Europe</t>
        </is>
      </c>
      <c r="D2518" t="inlineStr">
        <is>
          <t>Model Y</t>
        </is>
      </c>
      <c r="E2518" t="n">
        <v>1829</v>
      </c>
      <c r="F2518" t="n">
        <v>61865.78</v>
      </c>
      <c r="G2518" t="n">
        <v>58</v>
      </c>
      <c r="H2518" t="inlineStr">
        <is>
          <t>Performance</t>
        </is>
      </c>
      <c r="I2518" t="inlineStr">
        <is>
          <t>AWD</t>
        </is>
      </c>
      <c r="J2518" t="inlineStr">
        <is>
          <t>White</t>
        </is>
      </c>
      <c r="K2518" t="n">
        <v>572</v>
      </c>
      <c r="L2518" t="n">
        <v>60</v>
      </c>
      <c r="M2518" t="n">
        <v>13.9</v>
      </c>
      <c r="N2518" t="n">
        <v>1547.28</v>
      </c>
      <c r="O2518" t="n">
        <v>4.86</v>
      </c>
      <c r="P2518" t="n">
        <v>5</v>
      </c>
      <c r="Q2518" t="n">
        <v>1</v>
      </c>
      <c r="R2518" t="n">
        <v>2022.12</v>
      </c>
      <c r="S2518" t="b">
        <v>1</v>
      </c>
      <c r="T2518" t="n">
        <v>1775856</v>
      </c>
      <c r="U2518" t="n">
        <v>5</v>
      </c>
      <c r="V2518" t="n">
        <v>0.0385</v>
      </c>
      <c r="W2518" t="n">
        <v>0.76</v>
      </c>
      <c r="X2518" t="n">
        <v>89.03</v>
      </c>
      <c r="Y2518">
        <f>VLOOKUP(D2518,$AB$2:$AC$7,2,FALSE)</f>
        <v/>
      </c>
      <c r="Z2518">
        <f>IF(A2518&lt;Y2518,"Yes","No")</f>
        <v/>
      </c>
    </row>
    <row r="2519">
      <c r="A2519" t="n">
        <v>2020</v>
      </c>
      <c r="B2519" t="inlineStr">
        <is>
          <t>Q3</t>
        </is>
      </c>
      <c r="C2519" t="inlineStr">
        <is>
          <t>Asia</t>
        </is>
      </c>
      <c r="D2519" t="inlineStr">
        <is>
          <t>Model 3</t>
        </is>
      </c>
      <c r="E2519" t="n">
        <v>4041</v>
      </c>
      <c r="F2519" t="n">
        <v>92158.14999999999</v>
      </c>
      <c r="G2519" t="n">
        <v>51</v>
      </c>
      <c r="H2519" t="inlineStr">
        <is>
          <t>Performance</t>
        </is>
      </c>
      <c r="I2519" t="inlineStr">
        <is>
          <t>AWD</t>
        </is>
      </c>
      <c r="J2519" t="inlineStr">
        <is>
          <t>Silver</t>
        </is>
      </c>
      <c r="K2519" t="n">
        <v>480</v>
      </c>
      <c r="L2519" t="n">
        <v>31</v>
      </c>
      <c r="M2519" t="n">
        <v>21.69</v>
      </c>
      <c r="N2519" t="n">
        <v>2823.13</v>
      </c>
      <c r="O2519" t="n">
        <v>3.75</v>
      </c>
      <c r="P2519" t="n">
        <v>5</v>
      </c>
      <c r="Q2519" t="n">
        <v>0</v>
      </c>
      <c r="R2519" t="n">
        <v>2020.5</v>
      </c>
      <c r="S2519" t="b">
        <v>1</v>
      </c>
      <c r="T2519" t="n">
        <v>1661962</v>
      </c>
      <c r="U2519" t="n">
        <v>2</v>
      </c>
      <c r="V2519" t="n">
        <v>0.0606</v>
      </c>
      <c r="W2519" t="n">
        <v>0.64</v>
      </c>
      <c r="X2519" t="n">
        <v>64.7</v>
      </c>
      <c r="Y2519">
        <f>VLOOKUP(D2519,$AB$2:$AC$7,2,FALSE)</f>
        <v/>
      </c>
      <c r="Z2519">
        <f>IF(A2519&lt;Y2519,"Yes","No")</f>
        <v/>
      </c>
    </row>
    <row r="2520">
      <c r="A2520" t="n">
        <v>2024</v>
      </c>
      <c r="B2520" t="inlineStr">
        <is>
          <t>Q1</t>
        </is>
      </c>
      <c r="C2520" t="inlineStr">
        <is>
          <t>Europe</t>
        </is>
      </c>
      <c r="D2520" t="inlineStr">
        <is>
          <t>Model X</t>
        </is>
      </c>
      <c r="E2520" t="n">
        <v>3994</v>
      </c>
      <c r="F2520" t="n">
        <v>112712.49</v>
      </c>
      <c r="G2520" t="n">
        <v>25</v>
      </c>
      <c r="H2520" t="inlineStr">
        <is>
          <t>Performance</t>
        </is>
      </c>
      <c r="I2520" t="inlineStr">
        <is>
          <t>RWD</t>
        </is>
      </c>
      <c r="J2520" t="inlineStr">
        <is>
          <t>Blue</t>
        </is>
      </c>
      <c r="K2520" t="n">
        <v>688</v>
      </c>
      <c r="L2520" t="n">
        <v>59</v>
      </c>
      <c r="M2520" t="n">
        <v>19.16</v>
      </c>
      <c r="N2520" t="n">
        <v>2204.73</v>
      </c>
      <c r="O2520" t="n">
        <v>4.96</v>
      </c>
      <c r="P2520" t="n">
        <v>8</v>
      </c>
      <c r="Q2520" t="n">
        <v>1</v>
      </c>
      <c r="R2520" t="n">
        <v>2024.12</v>
      </c>
      <c r="S2520" t="b">
        <v>0</v>
      </c>
      <c r="T2520" t="n">
        <v>521134</v>
      </c>
      <c r="U2520" t="n">
        <v>11</v>
      </c>
      <c r="V2520" t="n">
        <v>0.0648</v>
      </c>
      <c r="W2520" t="n">
        <v>2.25</v>
      </c>
      <c r="X2520" t="n">
        <v>74.27</v>
      </c>
      <c r="Y2520">
        <f>VLOOKUP(D2520,$AB$2:$AC$7,2,FALSE)</f>
        <v/>
      </c>
      <c r="Z2520">
        <f>IF(A2520&lt;Y2520,"Yes","No")</f>
        <v/>
      </c>
    </row>
    <row r="2521">
      <c r="A2521" t="n">
        <v>2013</v>
      </c>
      <c r="B2521" t="inlineStr">
        <is>
          <t>Q2</t>
        </is>
      </c>
      <c r="C2521" t="inlineStr">
        <is>
          <t>Australia</t>
        </is>
      </c>
      <c r="D2521" t="inlineStr">
        <is>
          <t>Model Y</t>
        </is>
      </c>
      <c r="E2521" t="n">
        <v>4433</v>
      </c>
      <c r="F2521" t="n">
        <v>115385.27</v>
      </c>
      <c r="G2521" t="n">
        <v>16</v>
      </c>
      <c r="H2521" t="inlineStr">
        <is>
          <t>Performance</t>
        </is>
      </c>
      <c r="I2521" t="inlineStr">
        <is>
          <t>AWD</t>
        </is>
      </c>
      <c r="J2521" t="inlineStr">
        <is>
          <t>White</t>
        </is>
      </c>
      <c r="K2521" t="n">
        <v>684</v>
      </c>
      <c r="L2521" t="n">
        <v>36</v>
      </c>
      <c r="M2521" t="n">
        <v>21.56</v>
      </c>
      <c r="N2521" t="n">
        <v>8744.360000000001</v>
      </c>
      <c r="O2521" t="n">
        <v>4.24</v>
      </c>
      <c r="P2521" t="n">
        <v>4</v>
      </c>
      <c r="Q2521" t="n">
        <v>2</v>
      </c>
      <c r="R2521" t="n">
        <v>2022.2</v>
      </c>
      <c r="S2521" t="b">
        <v>1</v>
      </c>
      <c r="T2521" t="n">
        <v>124027</v>
      </c>
      <c r="U2521" t="n">
        <v>10</v>
      </c>
      <c r="V2521" t="n">
        <v>0.075</v>
      </c>
      <c r="W2521" t="n">
        <v>1.04</v>
      </c>
      <c r="X2521" t="n">
        <v>78.65000000000001</v>
      </c>
      <c r="Y2521">
        <f>VLOOKUP(D2521,$AB$2:$AC$7,2,FALSE)</f>
        <v/>
      </c>
      <c r="Z2521">
        <f>IF(A2521&lt;Y2521,"Yes","No")</f>
        <v/>
      </c>
    </row>
    <row r="2522">
      <c r="A2522" t="n">
        <v>2018</v>
      </c>
      <c r="B2522" t="inlineStr">
        <is>
          <t>Q3</t>
        </is>
      </c>
      <c r="C2522" t="inlineStr">
        <is>
          <t>Europe</t>
        </is>
      </c>
      <c r="D2522" t="inlineStr">
        <is>
          <t>Cybertruck</t>
        </is>
      </c>
      <c r="E2522" t="n">
        <v>2802</v>
      </c>
      <c r="F2522" t="n">
        <v>42750.82</v>
      </c>
      <c r="G2522" t="n">
        <v>36</v>
      </c>
      <c r="H2522" t="inlineStr">
        <is>
          <t>Long Range</t>
        </is>
      </c>
      <c r="I2522" t="inlineStr">
        <is>
          <t>AWD</t>
        </is>
      </c>
      <c r="J2522" t="inlineStr">
        <is>
          <t>White</t>
        </is>
      </c>
      <c r="K2522" t="n">
        <v>556</v>
      </c>
      <c r="L2522" t="n">
        <v>64</v>
      </c>
      <c r="M2522" t="n">
        <v>16.48</v>
      </c>
      <c r="N2522" t="n">
        <v>5230.73</v>
      </c>
      <c r="O2522" t="n">
        <v>4.45</v>
      </c>
      <c r="P2522" t="n">
        <v>5</v>
      </c>
      <c r="Q2522" t="n">
        <v>2</v>
      </c>
      <c r="R2522" t="n">
        <v>2020.2</v>
      </c>
      <c r="S2522" t="b">
        <v>1</v>
      </c>
      <c r="T2522" t="n">
        <v>3973848</v>
      </c>
      <c r="U2522" t="n">
        <v>7</v>
      </c>
      <c r="V2522" t="n">
        <v>0.0878</v>
      </c>
      <c r="W2522" t="n">
        <v>1.6</v>
      </c>
      <c r="X2522" t="n">
        <v>81.23</v>
      </c>
      <c r="Y2522">
        <f>VLOOKUP(D2522,$AB$2:$AC$7,2,FALSE)</f>
        <v/>
      </c>
      <c r="Z2522">
        <f>IF(A2522&lt;Y2522,"Yes","No")</f>
        <v/>
      </c>
    </row>
    <row r="2523">
      <c r="A2523" t="n">
        <v>2021</v>
      </c>
      <c r="B2523" t="inlineStr">
        <is>
          <t>Q4</t>
        </is>
      </c>
      <c r="C2523" t="inlineStr">
        <is>
          <t>Europe</t>
        </is>
      </c>
      <c r="D2523" t="inlineStr">
        <is>
          <t>Model 3</t>
        </is>
      </c>
      <c r="E2523" t="n">
        <v>2832</v>
      </c>
      <c r="F2523" t="n">
        <v>75170.7</v>
      </c>
      <c r="G2523" t="n">
        <v>46</v>
      </c>
      <c r="H2523" t="inlineStr">
        <is>
          <t>Performance</t>
        </is>
      </c>
      <c r="I2523" t="inlineStr">
        <is>
          <t>RWD</t>
        </is>
      </c>
      <c r="J2523" t="inlineStr">
        <is>
          <t>Red</t>
        </is>
      </c>
      <c r="K2523" t="n">
        <v>415</v>
      </c>
      <c r="L2523" t="n">
        <v>88</v>
      </c>
      <c r="M2523" t="n">
        <v>15.1</v>
      </c>
      <c r="N2523" t="n">
        <v>4910.67</v>
      </c>
      <c r="O2523" t="n">
        <v>4.84</v>
      </c>
      <c r="P2523" t="n">
        <v>4</v>
      </c>
      <c r="Q2523" t="n">
        <v>1</v>
      </c>
      <c r="R2523" t="n">
        <v>2021.8</v>
      </c>
      <c r="S2523" t="b">
        <v>1</v>
      </c>
      <c r="T2523" t="n">
        <v>3227429</v>
      </c>
      <c r="U2523" t="n">
        <v>6</v>
      </c>
      <c r="V2523" t="n">
        <v>0.0892</v>
      </c>
      <c r="W2523" t="n">
        <v>1.85</v>
      </c>
      <c r="X2523" t="n">
        <v>77.09999999999999</v>
      </c>
      <c r="Y2523">
        <f>VLOOKUP(D2523,$AB$2:$AC$7,2,FALSE)</f>
        <v/>
      </c>
      <c r="Z2523">
        <f>IF(A2523&lt;Y2523,"Yes","No")</f>
        <v/>
      </c>
    </row>
    <row r="2524">
      <c r="A2524" t="n">
        <v>2017</v>
      </c>
      <c r="B2524" t="inlineStr">
        <is>
          <t>Q3</t>
        </is>
      </c>
      <c r="C2524" t="inlineStr">
        <is>
          <t>North America</t>
        </is>
      </c>
      <c r="D2524" t="inlineStr">
        <is>
          <t>Model 3</t>
        </is>
      </c>
      <c r="E2524" t="n">
        <v>159</v>
      </c>
      <c r="F2524" t="n">
        <v>73499.31</v>
      </c>
      <c r="G2524" t="n">
        <v>20</v>
      </c>
      <c r="H2524" t="inlineStr">
        <is>
          <t>Performance</t>
        </is>
      </c>
      <c r="I2524" t="inlineStr">
        <is>
          <t>AWD</t>
        </is>
      </c>
      <c r="J2524" t="inlineStr">
        <is>
          <t>White</t>
        </is>
      </c>
      <c r="K2524" t="n">
        <v>478</v>
      </c>
      <c r="L2524" t="n">
        <v>80</v>
      </c>
      <c r="M2524" t="n">
        <v>18.14</v>
      </c>
      <c r="N2524" t="n">
        <v>386.93</v>
      </c>
      <c r="O2524" t="n">
        <v>3.72</v>
      </c>
      <c r="P2524" t="n">
        <v>8</v>
      </c>
      <c r="Q2524" t="n">
        <v>3</v>
      </c>
      <c r="R2524" t="n">
        <v>2023.9</v>
      </c>
      <c r="S2524" t="b">
        <v>1</v>
      </c>
      <c r="T2524" t="n">
        <v>4827285</v>
      </c>
      <c r="U2524" t="n">
        <v>2</v>
      </c>
      <c r="V2524" t="n">
        <v>0.0964</v>
      </c>
      <c r="W2524" t="n">
        <v>1.14</v>
      </c>
      <c r="X2524" t="n">
        <v>62.41</v>
      </c>
      <c r="Y2524">
        <f>VLOOKUP(D2524,$AB$2:$AC$7,2,FALSE)</f>
        <v/>
      </c>
      <c r="Z2524">
        <f>IF(A2524&lt;Y2524,"Yes","No")</f>
        <v/>
      </c>
    </row>
    <row r="2525">
      <c r="A2525" t="n">
        <v>2015</v>
      </c>
      <c r="B2525" t="inlineStr">
        <is>
          <t>Q1</t>
        </is>
      </c>
      <c r="C2525" t="inlineStr">
        <is>
          <t>Australia</t>
        </is>
      </c>
      <c r="D2525" t="inlineStr">
        <is>
          <t>Model Y</t>
        </is>
      </c>
      <c r="E2525" t="n">
        <v>1532</v>
      </c>
      <c r="F2525" t="n">
        <v>69368.97</v>
      </c>
      <c r="G2525" t="n">
        <v>30</v>
      </c>
      <c r="H2525" t="inlineStr">
        <is>
          <t>Performance</t>
        </is>
      </c>
      <c r="I2525" t="inlineStr">
        <is>
          <t>RWD</t>
        </is>
      </c>
      <c r="J2525" t="inlineStr">
        <is>
          <t>Red</t>
        </is>
      </c>
      <c r="K2525" t="n">
        <v>661</v>
      </c>
      <c r="L2525" t="n">
        <v>74</v>
      </c>
      <c r="M2525" t="n">
        <v>19.94</v>
      </c>
      <c r="N2525" t="n">
        <v>3390.92</v>
      </c>
      <c r="O2525" t="n">
        <v>3.56</v>
      </c>
      <c r="P2525" t="n">
        <v>5</v>
      </c>
      <c r="Q2525" t="n">
        <v>3</v>
      </c>
      <c r="R2525" t="n">
        <v>2021.3</v>
      </c>
      <c r="S2525" t="b">
        <v>1</v>
      </c>
      <c r="T2525" t="n">
        <v>4290390</v>
      </c>
      <c r="U2525" t="n">
        <v>8</v>
      </c>
      <c r="V2525" t="n">
        <v>0.0347</v>
      </c>
      <c r="W2525" t="n">
        <v>0.53</v>
      </c>
      <c r="X2525" t="n">
        <v>72</v>
      </c>
      <c r="Y2525">
        <f>VLOOKUP(D2525,$AB$2:$AC$7,2,FALSE)</f>
        <v/>
      </c>
      <c r="Z2525">
        <f>IF(A2525&lt;Y2525,"Yes","No")</f>
        <v/>
      </c>
    </row>
    <row r="2526">
      <c r="A2526" t="n">
        <v>2016</v>
      </c>
      <c r="B2526" t="inlineStr">
        <is>
          <t>Q3</t>
        </is>
      </c>
      <c r="C2526" t="inlineStr">
        <is>
          <t>Asia</t>
        </is>
      </c>
      <c r="D2526" t="inlineStr">
        <is>
          <t>Model X</t>
        </is>
      </c>
      <c r="E2526" t="n">
        <v>257</v>
      </c>
      <c r="F2526" t="n">
        <v>92700.62</v>
      </c>
      <c r="G2526" t="n">
        <v>11</v>
      </c>
      <c r="H2526" t="inlineStr">
        <is>
          <t>Performance</t>
        </is>
      </c>
      <c r="I2526" t="inlineStr">
        <is>
          <t>AWD</t>
        </is>
      </c>
      <c r="J2526" t="inlineStr">
        <is>
          <t>Silver</t>
        </is>
      </c>
      <c r="K2526" t="n">
        <v>535</v>
      </c>
      <c r="L2526" t="n">
        <v>54</v>
      </c>
      <c r="M2526" t="n">
        <v>16.99</v>
      </c>
      <c r="N2526" t="n">
        <v>470.46</v>
      </c>
      <c r="O2526" t="n">
        <v>3.99</v>
      </c>
      <c r="P2526" t="n">
        <v>6</v>
      </c>
      <c r="Q2526" t="n">
        <v>2</v>
      </c>
      <c r="R2526" t="n">
        <v>2020.11</v>
      </c>
      <c r="S2526" t="b">
        <v>0</v>
      </c>
      <c r="T2526" t="n">
        <v>4886813</v>
      </c>
      <c r="U2526" t="n">
        <v>4</v>
      </c>
      <c r="V2526" t="n">
        <v>0.0827</v>
      </c>
      <c r="W2526" t="n">
        <v>1.58</v>
      </c>
      <c r="X2526" t="n">
        <v>85.11</v>
      </c>
      <c r="Y2526">
        <f>VLOOKUP(D2526,$AB$2:$AC$7,2,FALSE)</f>
        <v/>
      </c>
      <c r="Z2526">
        <f>IF(A2526&lt;Y2526,"Yes","No")</f>
        <v/>
      </c>
    </row>
    <row r="2527">
      <c r="A2527" t="n">
        <v>2023</v>
      </c>
      <c r="B2527" t="inlineStr">
        <is>
          <t>Q4</t>
        </is>
      </c>
      <c r="C2527" t="inlineStr">
        <is>
          <t>North America</t>
        </is>
      </c>
      <c r="D2527" t="inlineStr">
        <is>
          <t>Semi</t>
        </is>
      </c>
      <c r="E2527" t="n">
        <v>1145</v>
      </c>
      <c r="F2527" t="n">
        <v>46460.5</v>
      </c>
      <c r="G2527" t="n">
        <v>37</v>
      </c>
      <c r="H2527" t="inlineStr">
        <is>
          <t>Standard</t>
        </is>
      </c>
      <c r="I2527" t="inlineStr">
        <is>
          <t>RWD</t>
        </is>
      </c>
      <c r="J2527" t="inlineStr">
        <is>
          <t>Red</t>
        </is>
      </c>
      <c r="K2527" t="n">
        <v>391</v>
      </c>
      <c r="L2527" t="n">
        <v>72</v>
      </c>
      <c r="M2527" t="n">
        <v>18.85</v>
      </c>
      <c r="N2527" t="n">
        <v>1259.65</v>
      </c>
      <c r="O2527" t="n">
        <v>4.91</v>
      </c>
      <c r="P2527" t="n">
        <v>8</v>
      </c>
      <c r="Q2527" t="n">
        <v>1</v>
      </c>
      <c r="R2527" t="n">
        <v>2023.1</v>
      </c>
      <c r="S2527" t="b">
        <v>1</v>
      </c>
      <c r="T2527" t="n">
        <v>4632562</v>
      </c>
      <c r="U2527" t="n">
        <v>2</v>
      </c>
      <c r="V2527" t="n">
        <v>0.0415</v>
      </c>
      <c r="W2527" t="n">
        <v>1.01</v>
      </c>
      <c r="X2527" t="n">
        <v>88.91</v>
      </c>
      <c r="Y2527">
        <f>VLOOKUP(D2527,$AB$2:$AC$7,2,FALSE)</f>
        <v/>
      </c>
      <c r="Z2527">
        <f>IF(A2527&lt;Y2527,"Yes","No")</f>
        <v/>
      </c>
    </row>
    <row r="2528">
      <c r="A2528" t="n">
        <v>2019</v>
      </c>
      <c r="B2528" t="inlineStr">
        <is>
          <t>Q1</t>
        </is>
      </c>
      <c r="C2528" t="inlineStr">
        <is>
          <t>Asia</t>
        </is>
      </c>
      <c r="D2528" t="inlineStr">
        <is>
          <t>Model 3</t>
        </is>
      </c>
      <c r="E2528" t="n">
        <v>2813</v>
      </c>
      <c r="F2528" t="n">
        <v>91998.21000000001</v>
      </c>
      <c r="G2528" t="n">
        <v>6</v>
      </c>
      <c r="H2528" t="inlineStr">
        <is>
          <t>Long Range</t>
        </is>
      </c>
      <c r="I2528" t="inlineStr">
        <is>
          <t>RWD</t>
        </is>
      </c>
      <c r="J2528" t="inlineStr">
        <is>
          <t>Silver</t>
        </is>
      </c>
      <c r="K2528" t="n">
        <v>448</v>
      </c>
      <c r="L2528" t="n">
        <v>35</v>
      </c>
      <c r="M2528" t="n">
        <v>18.25</v>
      </c>
      <c r="N2528" t="n">
        <v>3781.18</v>
      </c>
      <c r="O2528" t="n">
        <v>4.8</v>
      </c>
      <c r="P2528" t="n">
        <v>4</v>
      </c>
      <c r="Q2528" t="n">
        <v>2</v>
      </c>
      <c r="R2528" t="n">
        <v>2022.7</v>
      </c>
      <c r="S2528" t="b">
        <v>1</v>
      </c>
      <c r="T2528" t="n">
        <v>740917</v>
      </c>
      <c r="U2528" t="n">
        <v>6</v>
      </c>
      <c r="V2528" t="n">
        <v>0.0502</v>
      </c>
      <c r="W2528" t="n">
        <v>1.68</v>
      </c>
      <c r="X2528" t="n">
        <v>71.91</v>
      </c>
      <c r="Y2528">
        <f>VLOOKUP(D2528,$AB$2:$AC$7,2,FALSE)</f>
        <v/>
      </c>
      <c r="Z2528">
        <f>IF(A2528&lt;Y2528,"Yes","No")</f>
        <v/>
      </c>
    </row>
    <row r="2529">
      <c r="A2529" t="n">
        <v>2024</v>
      </c>
      <c r="B2529" t="inlineStr">
        <is>
          <t>Q2</t>
        </is>
      </c>
      <c r="C2529" t="inlineStr">
        <is>
          <t>Australia</t>
        </is>
      </c>
      <c r="D2529" t="inlineStr">
        <is>
          <t>Model X</t>
        </is>
      </c>
      <c r="E2529" t="n">
        <v>460</v>
      </c>
      <c r="F2529" t="n">
        <v>79843.28999999999</v>
      </c>
      <c r="G2529" t="n">
        <v>45</v>
      </c>
      <c r="H2529" t="inlineStr">
        <is>
          <t>Performance</t>
        </is>
      </c>
      <c r="I2529" t="inlineStr">
        <is>
          <t>RWD</t>
        </is>
      </c>
      <c r="J2529" t="inlineStr">
        <is>
          <t>White</t>
        </is>
      </c>
      <c r="K2529" t="n">
        <v>521</v>
      </c>
      <c r="L2529" t="n">
        <v>62</v>
      </c>
      <c r="M2529" t="n">
        <v>22.77</v>
      </c>
      <c r="N2529" t="n">
        <v>408.96</v>
      </c>
      <c r="O2529" t="n">
        <v>4.21</v>
      </c>
      <c r="P2529" t="n">
        <v>8</v>
      </c>
      <c r="Q2529" t="n">
        <v>0</v>
      </c>
      <c r="R2529" t="n">
        <v>2023.12</v>
      </c>
      <c r="S2529" t="b">
        <v>0</v>
      </c>
      <c r="T2529" t="n">
        <v>4419862</v>
      </c>
      <c r="U2529" t="n">
        <v>12</v>
      </c>
      <c r="V2529" t="n">
        <v>0.0139</v>
      </c>
      <c r="W2529" t="n">
        <v>1.31</v>
      </c>
      <c r="X2529" t="n">
        <v>62.34</v>
      </c>
      <c r="Y2529">
        <f>VLOOKUP(D2529,$AB$2:$AC$7,2,FALSE)</f>
        <v/>
      </c>
      <c r="Z2529">
        <f>IF(A2529&lt;Y2529,"Yes","No")</f>
        <v/>
      </c>
    </row>
    <row r="2530">
      <c r="A2530" t="n">
        <v>2021</v>
      </c>
      <c r="B2530" t="inlineStr">
        <is>
          <t>Q4</t>
        </is>
      </c>
      <c r="C2530" t="inlineStr">
        <is>
          <t>Asia</t>
        </is>
      </c>
      <c r="D2530" t="inlineStr">
        <is>
          <t>Semi</t>
        </is>
      </c>
      <c r="E2530" t="n">
        <v>2530</v>
      </c>
      <c r="F2530" t="n">
        <v>94941.77</v>
      </c>
      <c r="G2530" t="n">
        <v>12</v>
      </c>
      <c r="H2530" t="inlineStr">
        <is>
          <t>Standard</t>
        </is>
      </c>
      <c r="I2530" t="inlineStr">
        <is>
          <t>AWD</t>
        </is>
      </c>
      <c r="J2530" t="inlineStr">
        <is>
          <t>Blue</t>
        </is>
      </c>
      <c r="K2530" t="n">
        <v>677</v>
      </c>
      <c r="L2530" t="n">
        <v>58</v>
      </c>
      <c r="M2530" t="n">
        <v>24.93</v>
      </c>
      <c r="N2530" t="n">
        <v>5134.44</v>
      </c>
      <c r="O2530" t="n">
        <v>3.94</v>
      </c>
      <c r="P2530" t="n">
        <v>8</v>
      </c>
      <c r="Q2530" t="n">
        <v>2</v>
      </c>
      <c r="R2530" t="n">
        <v>2023.11</v>
      </c>
      <c r="S2530" t="b">
        <v>0</v>
      </c>
      <c r="T2530" t="n">
        <v>295857</v>
      </c>
      <c r="U2530" t="n">
        <v>8</v>
      </c>
      <c r="V2530" t="n">
        <v>0.0136</v>
      </c>
      <c r="W2530" t="n">
        <v>2.04</v>
      </c>
      <c r="X2530" t="n">
        <v>83.84999999999999</v>
      </c>
      <c r="Y2530">
        <f>VLOOKUP(D2530,$AB$2:$AC$7,2,FALSE)</f>
        <v/>
      </c>
      <c r="Z2530">
        <f>IF(A2530&lt;Y2530,"Yes","No")</f>
        <v/>
      </c>
    </row>
    <row r="2531">
      <c r="A2531" t="n">
        <v>2023</v>
      </c>
      <c r="B2531" t="inlineStr">
        <is>
          <t>Q3</t>
        </is>
      </c>
      <c r="C2531" t="inlineStr">
        <is>
          <t>South America</t>
        </is>
      </c>
      <c r="D2531" t="inlineStr">
        <is>
          <t>Semi</t>
        </is>
      </c>
      <c r="E2531" t="n">
        <v>4207</v>
      </c>
      <c r="F2531" t="n">
        <v>91936.46000000001</v>
      </c>
      <c r="G2531" t="n">
        <v>19</v>
      </c>
      <c r="H2531" t="inlineStr">
        <is>
          <t>Performance</t>
        </is>
      </c>
      <c r="I2531" t="inlineStr">
        <is>
          <t>RWD</t>
        </is>
      </c>
      <c r="J2531" t="inlineStr">
        <is>
          <t>Blue</t>
        </is>
      </c>
      <c r="K2531" t="n">
        <v>495</v>
      </c>
      <c r="L2531" t="n">
        <v>78</v>
      </c>
      <c r="M2531" t="n">
        <v>24.33</v>
      </c>
      <c r="N2531" t="n">
        <v>4052.54</v>
      </c>
      <c r="O2531" t="n">
        <v>3.75</v>
      </c>
      <c r="P2531" t="n">
        <v>8</v>
      </c>
      <c r="Q2531" t="n">
        <v>2</v>
      </c>
      <c r="R2531" t="n">
        <v>2022.2</v>
      </c>
      <c r="S2531" t="b">
        <v>1</v>
      </c>
      <c r="T2531" t="n">
        <v>2799058</v>
      </c>
      <c r="U2531" t="n">
        <v>8</v>
      </c>
      <c r="V2531" t="n">
        <v>0.0427</v>
      </c>
      <c r="W2531" t="n">
        <v>1.45</v>
      </c>
      <c r="X2531" t="n">
        <v>61.54</v>
      </c>
      <c r="Y2531">
        <f>VLOOKUP(D2531,$AB$2:$AC$7,2,FALSE)</f>
        <v/>
      </c>
      <c r="Z2531">
        <f>IF(A2531&lt;Y2531,"Yes","No")</f>
        <v/>
      </c>
    </row>
    <row r="2532">
      <c r="A2532" t="n">
        <v>2013</v>
      </c>
      <c r="B2532" t="inlineStr">
        <is>
          <t>Q3</t>
        </is>
      </c>
      <c r="C2532" t="inlineStr">
        <is>
          <t>Australia</t>
        </is>
      </c>
      <c r="D2532" t="inlineStr">
        <is>
          <t>Model 3</t>
        </is>
      </c>
      <c r="E2532" t="n">
        <v>3242</v>
      </c>
      <c r="F2532" t="n">
        <v>69081</v>
      </c>
      <c r="G2532" t="n">
        <v>48</v>
      </c>
      <c r="H2532" t="inlineStr">
        <is>
          <t>Performance</t>
        </is>
      </c>
      <c r="I2532" t="inlineStr">
        <is>
          <t>AWD</t>
        </is>
      </c>
      <c r="J2532" t="inlineStr">
        <is>
          <t>Silver</t>
        </is>
      </c>
      <c r="K2532" t="n">
        <v>379</v>
      </c>
      <c r="L2532" t="n">
        <v>82</v>
      </c>
      <c r="M2532" t="n">
        <v>17.41</v>
      </c>
      <c r="N2532" t="n">
        <v>4542.65</v>
      </c>
      <c r="O2532" t="n">
        <v>4.71</v>
      </c>
      <c r="P2532" t="n">
        <v>5</v>
      </c>
      <c r="Q2532" t="n">
        <v>0</v>
      </c>
      <c r="R2532" t="n">
        <v>2020.9</v>
      </c>
      <c r="S2532" t="b">
        <v>0</v>
      </c>
      <c r="T2532" t="n">
        <v>2237770</v>
      </c>
      <c r="U2532" t="n">
        <v>8</v>
      </c>
      <c r="V2532" t="n">
        <v>0.0314</v>
      </c>
      <c r="W2532" t="n">
        <v>0.7</v>
      </c>
      <c r="X2532" t="n">
        <v>81.56999999999999</v>
      </c>
      <c r="Y2532">
        <f>VLOOKUP(D2532,$AB$2:$AC$7,2,FALSE)</f>
        <v/>
      </c>
      <c r="Z2532">
        <f>IF(A2532&lt;Y2532,"Yes","No")</f>
        <v/>
      </c>
    </row>
    <row r="2533">
      <c r="A2533" t="n">
        <v>2024</v>
      </c>
      <c r="B2533" t="inlineStr">
        <is>
          <t>Q3</t>
        </is>
      </c>
      <c r="C2533" t="inlineStr">
        <is>
          <t>Australia</t>
        </is>
      </c>
      <c r="D2533" t="inlineStr">
        <is>
          <t>Model S</t>
        </is>
      </c>
      <c r="E2533" t="n">
        <v>3324</v>
      </c>
      <c r="F2533" t="n">
        <v>117913.29</v>
      </c>
      <c r="G2533" t="n">
        <v>25</v>
      </c>
      <c r="H2533" t="inlineStr">
        <is>
          <t>Performance</t>
        </is>
      </c>
      <c r="I2533" t="inlineStr">
        <is>
          <t>RWD</t>
        </is>
      </c>
      <c r="J2533" t="inlineStr">
        <is>
          <t>Silver</t>
        </is>
      </c>
      <c r="K2533" t="n">
        <v>452</v>
      </c>
      <c r="L2533" t="n">
        <v>85</v>
      </c>
      <c r="M2533" t="n">
        <v>14.93</v>
      </c>
      <c r="N2533" t="n">
        <v>4885.3</v>
      </c>
      <c r="O2533" t="n">
        <v>3.99</v>
      </c>
      <c r="P2533" t="n">
        <v>5</v>
      </c>
      <c r="Q2533" t="n">
        <v>1</v>
      </c>
      <c r="R2533" t="n">
        <v>2021.4</v>
      </c>
      <c r="S2533" t="b">
        <v>1</v>
      </c>
      <c r="T2533" t="n">
        <v>2309732</v>
      </c>
      <c r="U2533" t="n">
        <v>11</v>
      </c>
      <c r="V2533" t="n">
        <v>0.0324</v>
      </c>
      <c r="W2533" t="n">
        <v>0.8100000000000001</v>
      </c>
      <c r="X2533" t="n">
        <v>85.53</v>
      </c>
      <c r="Y2533">
        <f>VLOOKUP(D2533,$AB$2:$AC$7,2,FALSE)</f>
        <v/>
      </c>
      <c r="Z2533">
        <f>IF(A2533&lt;Y2533,"Yes","No")</f>
        <v/>
      </c>
    </row>
    <row r="2534">
      <c r="A2534" t="n">
        <v>2020</v>
      </c>
      <c r="B2534" t="inlineStr">
        <is>
          <t>Q3</t>
        </is>
      </c>
      <c r="C2534" t="inlineStr">
        <is>
          <t>South America</t>
        </is>
      </c>
      <c r="D2534" t="inlineStr">
        <is>
          <t>Semi</t>
        </is>
      </c>
      <c r="E2534" t="n">
        <v>1398</v>
      </c>
      <c r="F2534" t="n">
        <v>77644.42</v>
      </c>
      <c r="G2534" t="n">
        <v>59</v>
      </c>
      <c r="H2534" t="inlineStr">
        <is>
          <t>Performance</t>
        </is>
      </c>
      <c r="I2534" t="inlineStr">
        <is>
          <t>AWD</t>
        </is>
      </c>
      <c r="J2534" t="inlineStr">
        <is>
          <t>Green</t>
        </is>
      </c>
      <c r="K2534" t="n">
        <v>354</v>
      </c>
      <c r="L2534" t="n">
        <v>90</v>
      </c>
      <c r="M2534" t="n">
        <v>24.25</v>
      </c>
      <c r="N2534" t="n">
        <v>1800.1</v>
      </c>
      <c r="O2534" t="n">
        <v>4.15</v>
      </c>
      <c r="P2534" t="n">
        <v>5</v>
      </c>
      <c r="Q2534" t="n">
        <v>2</v>
      </c>
      <c r="R2534" t="n">
        <v>2023.1</v>
      </c>
      <c r="S2534" t="b">
        <v>0</v>
      </c>
      <c r="T2534" t="n">
        <v>835402</v>
      </c>
      <c r="U2534" t="n">
        <v>2</v>
      </c>
      <c r="V2534" t="n">
        <v>0.0611</v>
      </c>
      <c r="W2534" t="n">
        <v>0.54</v>
      </c>
      <c r="X2534" t="n">
        <v>85.33</v>
      </c>
      <c r="Y2534">
        <f>VLOOKUP(D2534,$AB$2:$AC$7,2,FALSE)</f>
        <v/>
      </c>
      <c r="Z2534">
        <f>IF(A2534&lt;Y2534,"Yes","No")</f>
        <v/>
      </c>
    </row>
    <row r="2535">
      <c r="A2535" t="n">
        <v>2013</v>
      </c>
      <c r="B2535" t="inlineStr">
        <is>
          <t>Q1</t>
        </is>
      </c>
      <c r="C2535" t="inlineStr">
        <is>
          <t>North America</t>
        </is>
      </c>
      <c r="D2535" t="inlineStr">
        <is>
          <t>Model S</t>
        </is>
      </c>
      <c r="E2535" t="n">
        <v>1731</v>
      </c>
      <c r="F2535" t="n">
        <v>111150.02</v>
      </c>
      <c r="G2535" t="n">
        <v>47</v>
      </c>
      <c r="H2535" t="inlineStr">
        <is>
          <t>Long Range</t>
        </is>
      </c>
      <c r="I2535" t="inlineStr">
        <is>
          <t>RWD</t>
        </is>
      </c>
      <c r="J2535" t="inlineStr">
        <is>
          <t>Blue</t>
        </is>
      </c>
      <c r="K2535" t="n">
        <v>396</v>
      </c>
      <c r="L2535" t="n">
        <v>59</v>
      </c>
      <c r="M2535" t="n">
        <v>19.73</v>
      </c>
      <c r="N2535" t="n">
        <v>2624.64</v>
      </c>
      <c r="O2535" t="n">
        <v>4.27</v>
      </c>
      <c r="P2535" t="n">
        <v>8</v>
      </c>
      <c r="Q2535" t="n">
        <v>2</v>
      </c>
      <c r="R2535" t="n">
        <v>2022.12</v>
      </c>
      <c r="S2535" t="b">
        <v>1</v>
      </c>
      <c r="T2535" t="n">
        <v>3383970</v>
      </c>
      <c r="U2535" t="n">
        <v>4</v>
      </c>
      <c r="V2535" t="n">
        <v>0.0958</v>
      </c>
      <c r="W2535" t="n">
        <v>1.89</v>
      </c>
      <c r="X2535" t="n">
        <v>83.34</v>
      </c>
      <c r="Y2535">
        <f>VLOOKUP(D2535,$AB$2:$AC$7,2,FALSE)</f>
        <v/>
      </c>
      <c r="Z2535">
        <f>IF(A2535&lt;Y2535,"Yes","No")</f>
        <v/>
      </c>
    </row>
    <row r="2536">
      <c r="A2536" t="n">
        <v>2017</v>
      </c>
      <c r="B2536" t="inlineStr">
        <is>
          <t>Q1</t>
        </is>
      </c>
      <c r="C2536" t="inlineStr">
        <is>
          <t>Europe</t>
        </is>
      </c>
      <c r="D2536" t="inlineStr">
        <is>
          <t>Semi</t>
        </is>
      </c>
      <c r="E2536" t="n">
        <v>2466</v>
      </c>
      <c r="F2536" t="n">
        <v>114375.28</v>
      </c>
      <c r="G2536" t="n">
        <v>10</v>
      </c>
      <c r="H2536" t="inlineStr">
        <is>
          <t>Long Range</t>
        </is>
      </c>
      <c r="I2536" t="inlineStr">
        <is>
          <t>AWD</t>
        </is>
      </c>
      <c r="J2536" t="inlineStr">
        <is>
          <t>Red</t>
        </is>
      </c>
      <c r="K2536" t="n">
        <v>428</v>
      </c>
      <c r="L2536" t="n">
        <v>38</v>
      </c>
      <c r="M2536" t="n">
        <v>22.76</v>
      </c>
      <c r="N2536" t="n">
        <v>4063.46</v>
      </c>
      <c r="O2536" t="n">
        <v>4.04</v>
      </c>
      <c r="P2536" t="n">
        <v>5</v>
      </c>
      <c r="Q2536" t="n">
        <v>2</v>
      </c>
      <c r="R2536" t="n">
        <v>2021.8</v>
      </c>
      <c r="S2536" t="b">
        <v>0</v>
      </c>
      <c r="T2536" t="n">
        <v>1410906</v>
      </c>
      <c r="U2536" t="n">
        <v>9</v>
      </c>
      <c r="V2536" t="n">
        <v>0.0166</v>
      </c>
      <c r="W2536" t="n">
        <v>1.68</v>
      </c>
      <c r="X2536" t="n">
        <v>85.93000000000001</v>
      </c>
      <c r="Y2536">
        <f>VLOOKUP(D2536,$AB$2:$AC$7,2,FALSE)</f>
        <v/>
      </c>
      <c r="Z2536">
        <f>IF(A2536&lt;Y2536,"Yes","No")</f>
        <v/>
      </c>
    </row>
    <row r="2537">
      <c r="A2537" t="n">
        <v>2023</v>
      </c>
      <c r="B2537" t="inlineStr">
        <is>
          <t>Q4</t>
        </is>
      </c>
      <c r="C2537" t="inlineStr">
        <is>
          <t>North America</t>
        </is>
      </c>
      <c r="D2537" t="inlineStr">
        <is>
          <t>Model Y</t>
        </is>
      </c>
      <c r="E2537" t="n">
        <v>1419</v>
      </c>
      <c r="F2537" t="n">
        <v>59533.49</v>
      </c>
      <c r="G2537" t="n">
        <v>38</v>
      </c>
      <c r="H2537" t="inlineStr">
        <is>
          <t>Standard</t>
        </is>
      </c>
      <c r="I2537" t="inlineStr">
        <is>
          <t>AWD</t>
        </is>
      </c>
      <c r="J2537" t="inlineStr">
        <is>
          <t>Silver</t>
        </is>
      </c>
      <c r="K2537" t="n">
        <v>362</v>
      </c>
      <c r="L2537" t="n">
        <v>37</v>
      </c>
      <c r="M2537" t="n">
        <v>22.84</v>
      </c>
      <c r="N2537" t="n">
        <v>847.01</v>
      </c>
      <c r="O2537" t="n">
        <v>4.63</v>
      </c>
      <c r="P2537" t="n">
        <v>4</v>
      </c>
      <c r="Q2537" t="n">
        <v>0</v>
      </c>
      <c r="R2537" t="n">
        <v>2023.8</v>
      </c>
      <c r="S2537" t="b">
        <v>0</v>
      </c>
      <c r="T2537" t="n">
        <v>2687953</v>
      </c>
      <c r="U2537" t="n">
        <v>8</v>
      </c>
      <c r="V2537" t="n">
        <v>0.0118</v>
      </c>
      <c r="W2537" t="n">
        <v>0.9399999999999999</v>
      </c>
      <c r="X2537" t="n">
        <v>89.72</v>
      </c>
      <c r="Y2537">
        <f>VLOOKUP(D2537,$AB$2:$AC$7,2,FALSE)</f>
        <v/>
      </c>
      <c r="Z2537">
        <f>IF(A2537&lt;Y2537,"Yes","No")</f>
        <v/>
      </c>
    </row>
    <row r="2538">
      <c r="A2538" t="n">
        <v>2018</v>
      </c>
      <c r="B2538" t="inlineStr">
        <is>
          <t>Q3</t>
        </is>
      </c>
      <c r="C2538" t="inlineStr">
        <is>
          <t>South America</t>
        </is>
      </c>
      <c r="D2538" t="inlineStr">
        <is>
          <t>Model S</t>
        </is>
      </c>
      <c r="E2538" t="n">
        <v>4042</v>
      </c>
      <c r="F2538" t="n">
        <v>98186.06</v>
      </c>
      <c r="G2538" t="n">
        <v>0</v>
      </c>
      <c r="H2538" t="inlineStr">
        <is>
          <t>Long Range</t>
        </is>
      </c>
      <c r="I2538" t="inlineStr">
        <is>
          <t>AWD</t>
        </is>
      </c>
      <c r="J2538" t="inlineStr">
        <is>
          <t>Red</t>
        </is>
      </c>
      <c r="K2538" t="n">
        <v>417</v>
      </c>
      <c r="L2538" t="n">
        <v>43</v>
      </c>
      <c r="M2538" t="n">
        <v>15.67</v>
      </c>
      <c r="N2538" t="n">
        <v>8947.32</v>
      </c>
      <c r="O2538" t="n">
        <v>4.78</v>
      </c>
      <c r="P2538" t="n">
        <v>5</v>
      </c>
      <c r="Q2538" t="n">
        <v>2</v>
      </c>
      <c r="R2538" t="n">
        <v>2024.8</v>
      </c>
      <c r="S2538" t="b">
        <v>0</v>
      </c>
      <c r="T2538" t="n">
        <v>1551789</v>
      </c>
      <c r="U2538" t="n">
        <v>3</v>
      </c>
      <c r="V2538" t="n">
        <v>0.0853</v>
      </c>
      <c r="W2538" t="n">
        <v>1.07</v>
      </c>
      <c r="X2538" t="n">
        <v>79.15000000000001</v>
      </c>
      <c r="Y2538">
        <f>VLOOKUP(D2538,$AB$2:$AC$7,2,FALSE)</f>
        <v/>
      </c>
      <c r="Z2538">
        <f>IF(A2538&lt;Y2538,"Yes","No")</f>
        <v/>
      </c>
    </row>
    <row r="2539">
      <c r="A2539" t="n">
        <v>2024</v>
      </c>
      <c r="B2539" t="inlineStr">
        <is>
          <t>Q2</t>
        </is>
      </c>
      <c r="C2539" t="inlineStr">
        <is>
          <t>Australia</t>
        </is>
      </c>
      <c r="D2539" t="inlineStr">
        <is>
          <t>Model X</t>
        </is>
      </c>
      <c r="E2539" t="n">
        <v>906</v>
      </c>
      <c r="F2539" t="n">
        <v>60344.42</v>
      </c>
      <c r="G2539" t="n">
        <v>24</v>
      </c>
      <c r="H2539" t="inlineStr">
        <is>
          <t>Long Range</t>
        </is>
      </c>
      <c r="I2539" t="inlineStr">
        <is>
          <t>RWD</t>
        </is>
      </c>
      <c r="J2539" t="inlineStr">
        <is>
          <t>Green</t>
        </is>
      </c>
      <c r="K2539" t="n">
        <v>546</v>
      </c>
      <c r="L2539" t="n">
        <v>63</v>
      </c>
      <c r="M2539" t="n">
        <v>21.22</v>
      </c>
      <c r="N2539" t="n">
        <v>1467.2</v>
      </c>
      <c r="O2539" t="n">
        <v>4.88</v>
      </c>
      <c r="P2539" t="n">
        <v>5</v>
      </c>
      <c r="Q2539" t="n">
        <v>3</v>
      </c>
      <c r="R2539" t="n">
        <v>2021.11</v>
      </c>
      <c r="S2539" t="b">
        <v>1</v>
      </c>
      <c r="T2539" t="n">
        <v>3835047</v>
      </c>
      <c r="U2539" t="n">
        <v>10</v>
      </c>
      <c r="V2539" t="n">
        <v>0.0454</v>
      </c>
      <c r="W2539" t="n">
        <v>0.82</v>
      </c>
      <c r="X2539" t="n">
        <v>75.77</v>
      </c>
      <c r="Y2539">
        <f>VLOOKUP(D2539,$AB$2:$AC$7,2,FALSE)</f>
        <v/>
      </c>
      <c r="Z2539">
        <f>IF(A2539&lt;Y2539,"Yes","No")</f>
        <v/>
      </c>
    </row>
    <row r="2540">
      <c r="A2540" t="n">
        <v>2023</v>
      </c>
      <c r="B2540" t="inlineStr">
        <is>
          <t>Q4</t>
        </is>
      </c>
      <c r="C2540" t="inlineStr">
        <is>
          <t>Europe</t>
        </is>
      </c>
      <c r="D2540" t="inlineStr">
        <is>
          <t>Model X</t>
        </is>
      </c>
      <c r="E2540" t="n">
        <v>3051</v>
      </c>
      <c r="F2540" t="n">
        <v>113325.36</v>
      </c>
      <c r="G2540" t="n">
        <v>41</v>
      </c>
      <c r="H2540" t="inlineStr">
        <is>
          <t>Performance</t>
        </is>
      </c>
      <c r="I2540" t="inlineStr">
        <is>
          <t>AWD</t>
        </is>
      </c>
      <c r="J2540" t="inlineStr">
        <is>
          <t>Red</t>
        </is>
      </c>
      <c r="K2540" t="n">
        <v>422</v>
      </c>
      <c r="L2540" t="n">
        <v>34</v>
      </c>
      <c r="M2540" t="n">
        <v>20.89</v>
      </c>
      <c r="N2540" t="n">
        <v>5618.68</v>
      </c>
      <c r="O2540" t="n">
        <v>4.35</v>
      </c>
      <c r="P2540" t="n">
        <v>4</v>
      </c>
      <c r="Q2540" t="n">
        <v>2</v>
      </c>
      <c r="R2540" t="n">
        <v>2024.12</v>
      </c>
      <c r="S2540" t="b">
        <v>0</v>
      </c>
      <c r="T2540" t="n">
        <v>1183709</v>
      </c>
      <c r="U2540" t="n">
        <v>7</v>
      </c>
      <c r="V2540" t="n">
        <v>0.0272</v>
      </c>
      <c r="W2540" t="n">
        <v>2.3</v>
      </c>
      <c r="X2540" t="n">
        <v>77.3</v>
      </c>
      <c r="Y2540">
        <f>VLOOKUP(D2540,$AB$2:$AC$7,2,FALSE)</f>
        <v/>
      </c>
      <c r="Z2540">
        <f>IF(A2540&lt;Y2540,"Yes","No")</f>
        <v/>
      </c>
    </row>
    <row r="2541">
      <c r="A2541" t="n">
        <v>2015</v>
      </c>
      <c r="B2541" t="inlineStr">
        <is>
          <t>Q1</t>
        </is>
      </c>
      <c r="C2541" t="inlineStr">
        <is>
          <t>North America</t>
        </is>
      </c>
      <c r="D2541" t="inlineStr">
        <is>
          <t>Cybertruck</t>
        </is>
      </c>
      <c r="E2541" t="n">
        <v>3225</v>
      </c>
      <c r="F2541" t="n">
        <v>66007.75</v>
      </c>
      <c r="G2541" t="n">
        <v>36</v>
      </c>
      <c r="H2541" t="inlineStr">
        <is>
          <t>Performance</t>
        </is>
      </c>
      <c r="I2541" t="inlineStr">
        <is>
          <t>RWD</t>
        </is>
      </c>
      <c r="J2541" t="inlineStr">
        <is>
          <t>Red</t>
        </is>
      </c>
      <c r="K2541" t="n">
        <v>522</v>
      </c>
      <c r="L2541" t="n">
        <v>80</v>
      </c>
      <c r="M2541" t="n">
        <v>24.56</v>
      </c>
      <c r="N2541" t="n">
        <v>7158.52</v>
      </c>
      <c r="O2541" t="n">
        <v>4.96</v>
      </c>
      <c r="P2541" t="n">
        <v>6</v>
      </c>
      <c r="Q2541" t="n">
        <v>0</v>
      </c>
      <c r="R2541" t="n">
        <v>2022.6</v>
      </c>
      <c r="S2541" t="b">
        <v>1</v>
      </c>
      <c r="T2541" t="n">
        <v>689863</v>
      </c>
      <c r="U2541" t="n">
        <v>2</v>
      </c>
      <c r="V2541" t="n">
        <v>0.0223</v>
      </c>
      <c r="W2541" t="n">
        <v>1.78</v>
      </c>
      <c r="X2541" t="n">
        <v>66.15000000000001</v>
      </c>
      <c r="Y2541">
        <f>VLOOKUP(D2541,$AB$2:$AC$7,2,FALSE)</f>
        <v/>
      </c>
      <c r="Z2541">
        <f>IF(A2541&lt;Y2541,"Yes","No")</f>
        <v/>
      </c>
    </row>
    <row r="2542">
      <c r="A2542" t="n">
        <v>2020</v>
      </c>
      <c r="B2542" t="inlineStr">
        <is>
          <t>Q4</t>
        </is>
      </c>
      <c r="C2542" t="inlineStr">
        <is>
          <t>North America</t>
        </is>
      </c>
      <c r="D2542" t="inlineStr">
        <is>
          <t>Semi</t>
        </is>
      </c>
      <c r="E2542" t="n">
        <v>3753</v>
      </c>
      <c r="F2542" t="n">
        <v>41190.63</v>
      </c>
      <c r="G2542" t="n">
        <v>53</v>
      </c>
      <c r="H2542" t="inlineStr">
        <is>
          <t>Performance</t>
        </is>
      </c>
      <c r="I2542" t="inlineStr">
        <is>
          <t>RWD</t>
        </is>
      </c>
      <c r="J2542" t="inlineStr">
        <is>
          <t>Red</t>
        </is>
      </c>
      <c r="K2542" t="n">
        <v>497</v>
      </c>
      <c r="L2542" t="n">
        <v>90</v>
      </c>
      <c r="M2542" t="n">
        <v>14.58</v>
      </c>
      <c r="N2542" t="n">
        <v>2936.28</v>
      </c>
      <c r="O2542" t="n">
        <v>4.88</v>
      </c>
      <c r="P2542" t="n">
        <v>4</v>
      </c>
      <c r="Q2542" t="n">
        <v>0</v>
      </c>
      <c r="R2542" t="n">
        <v>2022.7</v>
      </c>
      <c r="S2542" t="b">
        <v>0</v>
      </c>
      <c r="T2542" t="n">
        <v>4055459</v>
      </c>
      <c r="U2542" t="n">
        <v>7</v>
      </c>
      <c r="V2542" t="n">
        <v>0.023</v>
      </c>
      <c r="W2542" t="n">
        <v>0.58</v>
      </c>
      <c r="X2542" t="n">
        <v>61.81</v>
      </c>
      <c r="Y2542">
        <f>VLOOKUP(D2542,$AB$2:$AC$7,2,FALSE)</f>
        <v/>
      </c>
      <c r="Z2542">
        <f>IF(A2542&lt;Y2542,"Yes","No")</f>
        <v/>
      </c>
    </row>
    <row r="2543">
      <c r="A2543" t="n">
        <v>2016</v>
      </c>
      <c r="B2543" t="inlineStr">
        <is>
          <t>Q4</t>
        </is>
      </c>
      <c r="C2543" t="inlineStr">
        <is>
          <t>Asia</t>
        </is>
      </c>
      <c r="D2543" t="inlineStr">
        <is>
          <t>Model X</t>
        </is>
      </c>
      <c r="E2543" t="n">
        <v>1486</v>
      </c>
      <c r="F2543" t="n">
        <v>64499.27</v>
      </c>
      <c r="G2543" t="n">
        <v>60</v>
      </c>
      <c r="H2543" t="inlineStr">
        <is>
          <t>Long Range</t>
        </is>
      </c>
      <c r="I2543" t="inlineStr">
        <is>
          <t>RWD</t>
        </is>
      </c>
      <c r="J2543" t="inlineStr">
        <is>
          <t>Green</t>
        </is>
      </c>
      <c r="K2543" t="n">
        <v>614</v>
      </c>
      <c r="L2543" t="n">
        <v>54</v>
      </c>
      <c r="M2543" t="n">
        <v>22.75</v>
      </c>
      <c r="N2543" t="n">
        <v>1286.32</v>
      </c>
      <c r="O2543" t="n">
        <v>4.43</v>
      </c>
      <c r="P2543" t="n">
        <v>6</v>
      </c>
      <c r="Q2543" t="n">
        <v>2</v>
      </c>
      <c r="R2543" t="n">
        <v>2022.2</v>
      </c>
      <c r="S2543" t="b">
        <v>0</v>
      </c>
      <c r="T2543" t="n">
        <v>842463</v>
      </c>
      <c r="U2543" t="n">
        <v>2</v>
      </c>
      <c r="V2543" t="n">
        <v>0.0412</v>
      </c>
      <c r="W2543" t="n">
        <v>2.22</v>
      </c>
      <c r="X2543" t="n">
        <v>74.94</v>
      </c>
      <c r="Y2543">
        <f>VLOOKUP(D2543,$AB$2:$AC$7,2,FALSE)</f>
        <v/>
      </c>
      <c r="Z2543">
        <f>IF(A2543&lt;Y2543,"Yes","No")</f>
        <v/>
      </c>
    </row>
    <row r="2544">
      <c r="A2544" t="n">
        <v>2021</v>
      </c>
      <c r="B2544" t="inlineStr">
        <is>
          <t>Q2</t>
        </is>
      </c>
      <c r="C2544" t="inlineStr">
        <is>
          <t>South America</t>
        </is>
      </c>
      <c r="D2544" t="inlineStr">
        <is>
          <t>Model 3</t>
        </is>
      </c>
      <c r="E2544" t="n">
        <v>3420</v>
      </c>
      <c r="F2544" t="n">
        <v>99095.07000000001</v>
      </c>
      <c r="G2544" t="n">
        <v>53</v>
      </c>
      <c r="H2544" t="inlineStr">
        <is>
          <t>Standard</t>
        </is>
      </c>
      <c r="I2544" t="inlineStr">
        <is>
          <t>RWD</t>
        </is>
      </c>
      <c r="J2544" t="inlineStr">
        <is>
          <t>Red</t>
        </is>
      </c>
      <c r="K2544" t="n">
        <v>544</v>
      </c>
      <c r="L2544" t="n">
        <v>46</v>
      </c>
      <c r="M2544" t="n">
        <v>21.15</v>
      </c>
      <c r="N2544" t="n">
        <v>6129.49</v>
      </c>
      <c r="O2544" t="n">
        <v>3.71</v>
      </c>
      <c r="P2544" t="n">
        <v>5</v>
      </c>
      <c r="Q2544" t="n">
        <v>2</v>
      </c>
      <c r="R2544" t="n">
        <v>2024.12</v>
      </c>
      <c r="S2544" t="b">
        <v>1</v>
      </c>
      <c r="T2544" t="n">
        <v>4810569</v>
      </c>
      <c r="U2544" t="n">
        <v>12</v>
      </c>
      <c r="V2544" t="n">
        <v>0.0915</v>
      </c>
      <c r="W2544" t="n">
        <v>1.83</v>
      </c>
      <c r="X2544" t="n">
        <v>79.79000000000001</v>
      </c>
      <c r="Y2544">
        <f>VLOOKUP(D2544,$AB$2:$AC$7,2,FALSE)</f>
        <v/>
      </c>
      <c r="Z2544">
        <f>IF(A2544&lt;Y2544,"Yes","No")</f>
        <v/>
      </c>
    </row>
    <row r="2545">
      <c r="A2545" t="n">
        <v>2017</v>
      </c>
      <c r="B2545" t="inlineStr">
        <is>
          <t>Q1</t>
        </is>
      </c>
      <c r="C2545" t="inlineStr">
        <is>
          <t>Australia</t>
        </is>
      </c>
      <c r="D2545" t="inlineStr">
        <is>
          <t>Model X</t>
        </is>
      </c>
      <c r="E2545" t="n">
        <v>1186</v>
      </c>
      <c r="F2545" t="n">
        <v>39622.57</v>
      </c>
      <c r="G2545" t="n">
        <v>29</v>
      </c>
      <c r="H2545" t="inlineStr">
        <is>
          <t>Long Range</t>
        </is>
      </c>
      <c r="I2545" t="inlineStr">
        <is>
          <t>AWD</t>
        </is>
      </c>
      <c r="J2545" t="inlineStr">
        <is>
          <t>Red</t>
        </is>
      </c>
      <c r="K2545" t="n">
        <v>506</v>
      </c>
      <c r="L2545" t="n">
        <v>63</v>
      </c>
      <c r="M2545" t="n">
        <v>15.34</v>
      </c>
      <c r="N2545" t="n">
        <v>610.29</v>
      </c>
      <c r="O2545" t="n">
        <v>4.92</v>
      </c>
      <c r="P2545" t="n">
        <v>8</v>
      </c>
      <c r="Q2545" t="n">
        <v>1</v>
      </c>
      <c r="R2545" t="n">
        <v>2023.4</v>
      </c>
      <c r="S2545" t="b">
        <v>1</v>
      </c>
      <c r="T2545" t="n">
        <v>3136202</v>
      </c>
      <c r="U2545" t="n">
        <v>7</v>
      </c>
      <c r="V2545" t="n">
        <v>0.0292</v>
      </c>
      <c r="W2545" t="n">
        <v>0.82</v>
      </c>
      <c r="X2545" t="n">
        <v>85.28</v>
      </c>
      <c r="Y2545">
        <f>VLOOKUP(D2545,$AB$2:$AC$7,2,FALSE)</f>
        <v/>
      </c>
      <c r="Z2545">
        <f>IF(A2545&lt;Y2545,"Yes","No")</f>
        <v/>
      </c>
    </row>
    <row r="2546">
      <c r="A2546" t="n">
        <v>2016</v>
      </c>
      <c r="B2546" t="inlineStr">
        <is>
          <t>Q2</t>
        </is>
      </c>
      <c r="C2546" t="inlineStr">
        <is>
          <t>South America</t>
        </is>
      </c>
      <c r="D2546" t="inlineStr">
        <is>
          <t>Model 3</t>
        </is>
      </c>
      <c r="E2546" t="n">
        <v>1327</v>
      </c>
      <c r="F2546" t="n">
        <v>94224.22</v>
      </c>
      <c r="G2546" t="n">
        <v>25</v>
      </c>
      <c r="H2546" t="inlineStr">
        <is>
          <t>Standard</t>
        </is>
      </c>
      <c r="I2546" t="inlineStr">
        <is>
          <t>AWD</t>
        </is>
      </c>
      <c r="J2546" t="inlineStr">
        <is>
          <t>White</t>
        </is>
      </c>
      <c r="K2546" t="n">
        <v>379</v>
      </c>
      <c r="L2546" t="n">
        <v>57</v>
      </c>
      <c r="M2546" t="n">
        <v>23.46</v>
      </c>
      <c r="N2546" t="n">
        <v>1216.2</v>
      </c>
      <c r="O2546" t="n">
        <v>4.29</v>
      </c>
      <c r="P2546" t="n">
        <v>8</v>
      </c>
      <c r="Q2546" t="n">
        <v>1</v>
      </c>
      <c r="R2546" t="n">
        <v>2021.4</v>
      </c>
      <c r="S2546" t="b">
        <v>1</v>
      </c>
      <c r="T2546" t="n">
        <v>698186</v>
      </c>
      <c r="U2546" t="n">
        <v>6</v>
      </c>
      <c r="V2546" t="n">
        <v>0.0906</v>
      </c>
      <c r="W2546" t="n">
        <v>1.32</v>
      </c>
      <c r="X2546" t="n">
        <v>72.72</v>
      </c>
      <c r="Y2546">
        <f>VLOOKUP(D2546,$AB$2:$AC$7,2,FALSE)</f>
        <v/>
      </c>
      <c r="Z2546">
        <f>IF(A2546&lt;Y2546,"Yes","No")</f>
        <v/>
      </c>
    </row>
    <row r="2547">
      <c r="A2547" t="n">
        <v>2017</v>
      </c>
      <c r="B2547" t="inlineStr">
        <is>
          <t>Q1</t>
        </is>
      </c>
      <c r="C2547" t="inlineStr">
        <is>
          <t>Europe</t>
        </is>
      </c>
      <c r="D2547" t="inlineStr">
        <is>
          <t>Cybertruck</t>
        </is>
      </c>
      <c r="E2547" t="n">
        <v>510</v>
      </c>
      <c r="F2547" t="n">
        <v>102485.88</v>
      </c>
      <c r="G2547" t="n">
        <v>20</v>
      </c>
      <c r="H2547" t="inlineStr">
        <is>
          <t>Performance</t>
        </is>
      </c>
      <c r="I2547" t="inlineStr">
        <is>
          <t>RWD</t>
        </is>
      </c>
      <c r="J2547" t="inlineStr">
        <is>
          <t>Red</t>
        </is>
      </c>
      <c r="K2547" t="n">
        <v>627</v>
      </c>
      <c r="L2547" t="n">
        <v>50</v>
      </c>
      <c r="M2547" t="n">
        <v>21.34</v>
      </c>
      <c r="N2547" t="n">
        <v>317.93</v>
      </c>
      <c r="O2547" t="n">
        <v>4.38</v>
      </c>
      <c r="P2547" t="n">
        <v>4</v>
      </c>
      <c r="Q2547" t="n">
        <v>0</v>
      </c>
      <c r="R2547" t="n">
        <v>2020.12</v>
      </c>
      <c r="S2547" t="b">
        <v>1</v>
      </c>
      <c r="T2547" t="n">
        <v>2417356</v>
      </c>
      <c r="U2547" t="n">
        <v>6</v>
      </c>
      <c r="V2547" t="n">
        <v>0.0295</v>
      </c>
      <c r="W2547" t="n">
        <v>0.57</v>
      </c>
      <c r="X2547" t="n">
        <v>82.91</v>
      </c>
      <c r="Y2547">
        <f>VLOOKUP(D2547,$AB$2:$AC$7,2,FALSE)</f>
        <v/>
      </c>
      <c r="Z2547">
        <f>IF(A2547&lt;Y2547,"Yes","No")</f>
        <v/>
      </c>
    </row>
    <row r="2548">
      <c r="A2548" t="n">
        <v>2021</v>
      </c>
      <c r="B2548" t="inlineStr">
        <is>
          <t>Q1</t>
        </is>
      </c>
      <c r="C2548" t="inlineStr">
        <is>
          <t>South America</t>
        </is>
      </c>
      <c r="D2548" t="inlineStr">
        <is>
          <t>Cybertruck</t>
        </is>
      </c>
      <c r="E2548" t="n">
        <v>2027</v>
      </c>
      <c r="F2548" t="n">
        <v>104695.5</v>
      </c>
      <c r="G2548" t="n">
        <v>2</v>
      </c>
      <c r="H2548" t="inlineStr">
        <is>
          <t>Performance</t>
        </is>
      </c>
      <c r="I2548" t="inlineStr">
        <is>
          <t>RWD</t>
        </is>
      </c>
      <c r="J2548" t="inlineStr">
        <is>
          <t>Green</t>
        </is>
      </c>
      <c r="K2548" t="n">
        <v>360</v>
      </c>
      <c r="L2548" t="n">
        <v>33</v>
      </c>
      <c r="M2548" t="n">
        <v>21.75</v>
      </c>
      <c r="N2548" t="n">
        <v>4755.67</v>
      </c>
      <c r="O2548" t="n">
        <v>4.82</v>
      </c>
      <c r="P2548" t="n">
        <v>8</v>
      </c>
      <c r="Q2548" t="n">
        <v>2</v>
      </c>
      <c r="R2548" t="n">
        <v>2024.7</v>
      </c>
      <c r="S2548" t="b">
        <v>0</v>
      </c>
      <c r="T2548" t="n">
        <v>2846056</v>
      </c>
      <c r="U2548" t="n">
        <v>10</v>
      </c>
      <c r="V2548" t="n">
        <v>0.0704</v>
      </c>
      <c r="W2548" t="n">
        <v>0.8100000000000001</v>
      </c>
      <c r="X2548" t="n">
        <v>70.55</v>
      </c>
      <c r="Y2548">
        <f>VLOOKUP(D2548,$AB$2:$AC$7,2,FALSE)</f>
        <v/>
      </c>
      <c r="Z2548">
        <f>IF(A2548&lt;Y2548,"Yes","No")</f>
        <v/>
      </c>
    </row>
    <row r="2549">
      <c r="A2549" t="n">
        <v>2019</v>
      </c>
      <c r="B2549" t="inlineStr">
        <is>
          <t>Q4</t>
        </is>
      </c>
      <c r="C2549" t="inlineStr">
        <is>
          <t>Australia</t>
        </is>
      </c>
      <c r="D2549" t="inlineStr">
        <is>
          <t>Cybertruck</t>
        </is>
      </c>
      <c r="E2549" t="n">
        <v>2930</v>
      </c>
      <c r="F2549" t="n">
        <v>74742.67</v>
      </c>
      <c r="G2549" t="n">
        <v>23</v>
      </c>
      <c r="H2549" t="inlineStr">
        <is>
          <t>Performance</t>
        </is>
      </c>
      <c r="I2549" t="inlineStr">
        <is>
          <t>RWD</t>
        </is>
      </c>
      <c r="J2549" t="inlineStr">
        <is>
          <t>White</t>
        </is>
      </c>
      <c r="K2549" t="n">
        <v>509</v>
      </c>
      <c r="L2549" t="n">
        <v>39</v>
      </c>
      <c r="M2549" t="n">
        <v>19.98</v>
      </c>
      <c r="N2549" t="n">
        <v>4361.37</v>
      </c>
      <c r="O2549" t="n">
        <v>4.01</v>
      </c>
      <c r="P2549" t="n">
        <v>4</v>
      </c>
      <c r="Q2549" t="n">
        <v>1</v>
      </c>
      <c r="R2549" t="n">
        <v>2021.6</v>
      </c>
      <c r="S2549" t="b">
        <v>1</v>
      </c>
      <c r="T2549" t="n">
        <v>3521021</v>
      </c>
      <c r="U2549" t="n">
        <v>9</v>
      </c>
      <c r="V2549" t="n">
        <v>0.0381</v>
      </c>
      <c r="W2549" t="n">
        <v>1.06</v>
      </c>
      <c r="X2549" t="n">
        <v>85.73999999999999</v>
      </c>
      <c r="Y2549">
        <f>VLOOKUP(D2549,$AB$2:$AC$7,2,FALSE)</f>
        <v/>
      </c>
      <c r="Z2549">
        <f>IF(A2549&lt;Y2549,"Yes","No")</f>
        <v/>
      </c>
    </row>
    <row r="2550">
      <c r="A2550" t="n">
        <v>2024</v>
      </c>
      <c r="B2550" t="inlineStr">
        <is>
          <t>Q2</t>
        </is>
      </c>
      <c r="C2550" t="inlineStr">
        <is>
          <t>North America</t>
        </is>
      </c>
      <c r="D2550" t="inlineStr">
        <is>
          <t>Model Y</t>
        </is>
      </c>
      <c r="E2550" t="n">
        <v>3207</v>
      </c>
      <c r="F2550" t="n">
        <v>39931.52</v>
      </c>
      <c r="G2550" t="n">
        <v>57</v>
      </c>
      <c r="H2550" t="inlineStr">
        <is>
          <t>Long Range</t>
        </is>
      </c>
      <c r="I2550" t="inlineStr">
        <is>
          <t>AWD</t>
        </is>
      </c>
      <c r="J2550" t="inlineStr">
        <is>
          <t>Black</t>
        </is>
      </c>
      <c r="K2550" t="n">
        <v>610</v>
      </c>
      <c r="L2550" t="n">
        <v>80</v>
      </c>
      <c r="M2550" t="n">
        <v>14.23</v>
      </c>
      <c r="N2550" t="n">
        <v>3364.85</v>
      </c>
      <c r="O2550" t="n">
        <v>4.32</v>
      </c>
      <c r="P2550" t="n">
        <v>4</v>
      </c>
      <c r="Q2550" t="n">
        <v>2</v>
      </c>
      <c r="R2550" t="n">
        <v>2021.12</v>
      </c>
      <c r="S2550" t="b">
        <v>1</v>
      </c>
      <c r="T2550" t="n">
        <v>1965658</v>
      </c>
      <c r="U2550" t="n">
        <v>12</v>
      </c>
      <c r="V2550" t="n">
        <v>0.0386</v>
      </c>
      <c r="W2550" t="n">
        <v>2.26</v>
      </c>
      <c r="X2550" t="n">
        <v>73.48</v>
      </c>
      <c r="Y2550">
        <f>VLOOKUP(D2550,$AB$2:$AC$7,2,FALSE)</f>
        <v/>
      </c>
      <c r="Z2550">
        <f>IF(A2550&lt;Y2550,"Yes","No")</f>
        <v/>
      </c>
    </row>
    <row r="2551">
      <c r="A2551" t="n">
        <v>2015</v>
      </c>
      <c r="B2551" t="inlineStr">
        <is>
          <t>Q1</t>
        </is>
      </c>
      <c r="C2551" t="inlineStr">
        <is>
          <t>Europe</t>
        </is>
      </c>
      <c r="D2551" t="inlineStr">
        <is>
          <t>Model X</t>
        </is>
      </c>
      <c r="E2551" t="n">
        <v>465</v>
      </c>
      <c r="F2551" t="n">
        <v>59641.09</v>
      </c>
      <c r="G2551" t="n">
        <v>15</v>
      </c>
      <c r="H2551" t="inlineStr">
        <is>
          <t>Performance</t>
        </is>
      </c>
      <c r="I2551" t="inlineStr">
        <is>
          <t>RWD</t>
        </is>
      </c>
      <c r="J2551" t="inlineStr">
        <is>
          <t>Green</t>
        </is>
      </c>
      <c r="K2551" t="n">
        <v>459</v>
      </c>
      <c r="L2551" t="n">
        <v>54</v>
      </c>
      <c r="M2551" t="n">
        <v>14.76</v>
      </c>
      <c r="N2551" t="n">
        <v>445.51</v>
      </c>
      <c r="O2551" t="n">
        <v>3.6</v>
      </c>
      <c r="P2551" t="n">
        <v>8</v>
      </c>
      <c r="Q2551" t="n">
        <v>2</v>
      </c>
      <c r="R2551" t="n">
        <v>2022.4</v>
      </c>
      <c r="S2551" t="b">
        <v>1</v>
      </c>
      <c r="T2551" t="n">
        <v>4017138</v>
      </c>
      <c r="U2551" t="n">
        <v>5</v>
      </c>
      <c r="V2551" t="n">
        <v>0.0669</v>
      </c>
      <c r="W2551" t="n">
        <v>2.33</v>
      </c>
      <c r="X2551" t="n">
        <v>89.48</v>
      </c>
      <c r="Y2551">
        <f>VLOOKUP(D2551,$AB$2:$AC$7,2,FALSE)</f>
        <v/>
      </c>
      <c r="Z2551">
        <f>IF(A2551&lt;Y2551,"Yes","No")</f>
        <v/>
      </c>
    </row>
    <row r="2552">
      <c r="A2552" t="n">
        <v>2022</v>
      </c>
      <c r="B2552" t="inlineStr">
        <is>
          <t>Q4</t>
        </is>
      </c>
      <c r="C2552" t="inlineStr">
        <is>
          <t>Europe</t>
        </is>
      </c>
      <c r="D2552" t="inlineStr">
        <is>
          <t>Model S</t>
        </is>
      </c>
      <c r="E2552" t="n">
        <v>3608</v>
      </c>
      <c r="F2552" t="n">
        <v>62223.88</v>
      </c>
      <c r="G2552" t="n">
        <v>34</v>
      </c>
      <c r="H2552" t="inlineStr">
        <is>
          <t>Long Range</t>
        </is>
      </c>
      <c r="I2552" t="inlineStr">
        <is>
          <t>AWD</t>
        </is>
      </c>
      <c r="J2552" t="inlineStr">
        <is>
          <t>Blue</t>
        </is>
      </c>
      <c r="K2552" t="n">
        <v>570</v>
      </c>
      <c r="L2552" t="n">
        <v>52</v>
      </c>
      <c r="M2552" t="n">
        <v>16.6</v>
      </c>
      <c r="N2552" t="n">
        <v>7653.47</v>
      </c>
      <c r="O2552" t="n">
        <v>4.69</v>
      </c>
      <c r="P2552" t="n">
        <v>4</v>
      </c>
      <c r="Q2552" t="n">
        <v>2</v>
      </c>
      <c r="R2552" t="n">
        <v>2024.1</v>
      </c>
      <c r="S2552" t="b">
        <v>0</v>
      </c>
      <c r="T2552" t="n">
        <v>1937883</v>
      </c>
      <c r="U2552" t="n">
        <v>12</v>
      </c>
      <c r="V2552" t="n">
        <v>0.0126</v>
      </c>
      <c r="W2552" t="n">
        <v>0.99</v>
      </c>
      <c r="X2552" t="n">
        <v>74.75</v>
      </c>
      <c r="Y2552">
        <f>VLOOKUP(D2552,$AB$2:$AC$7,2,FALSE)</f>
        <v/>
      </c>
      <c r="Z2552">
        <f>IF(A2552&lt;Y2552,"Yes","No")</f>
        <v/>
      </c>
    </row>
    <row r="2553">
      <c r="A2553" t="n">
        <v>2020</v>
      </c>
      <c r="B2553" t="inlineStr">
        <is>
          <t>Q3</t>
        </is>
      </c>
      <c r="C2553" t="inlineStr">
        <is>
          <t>South America</t>
        </is>
      </c>
      <c r="D2553" t="inlineStr">
        <is>
          <t>Model S</t>
        </is>
      </c>
      <c r="E2553" t="n">
        <v>2248</v>
      </c>
      <c r="F2553" t="n">
        <v>91893.75999999999</v>
      </c>
      <c r="G2553" t="n">
        <v>43</v>
      </c>
      <c r="H2553" t="inlineStr">
        <is>
          <t>Performance</t>
        </is>
      </c>
      <c r="I2553" t="inlineStr">
        <is>
          <t>RWD</t>
        </is>
      </c>
      <c r="J2553" t="inlineStr">
        <is>
          <t>Green</t>
        </is>
      </c>
      <c r="K2553" t="n">
        <v>414</v>
      </c>
      <c r="L2553" t="n">
        <v>90</v>
      </c>
      <c r="M2553" t="n">
        <v>19.8</v>
      </c>
      <c r="N2553" t="n">
        <v>4964.62</v>
      </c>
      <c r="O2553" t="n">
        <v>3.8</v>
      </c>
      <c r="P2553" t="n">
        <v>8</v>
      </c>
      <c r="Q2553" t="n">
        <v>3</v>
      </c>
      <c r="R2553" t="n">
        <v>2020.1</v>
      </c>
      <c r="S2553" t="b">
        <v>1</v>
      </c>
      <c r="T2553" t="n">
        <v>3958637</v>
      </c>
      <c r="U2553" t="n">
        <v>7</v>
      </c>
      <c r="V2553" t="n">
        <v>0.0121</v>
      </c>
      <c r="W2553" t="n">
        <v>1.29</v>
      </c>
      <c r="X2553" t="n">
        <v>62.97</v>
      </c>
      <c r="Y2553">
        <f>VLOOKUP(D2553,$AB$2:$AC$7,2,FALSE)</f>
        <v/>
      </c>
      <c r="Z2553">
        <f>IF(A2553&lt;Y2553,"Yes","No")</f>
        <v/>
      </c>
    </row>
    <row r="2554">
      <c r="A2554" t="n">
        <v>2023</v>
      </c>
      <c r="B2554" t="inlineStr">
        <is>
          <t>Q3</t>
        </is>
      </c>
      <c r="C2554" t="inlineStr">
        <is>
          <t>Asia</t>
        </is>
      </c>
      <c r="D2554" t="inlineStr">
        <is>
          <t>Model X</t>
        </is>
      </c>
      <c r="E2554" t="n">
        <v>843</v>
      </c>
      <c r="F2554" t="n">
        <v>38686.31</v>
      </c>
      <c r="G2554" t="n">
        <v>59</v>
      </c>
      <c r="H2554" t="inlineStr">
        <is>
          <t>Long Range</t>
        </is>
      </c>
      <c r="I2554" t="inlineStr">
        <is>
          <t>AWD</t>
        </is>
      </c>
      <c r="J2554" t="inlineStr">
        <is>
          <t>Silver</t>
        </is>
      </c>
      <c r="K2554" t="n">
        <v>616</v>
      </c>
      <c r="L2554" t="n">
        <v>55</v>
      </c>
      <c r="M2554" t="n">
        <v>22.54</v>
      </c>
      <c r="N2554" t="n">
        <v>1442.85</v>
      </c>
      <c r="O2554" t="n">
        <v>4.07</v>
      </c>
      <c r="P2554" t="n">
        <v>4</v>
      </c>
      <c r="Q2554" t="n">
        <v>0</v>
      </c>
      <c r="R2554" t="n">
        <v>2022.9</v>
      </c>
      <c r="S2554" t="b">
        <v>1</v>
      </c>
      <c r="T2554" t="n">
        <v>637989</v>
      </c>
      <c r="U2554" t="n">
        <v>9</v>
      </c>
      <c r="V2554" t="n">
        <v>0.0165</v>
      </c>
      <c r="W2554" t="n">
        <v>1.51</v>
      </c>
      <c r="X2554" t="n">
        <v>85.02</v>
      </c>
      <c r="Y2554">
        <f>VLOOKUP(D2554,$AB$2:$AC$7,2,FALSE)</f>
        <v/>
      </c>
      <c r="Z2554">
        <f>IF(A2554&lt;Y2554,"Yes","No")</f>
        <v/>
      </c>
    </row>
    <row r="2555">
      <c r="A2555" t="n">
        <v>2021</v>
      </c>
      <c r="B2555" t="inlineStr">
        <is>
          <t>Q4</t>
        </is>
      </c>
      <c r="C2555" t="inlineStr">
        <is>
          <t>North America</t>
        </is>
      </c>
      <c r="D2555" t="inlineStr">
        <is>
          <t>Model S</t>
        </is>
      </c>
      <c r="E2555" t="n">
        <v>1574</v>
      </c>
      <c r="F2555" t="n">
        <v>109987.86</v>
      </c>
      <c r="G2555" t="n">
        <v>32</v>
      </c>
      <c r="H2555" t="inlineStr">
        <is>
          <t>Standard</t>
        </is>
      </c>
      <c r="I2555" t="inlineStr">
        <is>
          <t>AWD</t>
        </is>
      </c>
      <c r="J2555" t="inlineStr">
        <is>
          <t>White</t>
        </is>
      </c>
      <c r="K2555" t="n">
        <v>557</v>
      </c>
      <c r="L2555" t="n">
        <v>40</v>
      </c>
      <c r="M2555" t="n">
        <v>20.78</v>
      </c>
      <c r="N2555" t="n">
        <v>1608.05</v>
      </c>
      <c r="O2555" t="n">
        <v>3.59</v>
      </c>
      <c r="P2555" t="n">
        <v>4</v>
      </c>
      <c r="Q2555" t="n">
        <v>2</v>
      </c>
      <c r="R2555" t="n">
        <v>2020.2</v>
      </c>
      <c r="S2555" t="b">
        <v>0</v>
      </c>
      <c r="T2555" t="n">
        <v>4138776</v>
      </c>
      <c r="U2555" t="n">
        <v>8</v>
      </c>
      <c r="V2555" t="n">
        <v>0.0649</v>
      </c>
      <c r="W2555" t="n">
        <v>1.19</v>
      </c>
      <c r="X2555" t="n">
        <v>67.40000000000001</v>
      </c>
      <c r="Y2555">
        <f>VLOOKUP(D2555,$AB$2:$AC$7,2,FALSE)</f>
        <v/>
      </c>
      <c r="Z2555">
        <f>IF(A2555&lt;Y2555,"Yes","No")</f>
        <v/>
      </c>
    </row>
    <row r="2556">
      <c r="A2556" t="n">
        <v>2024</v>
      </c>
      <c r="B2556" t="inlineStr">
        <is>
          <t>Q2</t>
        </is>
      </c>
      <c r="C2556" t="inlineStr">
        <is>
          <t>Australia</t>
        </is>
      </c>
      <c r="D2556" t="inlineStr">
        <is>
          <t>Cybertruck</t>
        </is>
      </c>
      <c r="E2556" t="n">
        <v>1077</v>
      </c>
      <c r="F2556" t="n">
        <v>97427.52</v>
      </c>
      <c r="G2556" t="n">
        <v>49</v>
      </c>
      <c r="H2556" t="inlineStr">
        <is>
          <t>Standard</t>
        </is>
      </c>
      <c r="I2556" t="inlineStr">
        <is>
          <t>RWD</t>
        </is>
      </c>
      <c r="J2556" t="inlineStr">
        <is>
          <t>Green</t>
        </is>
      </c>
      <c r="K2556" t="n">
        <v>579</v>
      </c>
      <c r="L2556" t="n">
        <v>35</v>
      </c>
      <c r="M2556" t="n">
        <v>19.98</v>
      </c>
      <c r="N2556" t="n">
        <v>541.15</v>
      </c>
      <c r="O2556" t="n">
        <v>3.7</v>
      </c>
      <c r="P2556" t="n">
        <v>5</v>
      </c>
      <c r="Q2556" t="n">
        <v>1</v>
      </c>
      <c r="R2556" t="n">
        <v>2023.12</v>
      </c>
      <c r="S2556" t="b">
        <v>1</v>
      </c>
      <c r="T2556" t="n">
        <v>369835</v>
      </c>
      <c r="U2556" t="n">
        <v>9</v>
      </c>
      <c r="V2556" t="n">
        <v>0.0804</v>
      </c>
      <c r="W2556" t="n">
        <v>0.75</v>
      </c>
      <c r="X2556" t="n">
        <v>88.5</v>
      </c>
      <c r="Y2556">
        <f>VLOOKUP(D2556,$AB$2:$AC$7,2,FALSE)</f>
        <v/>
      </c>
      <c r="Z2556">
        <f>IF(A2556&lt;Y2556,"Yes","No")</f>
        <v/>
      </c>
    </row>
    <row r="2557">
      <c r="A2557" t="n">
        <v>2017</v>
      </c>
      <c r="B2557" t="inlineStr">
        <is>
          <t>Q2</t>
        </is>
      </c>
      <c r="C2557" t="inlineStr">
        <is>
          <t>North America</t>
        </is>
      </c>
      <c r="D2557" t="inlineStr">
        <is>
          <t>Model 3</t>
        </is>
      </c>
      <c r="E2557" t="n">
        <v>2016</v>
      </c>
      <c r="F2557" t="n">
        <v>103997.27</v>
      </c>
      <c r="G2557" t="n">
        <v>51</v>
      </c>
      <c r="H2557" t="inlineStr">
        <is>
          <t>Standard</t>
        </is>
      </c>
      <c r="I2557" t="inlineStr">
        <is>
          <t>RWD</t>
        </is>
      </c>
      <c r="J2557" t="inlineStr">
        <is>
          <t>Silver</t>
        </is>
      </c>
      <c r="K2557" t="n">
        <v>663</v>
      </c>
      <c r="L2557" t="n">
        <v>66</v>
      </c>
      <c r="M2557" t="n">
        <v>22.15</v>
      </c>
      <c r="N2557" t="n">
        <v>3574.4</v>
      </c>
      <c r="O2557" t="n">
        <v>3.99</v>
      </c>
      <c r="P2557" t="n">
        <v>6</v>
      </c>
      <c r="Q2557" t="n">
        <v>1</v>
      </c>
      <c r="R2557" t="n">
        <v>2020.8</v>
      </c>
      <c r="S2557" t="b">
        <v>1</v>
      </c>
      <c r="T2557" t="n">
        <v>759492</v>
      </c>
      <c r="U2557" t="n">
        <v>2</v>
      </c>
      <c r="V2557" t="n">
        <v>0.06809999999999999</v>
      </c>
      <c r="W2557" t="n">
        <v>1.06</v>
      </c>
      <c r="X2557" t="n">
        <v>89.56999999999999</v>
      </c>
      <c r="Y2557">
        <f>VLOOKUP(D2557,$AB$2:$AC$7,2,FALSE)</f>
        <v/>
      </c>
      <c r="Z2557">
        <f>IF(A2557&lt;Y2557,"Yes","No")</f>
        <v/>
      </c>
    </row>
    <row r="2558">
      <c r="A2558" t="n">
        <v>2015</v>
      </c>
      <c r="B2558" t="inlineStr">
        <is>
          <t>Q1</t>
        </is>
      </c>
      <c r="C2558" t="inlineStr">
        <is>
          <t>North America</t>
        </is>
      </c>
      <c r="D2558" t="inlineStr">
        <is>
          <t>Cybertruck</t>
        </is>
      </c>
      <c r="E2558" t="n">
        <v>3214</v>
      </c>
      <c r="F2558" t="n">
        <v>99763.50999999999</v>
      </c>
      <c r="G2558" t="n">
        <v>46</v>
      </c>
      <c r="H2558" t="inlineStr">
        <is>
          <t>Long Range</t>
        </is>
      </c>
      <c r="I2558" t="inlineStr">
        <is>
          <t>AWD</t>
        </is>
      </c>
      <c r="J2558" t="inlineStr">
        <is>
          <t>Green</t>
        </is>
      </c>
      <c r="K2558" t="n">
        <v>384</v>
      </c>
      <c r="L2558" t="n">
        <v>66</v>
      </c>
      <c r="M2558" t="n">
        <v>19.45</v>
      </c>
      <c r="N2558" t="n">
        <v>5043.01</v>
      </c>
      <c r="O2558" t="n">
        <v>4.78</v>
      </c>
      <c r="P2558" t="n">
        <v>6</v>
      </c>
      <c r="Q2558" t="n">
        <v>0</v>
      </c>
      <c r="R2558" t="n">
        <v>2022.5</v>
      </c>
      <c r="S2558" t="b">
        <v>0</v>
      </c>
      <c r="T2558" t="n">
        <v>3133527</v>
      </c>
      <c r="U2558" t="n">
        <v>11</v>
      </c>
      <c r="V2558" t="n">
        <v>0.0271</v>
      </c>
      <c r="W2558" t="n">
        <v>1.59</v>
      </c>
      <c r="X2558" t="n">
        <v>66.67</v>
      </c>
      <c r="Y2558">
        <f>VLOOKUP(D2558,$AB$2:$AC$7,2,FALSE)</f>
        <v/>
      </c>
      <c r="Z2558">
        <f>IF(A2558&lt;Y2558,"Yes","No")</f>
        <v/>
      </c>
    </row>
    <row r="2559">
      <c r="A2559" t="n">
        <v>2013</v>
      </c>
      <c r="B2559" t="inlineStr">
        <is>
          <t>Q2</t>
        </is>
      </c>
      <c r="C2559" t="inlineStr">
        <is>
          <t>Asia</t>
        </is>
      </c>
      <c r="D2559" t="inlineStr">
        <is>
          <t>Model X</t>
        </is>
      </c>
      <c r="E2559" t="n">
        <v>3681</v>
      </c>
      <c r="F2559" t="n">
        <v>35302.71</v>
      </c>
      <c r="G2559" t="n">
        <v>59</v>
      </c>
      <c r="H2559" t="inlineStr">
        <is>
          <t>Performance</t>
        </is>
      </c>
      <c r="I2559" t="inlineStr">
        <is>
          <t>RWD</t>
        </is>
      </c>
      <c r="J2559" t="inlineStr">
        <is>
          <t>Black</t>
        </is>
      </c>
      <c r="K2559" t="n">
        <v>481</v>
      </c>
      <c r="L2559" t="n">
        <v>82</v>
      </c>
      <c r="M2559" t="n">
        <v>14.24</v>
      </c>
      <c r="N2559" t="n">
        <v>4475.2</v>
      </c>
      <c r="O2559" t="n">
        <v>4.77</v>
      </c>
      <c r="P2559" t="n">
        <v>4</v>
      </c>
      <c r="Q2559" t="n">
        <v>2</v>
      </c>
      <c r="R2559" t="n">
        <v>2022.12</v>
      </c>
      <c r="S2559" t="b">
        <v>1</v>
      </c>
      <c r="T2559" t="n">
        <v>3871334</v>
      </c>
      <c r="U2559" t="n">
        <v>8</v>
      </c>
      <c r="V2559" t="n">
        <v>0.0329</v>
      </c>
      <c r="W2559" t="n">
        <v>2.27</v>
      </c>
      <c r="X2559" t="n">
        <v>63.29</v>
      </c>
      <c r="Y2559">
        <f>VLOOKUP(D2559,$AB$2:$AC$7,2,FALSE)</f>
        <v/>
      </c>
      <c r="Z2559">
        <f>IF(A2559&lt;Y2559,"Yes","No")</f>
        <v/>
      </c>
    </row>
    <row r="2560">
      <c r="A2560" t="n">
        <v>2020</v>
      </c>
      <c r="B2560" t="inlineStr">
        <is>
          <t>Q4</t>
        </is>
      </c>
      <c r="C2560" t="inlineStr">
        <is>
          <t>Europe</t>
        </is>
      </c>
      <c r="D2560" t="inlineStr">
        <is>
          <t>Semi</t>
        </is>
      </c>
      <c r="E2560" t="n">
        <v>4861</v>
      </c>
      <c r="F2560" t="n">
        <v>57951.62</v>
      </c>
      <c r="G2560" t="n">
        <v>26</v>
      </c>
      <c r="H2560" t="inlineStr">
        <is>
          <t>Performance</t>
        </is>
      </c>
      <c r="I2560" t="inlineStr">
        <is>
          <t>AWD</t>
        </is>
      </c>
      <c r="J2560" t="inlineStr">
        <is>
          <t>Black</t>
        </is>
      </c>
      <c r="K2560" t="n">
        <v>395</v>
      </c>
      <c r="L2560" t="n">
        <v>48</v>
      </c>
      <c r="M2560" t="n">
        <v>23.53</v>
      </c>
      <c r="N2560" t="n">
        <v>11225.42</v>
      </c>
      <c r="O2560" t="n">
        <v>4.91</v>
      </c>
      <c r="P2560" t="n">
        <v>6</v>
      </c>
      <c r="Q2560" t="n">
        <v>0</v>
      </c>
      <c r="R2560" t="n">
        <v>2023.3</v>
      </c>
      <c r="S2560" t="b">
        <v>1</v>
      </c>
      <c r="T2560" t="n">
        <v>3796376</v>
      </c>
      <c r="U2560" t="n">
        <v>10</v>
      </c>
      <c r="V2560" t="n">
        <v>0.08649999999999999</v>
      </c>
      <c r="W2560" t="n">
        <v>1.96</v>
      </c>
      <c r="X2560" t="n">
        <v>70.40000000000001</v>
      </c>
      <c r="Y2560">
        <f>VLOOKUP(D2560,$AB$2:$AC$7,2,FALSE)</f>
        <v/>
      </c>
      <c r="Z2560">
        <f>IF(A2560&lt;Y2560,"Yes","No")</f>
        <v/>
      </c>
    </row>
    <row r="2561">
      <c r="A2561" t="n">
        <v>2020</v>
      </c>
      <c r="B2561" t="inlineStr">
        <is>
          <t>Q3</t>
        </is>
      </c>
      <c r="C2561" t="inlineStr">
        <is>
          <t>Asia</t>
        </is>
      </c>
      <c r="D2561" t="inlineStr">
        <is>
          <t>Cybertruck</t>
        </is>
      </c>
      <c r="E2561" t="n">
        <v>2518</v>
      </c>
      <c r="F2561" t="n">
        <v>39604.64</v>
      </c>
      <c r="G2561" t="n">
        <v>8</v>
      </c>
      <c r="H2561" t="inlineStr">
        <is>
          <t>Standard</t>
        </is>
      </c>
      <c r="I2561" t="inlineStr">
        <is>
          <t>RWD</t>
        </is>
      </c>
      <c r="J2561" t="inlineStr">
        <is>
          <t>Green</t>
        </is>
      </c>
      <c r="K2561" t="n">
        <v>597</v>
      </c>
      <c r="L2561" t="n">
        <v>54</v>
      </c>
      <c r="M2561" t="n">
        <v>21.23</v>
      </c>
      <c r="N2561" t="n">
        <v>1911.81</v>
      </c>
      <c r="O2561" t="n">
        <v>4.33</v>
      </c>
      <c r="P2561" t="n">
        <v>4</v>
      </c>
      <c r="Q2561" t="n">
        <v>3</v>
      </c>
      <c r="R2561" t="n">
        <v>2023.8</v>
      </c>
      <c r="S2561" t="b">
        <v>1</v>
      </c>
      <c r="T2561" t="n">
        <v>2916463</v>
      </c>
      <c r="U2561" t="n">
        <v>4</v>
      </c>
      <c r="V2561" t="n">
        <v>0.0504</v>
      </c>
      <c r="W2561" t="n">
        <v>0.88</v>
      </c>
      <c r="X2561" t="n">
        <v>81.8</v>
      </c>
      <c r="Y2561">
        <f>VLOOKUP(D2561,$AB$2:$AC$7,2,FALSE)</f>
        <v/>
      </c>
      <c r="Z2561">
        <f>IF(A2561&lt;Y2561,"Yes","No")</f>
        <v/>
      </c>
    </row>
    <row r="2562">
      <c r="A2562" t="n">
        <v>2016</v>
      </c>
      <c r="B2562" t="inlineStr">
        <is>
          <t>Q3</t>
        </is>
      </c>
      <c r="C2562" t="inlineStr">
        <is>
          <t>Asia</t>
        </is>
      </c>
      <c r="D2562" t="inlineStr">
        <is>
          <t>Model X</t>
        </is>
      </c>
      <c r="E2562" t="n">
        <v>1056</v>
      </c>
      <c r="F2562" t="n">
        <v>95533.78999999999</v>
      </c>
      <c r="G2562" t="n">
        <v>37</v>
      </c>
      <c r="H2562" t="inlineStr">
        <is>
          <t>Standard</t>
        </is>
      </c>
      <c r="I2562" t="inlineStr">
        <is>
          <t>RWD</t>
        </is>
      </c>
      <c r="J2562" t="inlineStr">
        <is>
          <t>Blue</t>
        </is>
      </c>
      <c r="K2562" t="n">
        <v>600</v>
      </c>
      <c r="L2562" t="n">
        <v>49</v>
      </c>
      <c r="M2562" t="n">
        <v>20.69</v>
      </c>
      <c r="N2562" t="n">
        <v>666</v>
      </c>
      <c r="O2562" t="n">
        <v>4.75</v>
      </c>
      <c r="P2562" t="n">
        <v>5</v>
      </c>
      <c r="Q2562" t="n">
        <v>0</v>
      </c>
      <c r="R2562" t="n">
        <v>2023.4</v>
      </c>
      <c r="S2562" t="b">
        <v>0</v>
      </c>
      <c r="T2562" t="n">
        <v>2576753</v>
      </c>
      <c r="U2562" t="n">
        <v>5</v>
      </c>
      <c r="V2562" t="n">
        <v>0.0851</v>
      </c>
      <c r="W2562" t="n">
        <v>1.48</v>
      </c>
      <c r="X2562" t="n">
        <v>60.58</v>
      </c>
      <c r="Y2562">
        <f>VLOOKUP(D2562,$AB$2:$AC$7,2,FALSE)</f>
        <v/>
      </c>
      <c r="Z2562">
        <f>IF(A2562&lt;Y2562,"Yes","No")</f>
        <v/>
      </c>
    </row>
    <row r="2563">
      <c r="A2563" t="n">
        <v>2022</v>
      </c>
      <c r="B2563" t="inlineStr">
        <is>
          <t>Q3</t>
        </is>
      </c>
      <c r="C2563" t="inlineStr">
        <is>
          <t>Europe</t>
        </is>
      </c>
      <c r="D2563" t="inlineStr">
        <is>
          <t>Model X</t>
        </is>
      </c>
      <c r="E2563" t="n">
        <v>3690</v>
      </c>
      <c r="F2563" t="n">
        <v>109407.14</v>
      </c>
      <c r="G2563" t="n">
        <v>22</v>
      </c>
      <c r="H2563" t="inlineStr">
        <is>
          <t>Long Range</t>
        </is>
      </c>
      <c r="I2563" t="inlineStr">
        <is>
          <t>AWD</t>
        </is>
      </c>
      <c r="J2563" t="inlineStr">
        <is>
          <t>Black</t>
        </is>
      </c>
      <c r="K2563" t="n">
        <v>585</v>
      </c>
      <c r="L2563" t="n">
        <v>45</v>
      </c>
      <c r="M2563" t="n">
        <v>17.05</v>
      </c>
      <c r="N2563" t="n">
        <v>6924.96</v>
      </c>
      <c r="O2563" t="n">
        <v>4.35</v>
      </c>
      <c r="P2563" t="n">
        <v>8</v>
      </c>
      <c r="Q2563" t="n">
        <v>1</v>
      </c>
      <c r="R2563" t="n">
        <v>2022.9</v>
      </c>
      <c r="S2563" t="b">
        <v>0</v>
      </c>
      <c r="T2563" t="n">
        <v>4463761</v>
      </c>
      <c r="U2563" t="n">
        <v>11</v>
      </c>
      <c r="V2563" t="n">
        <v>0.097</v>
      </c>
      <c r="W2563" t="n">
        <v>2.18</v>
      </c>
      <c r="X2563" t="n">
        <v>79.52</v>
      </c>
      <c r="Y2563">
        <f>VLOOKUP(D2563,$AB$2:$AC$7,2,FALSE)</f>
        <v/>
      </c>
      <c r="Z2563">
        <f>IF(A2563&lt;Y2563,"Yes","No")</f>
        <v/>
      </c>
    </row>
    <row r="2564">
      <c r="A2564" t="n">
        <v>2023</v>
      </c>
      <c r="B2564" t="inlineStr">
        <is>
          <t>Q2</t>
        </is>
      </c>
      <c r="C2564" t="inlineStr">
        <is>
          <t>Europe</t>
        </is>
      </c>
      <c r="D2564" t="inlineStr">
        <is>
          <t>Model 3</t>
        </is>
      </c>
      <c r="E2564" t="n">
        <v>2773</v>
      </c>
      <c r="F2564" t="n">
        <v>107139.98</v>
      </c>
      <c r="G2564" t="n">
        <v>55</v>
      </c>
      <c r="H2564" t="inlineStr">
        <is>
          <t>Standard</t>
        </is>
      </c>
      <c r="I2564" t="inlineStr">
        <is>
          <t>RWD</t>
        </is>
      </c>
      <c r="J2564" t="inlineStr">
        <is>
          <t>Red</t>
        </is>
      </c>
      <c r="K2564" t="n">
        <v>444</v>
      </c>
      <c r="L2564" t="n">
        <v>41</v>
      </c>
      <c r="M2564" t="n">
        <v>18.37</v>
      </c>
      <c r="N2564" t="n">
        <v>3859.71</v>
      </c>
      <c r="O2564" t="n">
        <v>4.48</v>
      </c>
      <c r="P2564" t="n">
        <v>4</v>
      </c>
      <c r="Q2564" t="n">
        <v>1</v>
      </c>
      <c r="R2564" t="n">
        <v>2021.9</v>
      </c>
      <c r="S2564" t="b">
        <v>0</v>
      </c>
      <c r="T2564" t="n">
        <v>4228463</v>
      </c>
      <c r="U2564" t="n">
        <v>3</v>
      </c>
      <c r="V2564" t="n">
        <v>0.0298</v>
      </c>
      <c r="W2564" t="n">
        <v>1.45</v>
      </c>
      <c r="X2564" t="n">
        <v>60.29</v>
      </c>
      <c r="Y2564">
        <f>VLOOKUP(D2564,$AB$2:$AC$7,2,FALSE)</f>
        <v/>
      </c>
      <c r="Z2564">
        <f>IF(A2564&lt;Y2564,"Yes","No")</f>
        <v/>
      </c>
    </row>
    <row r="2565">
      <c r="A2565" t="n">
        <v>2020</v>
      </c>
      <c r="B2565" t="inlineStr">
        <is>
          <t>Q4</t>
        </is>
      </c>
      <c r="C2565" t="inlineStr">
        <is>
          <t>Australia</t>
        </is>
      </c>
      <c r="D2565" t="inlineStr">
        <is>
          <t>Semi</t>
        </is>
      </c>
      <c r="E2565" t="n">
        <v>2794</v>
      </c>
      <c r="F2565" t="n">
        <v>46932.67</v>
      </c>
      <c r="G2565" t="n">
        <v>11</v>
      </c>
      <c r="H2565" t="inlineStr">
        <is>
          <t>Standard</t>
        </is>
      </c>
      <c r="I2565" t="inlineStr">
        <is>
          <t>AWD</t>
        </is>
      </c>
      <c r="J2565" t="inlineStr">
        <is>
          <t>Green</t>
        </is>
      </c>
      <c r="K2565" t="n">
        <v>373</v>
      </c>
      <c r="L2565" t="n">
        <v>32</v>
      </c>
      <c r="M2565" t="n">
        <v>21.81</v>
      </c>
      <c r="N2565" t="n">
        <v>1465.23</v>
      </c>
      <c r="O2565" t="n">
        <v>3.73</v>
      </c>
      <c r="P2565" t="n">
        <v>6</v>
      </c>
      <c r="Q2565" t="n">
        <v>1</v>
      </c>
      <c r="R2565" t="n">
        <v>2020.4</v>
      </c>
      <c r="S2565" t="b">
        <v>1</v>
      </c>
      <c r="T2565" t="n">
        <v>4671745</v>
      </c>
      <c r="U2565" t="n">
        <v>9</v>
      </c>
      <c r="V2565" t="n">
        <v>0.0677</v>
      </c>
      <c r="W2565" t="n">
        <v>1.61</v>
      </c>
      <c r="X2565" t="n">
        <v>71.19</v>
      </c>
      <c r="Y2565">
        <f>VLOOKUP(D2565,$AB$2:$AC$7,2,FALSE)</f>
        <v/>
      </c>
      <c r="Z2565">
        <f>IF(A2565&lt;Y2565,"Yes","No")</f>
        <v/>
      </c>
    </row>
    <row r="2566">
      <c r="A2566" t="n">
        <v>2024</v>
      </c>
      <c r="B2566" t="inlineStr">
        <is>
          <t>Q2</t>
        </is>
      </c>
      <c r="C2566" t="inlineStr">
        <is>
          <t>Asia</t>
        </is>
      </c>
      <c r="D2566" t="inlineStr">
        <is>
          <t>Model S</t>
        </is>
      </c>
      <c r="E2566" t="n">
        <v>495</v>
      </c>
      <c r="F2566" t="n">
        <v>45648.22</v>
      </c>
      <c r="G2566" t="n">
        <v>20</v>
      </c>
      <c r="H2566" t="inlineStr">
        <is>
          <t>Performance</t>
        </is>
      </c>
      <c r="I2566" t="inlineStr">
        <is>
          <t>RWD</t>
        </is>
      </c>
      <c r="J2566" t="inlineStr">
        <is>
          <t>Black</t>
        </is>
      </c>
      <c r="K2566" t="n">
        <v>628</v>
      </c>
      <c r="L2566" t="n">
        <v>42</v>
      </c>
      <c r="M2566" t="n">
        <v>17.84</v>
      </c>
      <c r="N2566" t="n">
        <v>658.85</v>
      </c>
      <c r="O2566" t="n">
        <v>3.92</v>
      </c>
      <c r="P2566" t="n">
        <v>5</v>
      </c>
      <c r="Q2566" t="n">
        <v>3</v>
      </c>
      <c r="R2566" t="n">
        <v>2022.9</v>
      </c>
      <c r="S2566" t="b">
        <v>0</v>
      </c>
      <c r="T2566" t="n">
        <v>2651783</v>
      </c>
      <c r="U2566" t="n">
        <v>11</v>
      </c>
      <c r="V2566" t="n">
        <v>0.0164</v>
      </c>
      <c r="W2566" t="n">
        <v>1.65</v>
      </c>
      <c r="X2566" t="n">
        <v>76.26000000000001</v>
      </c>
      <c r="Y2566">
        <f>VLOOKUP(D2566,$AB$2:$AC$7,2,FALSE)</f>
        <v/>
      </c>
      <c r="Z2566">
        <f>IF(A2566&lt;Y2566,"Yes","No")</f>
        <v/>
      </c>
    </row>
    <row r="2567">
      <c r="A2567" t="n">
        <v>2017</v>
      </c>
      <c r="B2567" t="inlineStr">
        <is>
          <t>Q1</t>
        </is>
      </c>
      <c r="C2567" t="inlineStr">
        <is>
          <t>Europe</t>
        </is>
      </c>
      <c r="D2567" t="inlineStr">
        <is>
          <t>Semi</t>
        </is>
      </c>
      <c r="E2567" t="n">
        <v>2586</v>
      </c>
      <c r="F2567" t="n">
        <v>59969.34</v>
      </c>
      <c r="G2567" t="n">
        <v>20</v>
      </c>
      <c r="H2567" t="inlineStr">
        <is>
          <t>Performance</t>
        </is>
      </c>
      <c r="I2567" t="inlineStr">
        <is>
          <t>RWD</t>
        </is>
      </c>
      <c r="J2567" t="inlineStr">
        <is>
          <t>Black</t>
        </is>
      </c>
      <c r="K2567" t="n">
        <v>432</v>
      </c>
      <c r="L2567" t="n">
        <v>68</v>
      </c>
      <c r="M2567" t="n">
        <v>17.68</v>
      </c>
      <c r="N2567" t="n">
        <v>3865.16</v>
      </c>
      <c r="O2567" t="n">
        <v>4.24</v>
      </c>
      <c r="P2567" t="n">
        <v>6</v>
      </c>
      <c r="Q2567" t="n">
        <v>2</v>
      </c>
      <c r="R2567" t="n">
        <v>2021.9</v>
      </c>
      <c r="S2567" t="b">
        <v>1</v>
      </c>
      <c r="T2567" t="n">
        <v>844414</v>
      </c>
      <c r="U2567" t="n">
        <v>10</v>
      </c>
      <c r="V2567" t="n">
        <v>0.0683</v>
      </c>
      <c r="W2567" t="n">
        <v>1.55</v>
      </c>
      <c r="X2567" t="n">
        <v>71.81999999999999</v>
      </c>
      <c r="Y2567">
        <f>VLOOKUP(D2567,$AB$2:$AC$7,2,FALSE)</f>
        <v/>
      </c>
      <c r="Z2567">
        <f>IF(A2567&lt;Y2567,"Yes","No")</f>
        <v/>
      </c>
    </row>
    <row r="2568">
      <c r="A2568" t="n">
        <v>2018</v>
      </c>
      <c r="B2568" t="inlineStr">
        <is>
          <t>Q4</t>
        </is>
      </c>
      <c r="C2568" t="inlineStr">
        <is>
          <t>Australia</t>
        </is>
      </c>
      <c r="D2568" t="inlineStr">
        <is>
          <t>Model 3</t>
        </is>
      </c>
      <c r="E2568" t="n">
        <v>2047</v>
      </c>
      <c r="F2568" t="n">
        <v>104149.95</v>
      </c>
      <c r="G2568" t="n">
        <v>11</v>
      </c>
      <c r="H2568" t="inlineStr">
        <is>
          <t>Performance</t>
        </is>
      </c>
      <c r="I2568" t="inlineStr">
        <is>
          <t>AWD</t>
        </is>
      </c>
      <c r="J2568" t="inlineStr">
        <is>
          <t>Silver</t>
        </is>
      </c>
      <c r="K2568" t="n">
        <v>391</v>
      </c>
      <c r="L2568" t="n">
        <v>36</v>
      </c>
      <c r="M2568" t="n">
        <v>17.07</v>
      </c>
      <c r="N2568" t="n">
        <v>4018.78</v>
      </c>
      <c r="O2568" t="n">
        <v>4.07</v>
      </c>
      <c r="P2568" t="n">
        <v>5</v>
      </c>
      <c r="Q2568" t="n">
        <v>2</v>
      </c>
      <c r="R2568" t="n">
        <v>2024.8</v>
      </c>
      <c r="S2568" t="b">
        <v>0</v>
      </c>
      <c r="T2568" t="n">
        <v>147744</v>
      </c>
      <c r="U2568" t="n">
        <v>7</v>
      </c>
      <c r="V2568" t="n">
        <v>0.07099999999999999</v>
      </c>
      <c r="W2568" t="n">
        <v>1.02</v>
      </c>
      <c r="X2568" t="n">
        <v>77.22</v>
      </c>
      <c r="Y2568">
        <f>VLOOKUP(D2568,$AB$2:$AC$7,2,FALSE)</f>
        <v/>
      </c>
      <c r="Z2568">
        <f>IF(A2568&lt;Y2568,"Yes","No")</f>
        <v/>
      </c>
    </row>
    <row r="2569">
      <c r="A2569" t="n">
        <v>2013</v>
      </c>
      <c r="B2569" t="inlineStr">
        <is>
          <t>Q3</t>
        </is>
      </c>
      <c r="C2569" t="inlineStr">
        <is>
          <t>North America</t>
        </is>
      </c>
      <c r="D2569" t="inlineStr">
        <is>
          <t>Model Y</t>
        </is>
      </c>
      <c r="E2569" t="n">
        <v>3091</v>
      </c>
      <c r="F2569" t="n">
        <v>89654.83</v>
      </c>
      <c r="G2569" t="n">
        <v>31</v>
      </c>
      <c r="H2569" t="inlineStr">
        <is>
          <t>Long Range</t>
        </is>
      </c>
      <c r="I2569" t="inlineStr">
        <is>
          <t>RWD</t>
        </is>
      </c>
      <c r="J2569" t="inlineStr">
        <is>
          <t>Red</t>
        </is>
      </c>
      <c r="K2569" t="n">
        <v>442</v>
      </c>
      <c r="L2569" t="n">
        <v>89</v>
      </c>
      <c r="M2569" t="n">
        <v>24.97</v>
      </c>
      <c r="N2569" t="n">
        <v>4528.18</v>
      </c>
      <c r="O2569" t="n">
        <v>4.46</v>
      </c>
      <c r="P2569" t="n">
        <v>6</v>
      </c>
      <c r="Q2569" t="n">
        <v>0</v>
      </c>
      <c r="R2569" t="n">
        <v>2023.6</v>
      </c>
      <c r="S2569" t="b">
        <v>1</v>
      </c>
      <c r="T2569" t="n">
        <v>3022819</v>
      </c>
      <c r="U2569" t="n">
        <v>3</v>
      </c>
      <c r="V2569" t="n">
        <v>0.028</v>
      </c>
      <c r="W2569" t="n">
        <v>1</v>
      </c>
      <c r="X2569" t="n">
        <v>88.08</v>
      </c>
      <c r="Y2569">
        <f>VLOOKUP(D2569,$AB$2:$AC$7,2,FALSE)</f>
        <v/>
      </c>
      <c r="Z2569">
        <f>IF(A2569&lt;Y2569,"Yes","No")</f>
        <v/>
      </c>
    </row>
    <row r="2570">
      <c r="A2570" t="n">
        <v>2018</v>
      </c>
      <c r="B2570" t="inlineStr">
        <is>
          <t>Q2</t>
        </is>
      </c>
      <c r="C2570" t="inlineStr">
        <is>
          <t>South America</t>
        </is>
      </c>
      <c r="D2570" t="inlineStr">
        <is>
          <t>Model 3</t>
        </is>
      </c>
      <c r="E2570" t="n">
        <v>1860</v>
      </c>
      <c r="F2570" t="n">
        <v>60668.15</v>
      </c>
      <c r="G2570" t="n">
        <v>38</v>
      </c>
      <c r="H2570" t="inlineStr">
        <is>
          <t>Long Range</t>
        </is>
      </c>
      <c r="I2570" t="inlineStr">
        <is>
          <t>RWD</t>
        </is>
      </c>
      <c r="J2570" t="inlineStr">
        <is>
          <t>White</t>
        </is>
      </c>
      <c r="K2570" t="n">
        <v>405</v>
      </c>
      <c r="L2570" t="n">
        <v>51</v>
      </c>
      <c r="M2570" t="n">
        <v>21.31</v>
      </c>
      <c r="N2570" t="n">
        <v>1501.12</v>
      </c>
      <c r="O2570" t="n">
        <v>4.56</v>
      </c>
      <c r="P2570" t="n">
        <v>5</v>
      </c>
      <c r="Q2570" t="n">
        <v>0</v>
      </c>
      <c r="R2570" t="n">
        <v>2024.5</v>
      </c>
      <c r="S2570" t="b">
        <v>0</v>
      </c>
      <c r="T2570" t="n">
        <v>3464788</v>
      </c>
      <c r="U2570" t="n">
        <v>2</v>
      </c>
      <c r="V2570" t="n">
        <v>0.0408</v>
      </c>
      <c r="W2570" t="n">
        <v>1.35</v>
      </c>
      <c r="X2570" t="n">
        <v>72.25</v>
      </c>
      <c r="Y2570">
        <f>VLOOKUP(D2570,$AB$2:$AC$7,2,FALSE)</f>
        <v/>
      </c>
      <c r="Z2570">
        <f>IF(A2570&lt;Y2570,"Yes","No")</f>
        <v/>
      </c>
    </row>
    <row r="2571">
      <c r="A2571" t="n">
        <v>2023</v>
      </c>
      <c r="B2571" t="inlineStr">
        <is>
          <t>Q3</t>
        </is>
      </c>
      <c r="C2571" t="inlineStr">
        <is>
          <t>Australia</t>
        </is>
      </c>
      <c r="D2571" t="inlineStr">
        <is>
          <t>Model S</t>
        </is>
      </c>
      <c r="E2571" t="n">
        <v>1424</v>
      </c>
      <c r="F2571" t="n">
        <v>58218.71</v>
      </c>
      <c r="G2571" t="n">
        <v>58</v>
      </c>
      <c r="H2571" t="inlineStr">
        <is>
          <t>Performance</t>
        </is>
      </c>
      <c r="I2571" t="inlineStr">
        <is>
          <t>AWD</t>
        </is>
      </c>
      <c r="J2571" t="inlineStr">
        <is>
          <t>Black</t>
        </is>
      </c>
      <c r="K2571" t="n">
        <v>502</v>
      </c>
      <c r="L2571" t="n">
        <v>46</v>
      </c>
      <c r="M2571" t="n">
        <v>14.17</v>
      </c>
      <c r="N2571" t="n">
        <v>1799.63</v>
      </c>
      <c r="O2571" t="n">
        <v>4.7</v>
      </c>
      <c r="P2571" t="n">
        <v>8</v>
      </c>
      <c r="Q2571" t="n">
        <v>1</v>
      </c>
      <c r="R2571" t="n">
        <v>2024.1</v>
      </c>
      <c r="S2571" t="b">
        <v>1</v>
      </c>
      <c r="T2571" t="n">
        <v>3217428</v>
      </c>
      <c r="U2571" t="n">
        <v>12</v>
      </c>
      <c r="V2571" t="n">
        <v>0.0249</v>
      </c>
      <c r="W2571" t="n">
        <v>1.73</v>
      </c>
      <c r="X2571" t="n">
        <v>84.22</v>
      </c>
      <c r="Y2571">
        <f>VLOOKUP(D2571,$AB$2:$AC$7,2,FALSE)</f>
        <v/>
      </c>
      <c r="Z2571">
        <f>IF(A2571&lt;Y2571,"Yes","No")</f>
        <v/>
      </c>
    </row>
    <row r="2572">
      <c r="A2572" t="n">
        <v>2022</v>
      </c>
      <c r="B2572" t="inlineStr">
        <is>
          <t>Q2</t>
        </is>
      </c>
      <c r="C2572" t="inlineStr">
        <is>
          <t>Australia</t>
        </is>
      </c>
      <c r="D2572" t="inlineStr">
        <is>
          <t>Model 3</t>
        </is>
      </c>
      <c r="E2572" t="n">
        <v>2825</v>
      </c>
      <c r="F2572" t="n">
        <v>89329.83</v>
      </c>
      <c r="G2572" t="n">
        <v>42</v>
      </c>
      <c r="H2572" t="inlineStr">
        <is>
          <t>Standard</t>
        </is>
      </c>
      <c r="I2572" t="inlineStr">
        <is>
          <t>AWD</t>
        </is>
      </c>
      <c r="J2572" t="inlineStr">
        <is>
          <t>Silver</t>
        </is>
      </c>
      <c r="K2572" t="n">
        <v>465</v>
      </c>
      <c r="L2572" t="n">
        <v>35</v>
      </c>
      <c r="M2572" t="n">
        <v>22.13</v>
      </c>
      <c r="N2572" t="n">
        <v>1866.01</v>
      </c>
      <c r="O2572" t="n">
        <v>4.09</v>
      </c>
      <c r="P2572" t="n">
        <v>8</v>
      </c>
      <c r="Q2572" t="n">
        <v>3</v>
      </c>
      <c r="R2572" t="n">
        <v>2022.5</v>
      </c>
      <c r="S2572" t="b">
        <v>0</v>
      </c>
      <c r="T2572" t="n">
        <v>4497077</v>
      </c>
      <c r="U2572" t="n">
        <v>8</v>
      </c>
      <c r="V2572" t="n">
        <v>0.08500000000000001</v>
      </c>
      <c r="W2572" t="n">
        <v>2.33</v>
      </c>
      <c r="X2572" t="n">
        <v>65.98</v>
      </c>
      <c r="Y2572">
        <f>VLOOKUP(D2572,$AB$2:$AC$7,2,FALSE)</f>
        <v/>
      </c>
      <c r="Z2572">
        <f>IF(A2572&lt;Y2572,"Yes","No")</f>
        <v/>
      </c>
    </row>
    <row r="2573">
      <c r="A2573" t="n">
        <v>2012</v>
      </c>
      <c r="B2573" t="inlineStr">
        <is>
          <t>Q4</t>
        </is>
      </c>
      <c r="C2573" t="inlineStr">
        <is>
          <t>North America</t>
        </is>
      </c>
      <c r="D2573" t="inlineStr">
        <is>
          <t>Cybertruck</t>
        </is>
      </c>
      <c r="E2573" t="n">
        <v>759</v>
      </c>
      <c r="F2573" t="n">
        <v>117931.48</v>
      </c>
      <c r="G2573" t="n">
        <v>25</v>
      </c>
      <c r="H2573" t="inlineStr">
        <is>
          <t>Performance</t>
        </is>
      </c>
      <c r="I2573" t="inlineStr">
        <is>
          <t>RWD</t>
        </is>
      </c>
      <c r="J2573" t="inlineStr">
        <is>
          <t>White</t>
        </is>
      </c>
      <c r="K2573" t="n">
        <v>408</v>
      </c>
      <c r="L2573" t="n">
        <v>72</v>
      </c>
      <c r="M2573" t="n">
        <v>19.58</v>
      </c>
      <c r="N2573" t="n">
        <v>596.7</v>
      </c>
      <c r="O2573" t="n">
        <v>4.63</v>
      </c>
      <c r="P2573" t="n">
        <v>8</v>
      </c>
      <c r="Q2573" t="n">
        <v>0</v>
      </c>
      <c r="R2573" t="n">
        <v>2024.12</v>
      </c>
      <c r="S2573" t="b">
        <v>0</v>
      </c>
      <c r="T2573" t="n">
        <v>577099</v>
      </c>
      <c r="U2573" t="n">
        <v>3</v>
      </c>
      <c r="V2573" t="n">
        <v>0.0409</v>
      </c>
      <c r="W2573" t="n">
        <v>1.94</v>
      </c>
      <c r="X2573" t="n">
        <v>76.68000000000001</v>
      </c>
      <c r="Y2573">
        <f>VLOOKUP(D2573,$AB$2:$AC$7,2,FALSE)</f>
        <v/>
      </c>
      <c r="Z2573">
        <f>IF(A2573&lt;Y2573,"Yes","No")</f>
        <v/>
      </c>
    </row>
    <row r="2574">
      <c r="A2574" t="n">
        <v>2019</v>
      </c>
      <c r="B2574" t="inlineStr">
        <is>
          <t>Q3</t>
        </is>
      </c>
      <c r="C2574" t="inlineStr">
        <is>
          <t>North America</t>
        </is>
      </c>
      <c r="D2574" t="inlineStr">
        <is>
          <t>Model X</t>
        </is>
      </c>
      <c r="E2574" t="n">
        <v>2277</v>
      </c>
      <c r="F2574" t="n">
        <v>41565.82</v>
      </c>
      <c r="G2574" t="n">
        <v>4</v>
      </c>
      <c r="H2574" t="inlineStr">
        <is>
          <t>Performance</t>
        </is>
      </c>
      <c r="I2574" t="inlineStr">
        <is>
          <t>RWD</t>
        </is>
      </c>
      <c r="J2574" t="inlineStr">
        <is>
          <t>Green</t>
        </is>
      </c>
      <c r="K2574" t="n">
        <v>658</v>
      </c>
      <c r="L2574" t="n">
        <v>64</v>
      </c>
      <c r="M2574" t="n">
        <v>20.59</v>
      </c>
      <c r="N2574" t="n">
        <v>4128.82</v>
      </c>
      <c r="O2574" t="n">
        <v>3.68</v>
      </c>
      <c r="P2574" t="n">
        <v>4</v>
      </c>
      <c r="Q2574" t="n">
        <v>3</v>
      </c>
      <c r="R2574" t="n">
        <v>2022.3</v>
      </c>
      <c r="S2574" t="b">
        <v>0</v>
      </c>
      <c r="T2574" t="n">
        <v>770225</v>
      </c>
      <c r="U2574" t="n">
        <v>6</v>
      </c>
      <c r="V2574" t="n">
        <v>0.0218</v>
      </c>
      <c r="W2574" t="n">
        <v>2.29</v>
      </c>
      <c r="X2574" t="n">
        <v>69.31</v>
      </c>
      <c r="Y2574">
        <f>VLOOKUP(D2574,$AB$2:$AC$7,2,FALSE)</f>
        <v/>
      </c>
      <c r="Z2574">
        <f>IF(A2574&lt;Y2574,"Yes","No")</f>
        <v/>
      </c>
    </row>
    <row r="2575">
      <c r="A2575" t="n">
        <v>2016</v>
      </c>
      <c r="B2575" t="inlineStr">
        <is>
          <t>Q3</t>
        </is>
      </c>
      <c r="C2575" t="inlineStr">
        <is>
          <t>North America</t>
        </is>
      </c>
      <c r="D2575" t="inlineStr">
        <is>
          <t>Model 3</t>
        </is>
      </c>
      <c r="E2575" t="n">
        <v>1413</v>
      </c>
      <c r="F2575" t="n">
        <v>79527.55</v>
      </c>
      <c r="G2575" t="n">
        <v>21</v>
      </c>
      <c r="H2575" t="inlineStr">
        <is>
          <t>Performance</t>
        </is>
      </c>
      <c r="I2575" t="inlineStr">
        <is>
          <t>AWD</t>
        </is>
      </c>
      <c r="J2575" t="inlineStr">
        <is>
          <t>Green</t>
        </is>
      </c>
      <c r="K2575" t="n">
        <v>585</v>
      </c>
      <c r="L2575" t="n">
        <v>31</v>
      </c>
      <c r="M2575" t="n">
        <v>19.72</v>
      </c>
      <c r="N2575" t="n">
        <v>846.26</v>
      </c>
      <c r="O2575" t="n">
        <v>3.85</v>
      </c>
      <c r="P2575" t="n">
        <v>8</v>
      </c>
      <c r="Q2575" t="n">
        <v>2</v>
      </c>
      <c r="R2575" t="n">
        <v>2021.2</v>
      </c>
      <c r="S2575" t="b">
        <v>1</v>
      </c>
      <c r="T2575" t="n">
        <v>410687</v>
      </c>
      <c r="U2575" t="n">
        <v>2</v>
      </c>
      <c r="V2575" t="n">
        <v>0.038</v>
      </c>
      <c r="W2575" t="n">
        <v>2.24</v>
      </c>
      <c r="X2575" t="n">
        <v>87.87</v>
      </c>
      <c r="Y2575">
        <f>VLOOKUP(D2575,$AB$2:$AC$7,2,FALSE)</f>
        <v/>
      </c>
      <c r="Z2575">
        <f>IF(A2575&lt;Y2575,"Yes","No")</f>
        <v/>
      </c>
    </row>
    <row r="2576">
      <c r="A2576" t="n">
        <v>2016</v>
      </c>
      <c r="B2576" t="inlineStr">
        <is>
          <t>Q4</t>
        </is>
      </c>
      <c r="C2576" t="inlineStr">
        <is>
          <t>North America</t>
        </is>
      </c>
      <c r="D2576" t="inlineStr">
        <is>
          <t>Model S</t>
        </is>
      </c>
      <c r="E2576" t="n">
        <v>1284</v>
      </c>
      <c r="F2576" t="n">
        <v>81076.22</v>
      </c>
      <c r="G2576" t="n">
        <v>22</v>
      </c>
      <c r="H2576" t="inlineStr">
        <is>
          <t>Long Range</t>
        </is>
      </c>
      <c r="I2576" t="inlineStr">
        <is>
          <t>RWD</t>
        </is>
      </c>
      <c r="J2576" t="inlineStr">
        <is>
          <t>Black</t>
        </is>
      </c>
      <c r="K2576" t="n">
        <v>554</v>
      </c>
      <c r="L2576" t="n">
        <v>79</v>
      </c>
      <c r="M2576" t="n">
        <v>23.46</v>
      </c>
      <c r="N2576" t="n">
        <v>899.36</v>
      </c>
      <c r="O2576" t="n">
        <v>4</v>
      </c>
      <c r="P2576" t="n">
        <v>4</v>
      </c>
      <c r="Q2576" t="n">
        <v>0</v>
      </c>
      <c r="R2576" t="n">
        <v>2024.7</v>
      </c>
      <c r="S2576" t="b">
        <v>0</v>
      </c>
      <c r="T2576" t="n">
        <v>3810776</v>
      </c>
      <c r="U2576" t="n">
        <v>2</v>
      </c>
      <c r="V2576" t="n">
        <v>0.0342</v>
      </c>
      <c r="W2576" t="n">
        <v>1.85</v>
      </c>
      <c r="X2576" t="n">
        <v>63.88</v>
      </c>
      <c r="Y2576">
        <f>VLOOKUP(D2576,$AB$2:$AC$7,2,FALSE)</f>
        <v/>
      </c>
      <c r="Z2576">
        <f>IF(A2576&lt;Y2576,"Yes","No")</f>
        <v/>
      </c>
    </row>
    <row r="2577">
      <c r="A2577" t="n">
        <v>2021</v>
      </c>
      <c r="B2577" t="inlineStr">
        <is>
          <t>Q3</t>
        </is>
      </c>
      <c r="C2577" t="inlineStr">
        <is>
          <t>Australia</t>
        </is>
      </c>
      <c r="D2577" t="inlineStr">
        <is>
          <t>Cybertruck</t>
        </is>
      </c>
      <c r="E2577" t="n">
        <v>201</v>
      </c>
      <c r="F2577" t="n">
        <v>117668.25</v>
      </c>
      <c r="G2577" t="n">
        <v>20</v>
      </c>
      <c r="H2577" t="inlineStr">
        <is>
          <t>Long Range</t>
        </is>
      </c>
      <c r="I2577" t="inlineStr">
        <is>
          <t>AWD</t>
        </is>
      </c>
      <c r="J2577" t="inlineStr">
        <is>
          <t>Blue</t>
        </is>
      </c>
      <c r="K2577" t="n">
        <v>488</v>
      </c>
      <c r="L2577" t="n">
        <v>39</v>
      </c>
      <c r="M2577" t="n">
        <v>21.95</v>
      </c>
      <c r="N2577" t="n">
        <v>312.85</v>
      </c>
      <c r="O2577" t="n">
        <v>3.83</v>
      </c>
      <c r="P2577" t="n">
        <v>6</v>
      </c>
      <c r="Q2577" t="n">
        <v>2</v>
      </c>
      <c r="R2577" t="n">
        <v>2024.9</v>
      </c>
      <c r="S2577" t="b">
        <v>0</v>
      </c>
      <c r="T2577" t="n">
        <v>3442056</v>
      </c>
      <c r="U2577" t="n">
        <v>11</v>
      </c>
      <c r="V2577" t="n">
        <v>0.0697</v>
      </c>
      <c r="W2577" t="n">
        <v>1.58</v>
      </c>
      <c r="X2577" t="n">
        <v>84</v>
      </c>
      <c r="Y2577">
        <f>VLOOKUP(D2577,$AB$2:$AC$7,2,FALSE)</f>
        <v/>
      </c>
      <c r="Z2577">
        <f>IF(A2577&lt;Y2577,"Yes","No")</f>
        <v/>
      </c>
    </row>
    <row r="2578">
      <c r="A2578" t="n">
        <v>2016</v>
      </c>
      <c r="B2578" t="inlineStr">
        <is>
          <t>Q3</t>
        </is>
      </c>
      <c r="C2578" t="inlineStr">
        <is>
          <t>North America</t>
        </is>
      </c>
      <c r="D2578" t="inlineStr">
        <is>
          <t>Model 3</t>
        </is>
      </c>
      <c r="E2578" t="n">
        <v>709</v>
      </c>
      <c r="F2578" t="n">
        <v>47632.3</v>
      </c>
      <c r="G2578" t="n">
        <v>18</v>
      </c>
      <c r="H2578" t="inlineStr">
        <is>
          <t>Performance</t>
        </is>
      </c>
      <c r="I2578" t="inlineStr">
        <is>
          <t>RWD</t>
        </is>
      </c>
      <c r="J2578" t="inlineStr">
        <is>
          <t>Red</t>
        </is>
      </c>
      <c r="K2578" t="n">
        <v>529</v>
      </c>
      <c r="L2578" t="n">
        <v>68</v>
      </c>
      <c r="M2578" t="n">
        <v>23.74</v>
      </c>
      <c r="N2578" t="n">
        <v>644.11</v>
      </c>
      <c r="O2578" t="n">
        <v>4.25</v>
      </c>
      <c r="P2578" t="n">
        <v>8</v>
      </c>
      <c r="Q2578" t="n">
        <v>1</v>
      </c>
      <c r="R2578" t="n">
        <v>2023.3</v>
      </c>
      <c r="S2578" t="b">
        <v>1</v>
      </c>
      <c r="T2578" t="n">
        <v>2902454</v>
      </c>
      <c r="U2578" t="n">
        <v>4</v>
      </c>
      <c r="V2578" t="n">
        <v>0.0452</v>
      </c>
      <c r="W2578" t="n">
        <v>1.92</v>
      </c>
      <c r="X2578" t="n">
        <v>83.72</v>
      </c>
      <c r="Y2578">
        <f>VLOOKUP(D2578,$AB$2:$AC$7,2,FALSE)</f>
        <v/>
      </c>
      <c r="Z2578">
        <f>IF(A2578&lt;Y2578,"Yes","No")</f>
        <v/>
      </c>
    </row>
    <row r="2579">
      <c r="A2579" t="n">
        <v>2018</v>
      </c>
      <c r="B2579" t="inlineStr">
        <is>
          <t>Q1</t>
        </is>
      </c>
      <c r="C2579" t="inlineStr">
        <is>
          <t>North America</t>
        </is>
      </c>
      <c r="D2579" t="inlineStr">
        <is>
          <t>Model 3</t>
        </is>
      </c>
      <c r="E2579" t="n">
        <v>4295</v>
      </c>
      <c r="F2579" t="n">
        <v>102604.47</v>
      </c>
      <c r="G2579" t="n">
        <v>34</v>
      </c>
      <c r="H2579" t="inlineStr">
        <is>
          <t>Long Range</t>
        </is>
      </c>
      <c r="I2579" t="inlineStr">
        <is>
          <t>AWD</t>
        </is>
      </c>
      <c r="J2579" t="inlineStr">
        <is>
          <t>Green</t>
        </is>
      </c>
      <c r="K2579" t="n">
        <v>514</v>
      </c>
      <c r="L2579" t="n">
        <v>60</v>
      </c>
      <c r="M2579" t="n">
        <v>14.23</v>
      </c>
      <c r="N2579" t="n">
        <v>9401.110000000001</v>
      </c>
      <c r="O2579" t="n">
        <v>3.74</v>
      </c>
      <c r="P2579" t="n">
        <v>6</v>
      </c>
      <c r="Q2579" t="n">
        <v>3</v>
      </c>
      <c r="R2579" t="n">
        <v>2022.5</v>
      </c>
      <c r="S2579" t="b">
        <v>0</v>
      </c>
      <c r="T2579" t="n">
        <v>474965</v>
      </c>
      <c r="U2579" t="n">
        <v>2</v>
      </c>
      <c r="V2579" t="n">
        <v>0.0612</v>
      </c>
      <c r="W2579" t="n">
        <v>1.01</v>
      </c>
      <c r="X2579" t="n">
        <v>63.54</v>
      </c>
      <c r="Y2579">
        <f>VLOOKUP(D2579,$AB$2:$AC$7,2,FALSE)</f>
        <v/>
      </c>
      <c r="Z2579">
        <f>IF(A2579&lt;Y2579,"Yes","No")</f>
        <v/>
      </c>
    </row>
    <row r="2580">
      <c r="A2580" t="n">
        <v>2018</v>
      </c>
      <c r="B2580" t="inlineStr">
        <is>
          <t>Q3</t>
        </is>
      </c>
      <c r="C2580" t="inlineStr">
        <is>
          <t>South America</t>
        </is>
      </c>
      <c r="D2580" t="inlineStr">
        <is>
          <t>Model 3</t>
        </is>
      </c>
      <c r="E2580" t="n">
        <v>4248</v>
      </c>
      <c r="F2580" t="n">
        <v>108965.66</v>
      </c>
      <c r="G2580" t="n">
        <v>40</v>
      </c>
      <c r="H2580" t="inlineStr">
        <is>
          <t>Long Range</t>
        </is>
      </c>
      <c r="I2580" t="inlineStr">
        <is>
          <t>RWD</t>
        </is>
      </c>
      <c r="J2580" t="inlineStr">
        <is>
          <t>Green</t>
        </is>
      </c>
      <c r="K2580" t="n">
        <v>372</v>
      </c>
      <c r="L2580" t="n">
        <v>37</v>
      </c>
      <c r="M2580" t="n">
        <v>18.22</v>
      </c>
      <c r="N2580" t="n">
        <v>5715.4</v>
      </c>
      <c r="O2580" t="n">
        <v>4.01</v>
      </c>
      <c r="P2580" t="n">
        <v>8</v>
      </c>
      <c r="Q2580" t="n">
        <v>3</v>
      </c>
      <c r="R2580" t="n">
        <v>2023.9</v>
      </c>
      <c r="S2580" t="b">
        <v>0</v>
      </c>
      <c r="T2580" t="n">
        <v>2036226</v>
      </c>
      <c r="U2580" t="n">
        <v>4</v>
      </c>
      <c r="V2580" t="n">
        <v>0.0376</v>
      </c>
      <c r="W2580" t="n">
        <v>1.4</v>
      </c>
      <c r="X2580" t="n">
        <v>70.08</v>
      </c>
      <c r="Y2580">
        <f>VLOOKUP(D2580,$AB$2:$AC$7,2,FALSE)</f>
        <v/>
      </c>
      <c r="Z2580">
        <f>IF(A2580&lt;Y2580,"Yes","No")</f>
        <v/>
      </c>
    </row>
    <row r="2581">
      <c r="A2581" t="n">
        <v>2015</v>
      </c>
      <c r="B2581" t="inlineStr">
        <is>
          <t>Q2</t>
        </is>
      </c>
      <c r="C2581" t="inlineStr">
        <is>
          <t>North America</t>
        </is>
      </c>
      <c r="D2581" t="inlineStr">
        <is>
          <t>Model 3</t>
        </is>
      </c>
      <c r="E2581" t="n">
        <v>3250</v>
      </c>
      <c r="F2581" t="n">
        <v>114232.82</v>
      </c>
      <c r="G2581" t="n">
        <v>55</v>
      </c>
      <c r="H2581" t="inlineStr">
        <is>
          <t>Performance</t>
        </is>
      </c>
      <c r="I2581" t="inlineStr">
        <is>
          <t>AWD</t>
        </is>
      </c>
      <c r="J2581" t="inlineStr">
        <is>
          <t>Black</t>
        </is>
      </c>
      <c r="K2581" t="n">
        <v>543</v>
      </c>
      <c r="L2581" t="n">
        <v>76</v>
      </c>
      <c r="M2581" t="n">
        <v>13.26</v>
      </c>
      <c r="N2581" t="n">
        <v>6725.17</v>
      </c>
      <c r="O2581" t="n">
        <v>4.89</v>
      </c>
      <c r="P2581" t="n">
        <v>8</v>
      </c>
      <c r="Q2581" t="n">
        <v>0</v>
      </c>
      <c r="R2581" t="n">
        <v>2022.12</v>
      </c>
      <c r="S2581" t="b">
        <v>0</v>
      </c>
      <c r="T2581" t="n">
        <v>2494057</v>
      </c>
      <c r="U2581" t="n">
        <v>4</v>
      </c>
      <c r="V2581" t="n">
        <v>0.0881</v>
      </c>
      <c r="W2581" t="n">
        <v>2.18</v>
      </c>
      <c r="X2581" t="n">
        <v>82.2</v>
      </c>
      <c r="Y2581">
        <f>VLOOKUP(D2581,$AB$2:$AC$7,2,FALSE)</f>
        <v/>
      </c>
      <c r="Z2581">
        <f>IF(A2581&lt;Y2581,"Yes","No")</f>
        <v/>
      </c>
    </row>
    <row r="2582">
      <c r="A2582" t="n">
        <v>2018</v>
      </c>
      <c r="B2582" t="inlineStr">
        <is>
          <t>Q2</t>
        </is>
      </c>
      <c r="C2582" t="inlineStr">
        <is>
          <t>Australia</t>
        </is>
      </c>
      <c r="D2582" t="inlineStr">
        <is>
          <t>Semi</t>
        </is>
      </c>
      <c r="E2582" t="n">
        <v>4346</v>
      </c>
      <c r="F2582" t="n">
        <v>35726.82</v>
      </c>
      <c r="G2582" t="n">
        <v>13</v>
      </c>
      <c r="H2582" t="inlineStr">
        <is>
          <t>Long Range</t>
        </is>
      </c>
      <c r="I2582" t="inlineStr">
        <is>
          <t>AWD</t>
        </is>
      </c>
      <c r="J2582" t="inlineStr">
        <is>
          <t>Blue</t>
        </is>
      </c>
      <c r="K2582" t="n">
        <v>387</v>
      </c>
      <c r="L2582" t="n">
        <v>65</v>
      </c>
      <c r="M2582" t="n">
        <v>18.2</v>
      </c>
      <c r="N2582" t="n">
        <v>6850.63</v>
      </c>
      <c r="O2582" t="n">
        <v>4.32</v>
      </c>
      <c r="P2582" t="n">
        <v>8</v>
      </c>
      <c r="Q2582" t="n">
        <v>2</v>
      </c>
      <c r="R2582" t="n">
        <v>2023.2</v>
      </c>
      <c r="S2582" t="b">
        <v>1</v>
      </c>
      <c r="T2582" t="n">
        <v>429757</v>
      </c>
      <c r="U2582" t="n">
        <v>6</v>
      </c>
      <c r="V2582" t="n">
        <v>0.0853</v>
      </c>
      <c r="W2582" t="n">
        <v>1.18</v>
      </c>
      <c r="X2582" t="n">
        <v>69.8</v>
      </c>
      <c r="Y2582">
        <f>VLOOKUP(D2582,$AB$2:$AC$7,2,FALSE)</f>
        <v/>
      </c>
      <c r="Z2582">
        <f>IF(A2582&lt;Y2582,"Yes","No")</f>
        <v/>
      </c>
    </row>
    <row r="2583">
      <c r="A2583" t="n">
        <v>2017</v>
      </c>
      <c r="B2583" t="inlineStr">
        <is>
          <t>Q4</t>
        </is>
      </c>
      <c r="C2583" t="inlineStr">
        <is>
          <t>Australia</t>
        </is>
      </c>
      <c r="D2583" t="inlineStr">
        <is>
          <t>Model 3</t>
        </is>
      </c>
      <c r="E2583" t="n">
        <v>3207</v>
      </c>
      <c r="F2583" t="n">
        <v>98682.49000000001</v>
      </c>
      <c r="G2583" t="n">
        <v>13</v>
      </c>
      <c r="H2583" t="inlineStr">
        <is>
          <t>Long Range</t>
        </is>
      </c>
      <c r="I2583" t="inlineStr">
        <is>
          <t>AWD</t>
        </is>
      </c>
      <c r="J2583" t="inlineStr">
        <is>
          <t>Green</t>
        </is>
      </c>
      <c r="K2583" t="n">
        <v>632</v>
      </c>
      <c r="L2583" t="n">
        <v>72</v>
      </c>
      <c r="M2583" t="n">
        <v>22.06</v>
      </c>
      <c r="N2583" t="n">
        <v>2943.09</v>
      </c>
      <c r="O2583" t="n">
        <v>4.43</v>
      </c>
      <c r="P2583" t="n">
        <v>5</v>
      </c>
      <c r="Q2583" t="n">
        <v>1</v>
      </c>
      <c r="R2583" t="n">
        <v>2021.1</v>
      </c>
      <c r="S2583" t="b">
        <v>0</v>
      </c>
      <c r="T2583" t="n">
        <v>1635778</v>
      </c>
      <c r="U2583" t="n">
        <v>3</v>
      </c>
      <c r="V2583" t="n">
        <v>0.0151</v>
      </c>
      <c r="W2583" t="n">
        <v>1.48</v>
      </c>
      <c r="X2583" t="n">
        <v>82.48999999999999</v>
      </c>
      <c r="Y2583">
        <f>VLOOKUP(D2583,$AB$2:$AC$7,2,FALSE)</f>
        <v/>
      </c>
      <c r="Z2583">
        <f>IF(A2583&lt;Y2583,"Yes","No")</f>
        <v/>
      </c>
    </row>
    <row r="2584">
      <c r="A2584" t="n">
        <v>2021</v>
      </c>
      <c r="B2584" t="inlineStr">
        <is>
          <t>Q2</t>
        </is>
      </c>
      <c r="C2584" t="inlineStr">
        <is>
          <t>North America</t>
        </is>
      </c>
      <c r="D2584" t="inlineStr">
        <is>
          <t>Model X</t>
        </is>
      </c>
      <c r="E2584" t="n">
        <v>4450</v>
      </c>
      <c r="F2584" t="n">
        <v>72907.99000000001</v>
      </c>
      <c r="G2584" t="n">
        <v>60</v>
      </c>
      <c r="H2584" t="inlineStr">
        <is>
          <t>Performance</t>
        </is>
      </c>
      <c r="I2584" t="inlineStr">
        <is>
          <t>AWD</t>
        </is>
      </c>
      <c r="J2584" t="inlineStr">
        <is>
          <t>Blue</t>
        </is>
      </c>
      <c r="K2584" t="n">
        <v>373</v>
      </c>
      <c r="L2584" t="n">
        <v>88</v>
      </c>
      <c r="M2584" t="n">
        <v>22.08</v>
      </c>
      <c r="N2584" t="n">
        <v>3777.45</v>
      </c>
      <c r="O2584" t="n">
        <v>3.8</v>
      </c>
      <c r="P2584" t="n">
        <v>8</v>
      </c>
      <c r="Q2584" t="n">
        <v>1</v>
      </c>
      <c r="R2584" t="n">
        <v>2023.11</v>
      </c>
      <c r="S2584" t="b">
        <v>0</v>
      </c>
      <c r="T2584" t="n">
        <v>3011101</v>
      </c>
      <c r="U2584" t="n">
        <v>11</v>
      </c>
      <c r="V2584" t="n">
        <v>0.0106</v>
      </c>
      <c r="W2584" t="n">
        <v>0.86</v>
      </c>
      <c r="X2584" t="n">
        <v>63.9</v>
      </c>
      <c r="Y2584">
        <f>VLOOKUP(D2584,$AB$2:$AC$7,2,FALSE)</f>
        <v/>
      </c>
      <c r="Z2584">
        <f>IF(A2584&lt;Y2584,"Yes","No")</f>
        <v/>
      </c>
    </row>
    <row r="2585">
      <c r="A2585" t="n">
        <v>2022</v>
      </c>
      <c r="B2585" t="inlineStr">
        <is>
          <t>Q2</t>
        </is>
      </c>
      <c r="C2585" t="inlineStr">
        <is>
          <t>South America</t>
        </is>
      </c>
      <c r="D2585" t="inlineStr">
        <is>
          <t>Model 3</t>
        </is>
      </c>
      <c r="E2585" t="n">
        <v>247</v>
      </c>
      <c r="F2585" t="n">
        <v>40773.9</v>
      </c>
      <c r="G2585" t="n">
        <v>13</v>
      </c>
      <c r="H2585" t="inlineStr">
        <is>
          <t>Long Range</t>
        </is>
      </c>
      <c r="I2585" t="inlineStr">
        <is>
          <t>AWD</t>
        </is>
      </c>
      <c r="J2585" t="inlineStr">
        <is>
          <t>Green</t>
        </is>
      </c>
      <c r="K2585" t="n">
        <v>496</v>
      </c>
      <c r="L2585" t="n">
        <v>50</v>
      </c>
      <c r="M2585" t="n">
        <v>23.6</v>
      </c>
      <c r="N2585" t="n">
        <v>559.37</v>
      </c>
      <c r="O2585" t="n">
        <v>4.57</v>
      </c>
      <c r="P2585" t="n">
        <v>6</v>
      </c>
      <c r="Q2585" t="n">
        <v>0</v>
      </c>
      <c r="R2585" t="n">
        <v>2023.12</v>
      </c>
      <c r="S2585" t="b">
        <v>0</v>
      </c>
      <c r="T2585" t="n">
        <v>756649</v>
      </c>
      <c r="U2585" t="n">
        <v>3</v>
      </c>
      <c r="V2585" t="n">
        <v>0.0984</v>
      </c>
      <c r="W2585" t="n">
        <v>1.71</v>
      </c>
      <c r="X2585" t="n">
        <v>76.16</v>
      </c>
      <c r="Y2585">
        <f>VLOOKUP(D2585,$AB$2:$AC$7,2,FALSE)</f>
        <v/>
      </c>
      <c r="Z2585">
        <f>IF(A2585&lt;Y2585,"Yes","No")</f>
        <v/>
      </c>
    </row>
    <row r="2586">
      <c r="A2586" t="n">
        <v>2015</v>
      </c>
      <c r="B2586" t="inlineStr">
        <is>
          <t>Q4</t>
        </is>
      </c>
      <c r="C2586" t="inlineStr">
        <is>
          <t>South America</t>
        </is>
      </c>
      <c r="D2586" t="inlineStr">
        <is>
          <t>Model Y</t>
        </is>
      </c>
      <c r="E2586" t="n">
        <v>2607</v>
      </c>
      <c r="F2586" t="n">
        <v>87972.63</v>
      </c>
      <c r="G2586" t="n">
        <v>34</v>
      </c>
      <c r="H2586" t="inlineStr">
        <is>
          <t>Standard</t>
        </is>
      </c>
      <c r="I2586" t="inlineStr">
        <is>
          <t>RWD</t>
        </is>
      </c>
      <c r="J2586" t="inlineStr">
        <is>
          <t>Silver</t>
        </is>
      </c>
      <c r="K2586" t="n">
        <v>464</v>
      </c>
      <c r="L2586" t="n">
        <v>35</v>
      </c>
      <c r="M2586" t="n">
        <v>15.86</v>
      </c>
      <c r="N2586" t="n">
        <v>1375.91</v>
      </c>
      <c r="O2586" t="n">
        <v>3.53</v>
      </c>
      <c r="P2586" t="n">
        <v>5</v>
      </c>
      <c r="Q2586" t="n">
        <v>1</v>
      </c>
      <c r="R2586" t="n">
        <v>2024.4</v>
      </c>
      <c r="S2586" t="b">
        <v>1</v>
      </c>
      <c r="T2586" t="n">
        <v>3738232</v>
      </c>
      <c r="U2586" t="n">
        <v>9</v>
      </c>
      <c r="V2586" t="n">
        <v>0.0772</v>
      </c>
      <c r="W2586" t="n">
        <v>2.17</v>
      </c>
      <c r="X2586" t="n">
        <v>65.95999999999999</v>
      </c>
      <c r="Y2586">
        <f>VLOOKUP(D2586,$AB$2:$AC$7,2,FALSE)</f>
        <v/>
      </c>
      <c r="Z2586">
        <f>IF(A2586&lt;Y2586,"Yes","No")</f>
        <v/>
      </c>
    </row>
    <row r="2587">
      <c r="A2587" t="n">
        <v>2023</v>
      </c>
      <c r="B2587" t="inlineStr">
        <is>
          <t>Q4</t>
        </is>
      </c>
      <c r="C2587" t="inlineStr">
        <is>
          <t>North America</t>
        </is>
      </c>
      <c r="D2587" t="inlineStr">
        <is>
          <t>Model X</t>
        </is>
      </c>
      <c r="E2587" t="n">
        <v>561</v>
      </c>
      <c r="F2587" t="n">
        <v>59127.78</v>
      </c>
      <c r="G2587" t="n">
        <v>43</v>
      </c>
      <c r="H2587" t="inlineStr">
        <is>
          <t>Long Range</t>
        </is>
      </c>
      <c r="I2587" t="inlineStr">
        <is>
          <t>AWD</t>
        </is>
      </c>
      <c r="J2587" t="inlineStr">
        <is>
          <t>Silver</t>
        </is>
      </c>
      <c r="K2587" t="n">
        <v>497</v>
      </c>
      <c r="L2587" t="n">
        <v>86</v>
      </c>
      <c r="M2587" t="n">
        <v>17.38</v>
      </c>
      <c r="N2587" t="n">
        <v>1292.71</v>
      </c>
      <c r="O2587" t="n">
        <v>3.63</v>
      </c>
      <c r="P2587" t="n">
        <v>6</v>
      </c>
      <c r="Q2587" t="n">
        <v>0</v>
      </c>
      <c r="R2587" t="n">
        <v>2024.2</v>
      </c>
      <c r="S2587" t="b">
        <v>1</v>
      </c>
      <c r="T2587" t="n">
        <v>198035</v>
      </c>
      <c r="U2587" t="n">
        <v>8</v>
      </c>
      <c r="V2587" t="n">
        <v>0.073</v>
      </c>
      <c r="W2587" t="n">
        <v>1.72</v>
      </c>
      <c r="X2587" t="n">
        <v>68.65000000000001</v>
      </c>
      <c r="Y2587">
        <f>VLOOKUP(D2587,$AB$2:$AC$7,2,FALSE)</f>
        <v/>
      </c>
      <c r="Z2587">
        <f>IF(A2587&lt;Y2587,"Yes","No")</f>
        <v/>
      </c>
    </row>
    <row r="2588">
      <c r="A2588" t="n">
        <v>2014</v>
      </c>
      <c r="B2588" t="inlineStr">
        <is>
          <t>Q2</t>
        </is>
      </c>
      <c r="C2588" t="inlineStr">
        <is>
          <t>Europe</t>
        </is>
      </c>
      <c r="D2588" t="inlineStr">
        <is>
          <t>Model 3</t>
        </is>
      </c>
      <c r="E2588" t="n">
        <v>570</v>
      </c>
      <c r="F2588" t="n">
        <v>98110.45</v>
      </c>
      <c r="G2588" t="n">
        <v>31</v>
      </c>
      <c r="H2588" t="inlineStr">
        <is>
          <t>Performance</t>
        </is>
      </c>
      <c r="I2588" t="inlineStr">
        <is>
          <t>RWD</t>
        </is>
      </c>
      <c r="J2588" t="inlineStr">
        <is>
          <t>Green</t>
        </is>
      </c>
      <c r="K2588" t="n">
        <v>696</v>
      </c>
      <c r="L2588" t="n">
        <v>63</v>
      </c>
      <c r="M2588" t="n">
        <v>24.88</v>
      </c>
      <c r="N2588" t="n">
        <v>524.8</v>
      </c>
      <c r="O2588" t="n">
        <v>4.47</v>
      </c>
      <c r="P2588" t="n">
        <v>4</v>
      </c>
      <c r="Q2588" t="n">
        <v>0</v>
      </c>
      <c r="R2588" t="n">
        <v>2020.11</v>
      </c>
      <c r="S2588" t="b">
        <v>1</v>
      </c>
      <c r="T2588" t="n">
        <v>160230</v>
      </c>
      <c r="U2588" t="n">
        <v>9</v>
      </c>
      <c r="V2588" t="n">
        <v>0.0242</v>
      </c>
      <c r="W2588" t="n">
        <v>0.8</v>
      </c>
      <c r="X2588" t="n">
        <v>83.92</v>
      </c>
      <c r="Y2588">
        <f>VLOOKUP(D2588,$AB$2:$AC$7,2,FALSE)</f>
        <v/>
      </c>
      <c r="Z2588">
        <f>IF(A2588&lt;Y2588,"Yes","No")</f>
        <v/>
      </c>
    </row>
    <row r="2589">
      <c r="A2589" t="n">
        <v>2022</v>
      </c>
      <c r="B2589" t="inlineStr">
        <is>
          <t>Q4</t>
        </is>
      </c>
      <c r="C2589" t="inlineStr">
        <is>
          <t>Asia</t>
        </is>
      </c>
      <c r="D2589" t="inlineStr">
        <is>
          <t>Semi</t>
        </is>
      </c>
      <c r="E2589" t="n">
        <v>3652</v>
      </c>
      <c r="F2589" t="n">
        <v>79100.75999999999</v>
      </c>
      <c r="G2589" t="n">
        <v>51</v>
      </c>
      <c r="H2589" t="inlineStr">
        <is>
          <t>Standard</t>
        </is>
      </c>
      <c r="I2589" t="inlineStr">
        <is>
          <t>AWD</t>
        </is>
      </c>
      <c r="J2589" t="inlineStr">
        <is>
          <t>Silver</t>
        </is>
      </c>
      <c r="K2589" t="n">
        <v>508</v>
      </c>
      <c r="L2589" t="n">
        <v>47</v>
      </c>
      <c r="M2589" t="n">
        <v>14.48</v>
      </c>
      <c r="N2589" t="n">
        <v>5543.4</v>
      </c>
      <c r="O2589" t="n">
        <v>4.3</v>
      </c>
      <c r="P2589" t="n">
        <v>6</v>
      </c>
      <c r="Q2589" t="n">
        <v>2</v>
      </c>
      <c r="R2589" t="n">
        <v>2022.3</v>
      </c>
      <c r="S2589" t="b">
        <v>0</v>
      </c>
      <c r="T2589" t="n">
        <v>2181665</v>
      </c>
      <c r="U2589" t="n">
        <v>9</v>
      </c>
      <c r="V2589" t="n">
        <v>0.0362</v>
      </c>
      <c r="W2589" t="n">
        <v>1.03</v>
      </c>
      <c r="X2589" t="n">
        <v>82.73999999999999</v>
      </c>
      <c r="Y2589">
        <f>VLOOKUP(D2589,$AB$2:$AC$7,2,FALSE)</f>
        <v/>
      </c>
      <c r="Z2589">
        <f>IF(A2589&lt;Y2589,"Yes","No")</f>
        <v/>
      </c>
    </row>
    <row r="2590">
      <c r="A2590" t="n">
        <v>2013</v>
      </c>
      <c r="B2590" t="inlineStr">
        <is>
          <t>Q4</t>
        </is>
      </c>
      <c r="C2590" t="inlineStr">
        <is>
          <t>South America</t>
        </is>
      </c>
      <c r="D2590" t="inlineStr">
        <is>
          <t>Model X</t>
        </is>
      </c>
      <c r="E2590" t="n">
        <v>4546</v>
      </c>
      <c r="F2590" t="n">
        <v>57348.58</v>
      </c>
      <c r="G2590" t="n">
        <v>47</v>
      </c>
      <c r="H2590" t="inlineStr">
        <is>
          <t>Long Range</t>
        </is>
      </c>
      <c r="I2590" t="inlineStr">
        <is>
          <t>AWD</t>
        </is>
      </c>
      <c r="J2590" t="inlineStr">
        <is>
          <t>Black</t>
        </is>
      </c>
      <c r="K2590" t="n">
        <v>460</v>
      </c>
      <c r="L2590" t="n">
        <v>67</v>
      </c>
      <c r="M2590" t="n">
        <v>14.57</v>
      </c>
      <c r="N2590" t="n">
        <v>8367.76</v>
      </c>
      <c r="O2590" t="n">
        <v>3.78</v>
      </c>
      <c r="P2590" t="n">
        <v>4</v>
      </c>
      <c r="Q2590" t="n">
        <v>0</v>
      </c>
      <c r="R2590" t="n">
        <v>2022.8</v>
      </c>
      <c r="S2590" t="b">
        <v>1</v>
      </c>
      <c r="T2590" t="n">
        <v>886161</v>
      </c>
      <c r="U2590" t="n">
        <v>2</v>
      </c>
      <c r="V2590" t="n">
        <v>0.0363</v>
      </c>
      <c r="W2590" t="n">
        <v>0.98</v>
      </c>
      <c r="X2590" t="n">
        <v>77.78</v>
      </c>
      <c r="Y2590">
        <f>VLOOKUP(D2590,$AB$2:$AC$7,2,FALSE)</f>
        <v/>
      </c>
      <c r="Z2590">
        <f>IF(A2590&lt;Y2590,"Yes","No")</f>
        <v/>
      </c>
    </row>
    <row r="2591">
      <c r="A2591" t="n">
        <v>2024</v>
      </c>
      <c r="B2591" t="inlineStr">
        <is>
          <t>Q2</t>
        </is>
      </c>
      <c r="C2591" t="inlineStr">
        <is>
          <t>Europe</t>
        </is>
      </c>
      <c r="D2591" t="inlineStr">
        <is>
          <t>Model X</t>
        </is>
      </c>
      <c r="E2591" t="n">
        <v>793</v>
      </c>
      <c r="F2591" t="n">
        <v>37392.61</v>
      </c>
      <c r="G2591" t="n">
        <v>47</v>
      </c>
      <c r="H2591" t="inlineStr">
        <is>
          <t>Standard</t>
        </is>
      </c>
      <c r="I2591" t="inlineStr">
        <is>
          <t>RWD</t>
        </is>
      </c>
      <c r="J2591" t="inlineStr">
        <is>
          <t>Black</t>
        </is>
      </c>
      <c r="K2591" t="n">
        <v>528</v>
      </c>
      <c r="L2591" t="n">
        <v>32</v>
      </c>
      <c r="M2591" t="n">
        <v>16.86</v>
      </c>
      <c r="N2591" t="n">
        <v>1485.87</v>
      </c>
      <c r="O2591" t="n">
        <v>3.81</v>
      </c>
      <c r="P2591" t="n">
        <v>4</v>
      </c>
      <c r="Q2591" t="n">
        <v>3</v>
      </c>
      <c r="R2591" t="n">
        <v>2021.7</v>
      </c>
      <c r="S2591" t="b">
        <v>0</v>
      </c>
      <c r="T2591" t="n">
        <v>2462343</v>
      </c>
      <c r="U2591" t="n">
        <v>3</v>
      </c>
      <c r="V2591" t="n">
        <v>0.0951</v>
      </c>
      <c r="W2591" t="n">
        <v>1.44</v>
      </c>
      <c r="X2591" t="n">
        <v>83.52</v>
      </c>
      <c r="Y2591">
        <f>VLOOKUP(D2591,$AB$2:$AC$7,2,FALSE)</f>
        <v/>
      </c>
      <c r="Z2591">
        <f>IF(A2591&lt;Y2591,"Yes","No")</f>
        <v/>
      </c>
    </row>
    <row r="2592">
      <c r="A2592" t="n">
        <v>2024</v>
      </c>
      <c r="B2592" t="inlineStr">
        <is>
          <t>Q4</t>
        </is>
      </c>
      <c r="C2592" t="inlineStr">
        <is>
          <t>South America</t>
        </is>
      </c>
      <c r="D2592" t="inlineStr">
        <is>
          <t>Cybertruck</t>
        </is>
      </c>
      <c r="E2592" t="n">
        <v>3449</v>
      </c>
      <c r="F2592" t="n">
        <v>42429.79</v>
      </c>
      <c r="G2592" t="n">
        <v>30</v>
      </c>
      <c r="H2592" t="inlineStr">
        <is>
          <t>Long Range</t>
        </is>
      </c>
      <c r="I2592" t="inlineStr">
        <is>
          <t>RWD</t>
        </is>
      </c>
      <c r="J2592" t="inlineStr">
        <is>
          <t>Green</t>
        </is>
      </c>
      <c r="K2592" t="n">
        <v>445</v>
      </c>
      <c r="L2592" t="n">
        <v>66</v>
      </c>
      <c r="M2592" t="n">
        <v>24.49</v>
      </c>
      <c r="N2592" t="n">
        <v>2589.08</v>
      </c>
      <c r="O2592" t="n">
        <v>4.8</v>
      </c>
      <c r="P2592" t="n">
        <v>6</v>
      </c>
      <c r="Q2592" t="n">
        <v>1</v>
      </c>
      <c r="R2592" t="n">
        <v>2024.8</v>
      </c>
      <c r="S2592" t="b">
        <v>0</v>
      </c>
      <c r="T2592" t="n">
        <v>4680742</v>
      </c>
      <c r="U2592" t="n">
        <v>12</v>
      </c>
      <c r="V2592" t="n">
        <v>0.0179</v>
      </c>
      <c r="W2592" t="n">
        <v>2.4</v>
      </c>
      <c r="X2592" t="n">
        <v>80.66</v>
      </c>
      <c r="Y2592">
        <f>VLOOKUP(D2592,$AB$2:$AC$7,2,FALSE)</f>
        <v/>
      </c>
      <c r="Z2592">
        <f>IF(A2592&lt;Y2592,"Yes","No")</f>
        <v/>
      </c>
    </row>
    <row r="2593">
      <c r="A2593" t="n">
        <v>2016</v>
      </c>
      <c r="B2593" t="inlineStr">
        <is>
          <t>Q1</t>
        </is>
      </c>
      <c r="C2593" t="inlineStr">
        <is>
          <t>North America</t>
        </is>
      </c>
      <c r="D2593" t="inlineStr">
        <is>
          <t>Semi</t>
        </is>
      </c>
      <c r="E2593" t="n">
        <v>288</v>
      </c>
      <c r="F2593" t="n">
        <v>79804.13</v>
      </c>
      <c r="G2593" t="n">
        <v>60</v>
      </c>
      <c r="H2593" t="inlineStr">
        <is>
          <t>Standard</t>
        </is>
      </c>
      <c r="I2593" t="inlineStr">
        <is>
          <t>RWD</t>
        </is>
      </c>
      <c r="J2593" t="inlineStr">
        <is>
          <t>Silver</t>
        </is>
      </c>
      <c r="K2593" t="n">
        <v>675</v>
      </c>
      <c r="L2593" t="n">
        <v>41</v>
      </c>
      <c r="M2593" t="n">
        <v>15.54</v>
      </c>
      <c r="N2593" t="n">
        <v>366.86</v>
      </c>
      <c r="O2593" t="n">
        <v>3.65</v>
      </c>
      <c r="P2593" t="n">
        <v>8</v>
      </c>
      <c r="Q2593" t="n">
        <v>3</v>
      </c>
      <c r="R2593" t="n">
        <v>2024.3</v>
      </c>
      <c r="S2593" t="b">
        <v>0</v>
      </c>
      <c r="T2593" t="n">
        <v>1097136</v>
      </c>
      <c r="U2593" t="n">
        <v>7</v>
      </c>
      <c r="V2593" t="n">
        <v>0.08989999999999999</v>
      </c>
      <c r="W2593" t="n">
        <v>2.28</v>
      </c>
      <c r="X2593" t="n">
        <v>84.93000000000001</v>
      </c>
      <c r="Y2593">
        <f>VLOOKUP(D2593,$AB$2:$AC$7,2,FALSE)</f>
        <v/>
      </c>
      <c r="Z2593">
        <f>IF(A2593&lt;Y2593,"Yes","No")</f>
        <v/>
      </c>
    </row>
    <row r="2594">
      <c r="A2594" t="n">
        <v>2020</v>
      </c>
      <c r="B2594" t="inlineStr">
        <is>
          <t>Q1</t>
        </is>
      </c>
      <c r="C2594" t="inlineStr">
        <is>
          <t>North America</t>
        </is>
      </c>
      <c r="D2594" t="inlineStr">
        <is>
          <t>Model X</t>
        </is>
      </c>
      <c r="E2594" t="n">
        <v>3462</v>
      </c>
      <c r="F2594" t="n">
        <v>115039.32</v>
      </c>
      <c r="G2594" t="n">
        <v>52</v>
      </c>
      <c r="H2594" t="inlineStr">
        <is>
          <t>Long Range</t>
        </is>
      </c>
      <c r="I2594" t="inlineStr">
        <is>
          <t>RWD</t>
        </is>
      </c>
      <c r="J2594" t="inlineStr">
        <is>
          <t>Blue</t>
        </is>
      </c>
      <c r="K2594" t="n">
        <v>638</v>
      </c>
      <c r="L2594" t="n">
        <v>31</v>
      </c>
      <c r="M2594" t="n">
        <v>17.48</v>
      </c>
      <c r="N2594" t="n">
        <v>2029.28</v>
      </c>
      <c r="O2594" t="n">
        <v>3.95</v>
      </c>
      <c r="P2594" t="n">
        <v>6</v>
      </c>
      <c r="Q2594" t="n">
        <v>0</v>
      </c>
      <c r="R2594" t="n">
        <v>2023.12</v>
      </c>
      <c r="S2594" t="b">
        <v>1</v>
      </c>
      <c r="T2594" t="n">
        <v>2274844</v>
      </c>
      <c r="U2594" t="n">
        <v>4</v>
      </c>
      <c r="V2594" t="n">
        <v>0.0827</v>
      </c>
      <c r="W2594" t="n">
        <v>2.02</v>
      </c>
      <c r="X2594" t="n">
        <v>74.38</v>
      </c>
      <c r="Y2594">
        <f>VLOOKUP(D2594,$AB$2:$AC$7,2,FALSE)</f>
        <v/>
      </c>
      <c r="Z2594">
        <f>IF(A2594&lt;Y2594,"Yes","No")</f>
        <v/>
      </c>
    </row>
    <row r="2595">
      <c r="A2595" t="n">
        <v>2012</v>
      </c>
      <c r="B2595" t="inlineStr">
        <is>
          <t>Q4</t>
        </is>
      </c>
      <c r="C2595" t="inlineStr">
        <is>
          <t>South America</t>
        </is>
      </c>
      <c r="D2595" t="inlineStr">
        <is>
          <t>Cybertruck</t>
        </is>
      </c>
      <c r="E2595" t="n">
        <v>3664</v>
      </c>
      <c r="F2595" t="n">
        <v>63174.37</v>
      </c>
      <c r="G2595" t="n">
        <v>8</v>
      </c>
      <c r="H2595" t="inlineStr">
        <is>
          <t>Long Range</t>
        </is>
      </c>
      <c r="I2595" t="inlineStr">
        <is>
          <t>AWD</t>
        </is>
      </c>
      <c r="J2595" t="inlineStr">
        <is>
          <t>Black</t>
        </is>
      </c>
      <c r="K2595" t="n">
        <v>434</v>
      </c>
      <c r="L2595" t="n">
        <v>85</v>
      </c>
      <c r="M2595" t="n">
        <v>21.98</v>
      </c>
      <c r="N2595" t="n">
        <v>8226.84</v>
      </c>
      <c r="O2595" t="n">
        <v>3.94</v>
      </c>
      <c r="P2595" t="n">
        <v>5</v>
      </c>
      <c r="Q2595" t="n">
        <v>1</v>
      </c>
      <c r="R2595" t="n">
        <v>2021.6</v>
      </c>
      <c r="S2595" t="b">
        <v>1</v>
      </c>
      <c r="T2595" t="n">
        <v>1568074</v>
      </c>
      <c r="U2595" t="n">
        <v>12</v>
      </c>
      <c r="V2595" t="n">
        <v>0.093</v>
      </c>
      <c r="W2595" t="n">
        <v>0.62</v>
      </c>
      <c r="X2595" t="n">
        <v>74.41</v>
      </c>
      <c r="Y2595">
        <f>VLOOKUP(D2595,$AB$2:$AC$7,2,FALSE)</f>
        <v/>
      </c>
      <c r="Z2595">
        <f>IF(A2595&lt;Y2595,"Yes","No")</f>
        <v/>
      </c>
    </row>
    <row r="2596">
      <c r="A2596" t="n">
        <v>2019</v>
      </c>
      <c r="B2596" t="inlineStr">
        <is>
          <t>Q1</t>
        </is>
      </c>
      <c r="C2596" t="inlineStr">
        <is>
          <t>North America</t>
        </is>
      </c>
      <c r="D2596" t="inlineStr">
        <is>
          <t>Model 3</t>
        </is>
      </c>
      <c r="E2596" t="n">
        <v>2005</v>
      </c>
      <c r="F2596" t="n">
        <v>105156.6</v>
      </c>
      <c r="G2596" t="n">
        <v>20</v>
      </c>
      <c r="H2596" t="inlineStr">
        <is>
          <t>Performance</t>
        </is>
      </c>
      <c r="I2596" t="inlineStr">
        <is>
          <t>AWD</t>
        </is>
      </c>
      <c r="J2596" t="inlineStr">
        <is>
          <t>Black</t>
        </is>
      </c>
      <c r="K2596" t="n">
        <v>519</v>
      </c>
      <c r="L2596" t="n">
        <v>81</v>
      </c>
      <c r="M2596" t="n">
        <v>23.3</v>
      </c>
      <c r="N2596" t="n">
        <v>1096.67</v>
      </c>
      <c r="O2596" t="n">
        <v>3.76</v>
      </c>
      <c r="P2596" t="n">
        <v>6</v>
      </c>
      <c r="Q2596" t="n">
        <v>0</v>
      </c>
      <c r="R2596" t="n">
        <v>2022.8</v>
      </c>
      <c r="S2596" t="b">
        <v>1</v>
      </c>
      <c r="T2596" t="n">
        <v>4361944</v>
      </c>
      <c r="U2596" t="n">
        <v>10</v>
      </c>
      <c r="V2596" t="n">
        <v>0.0282</v>
      </c>
      <c r="W2596" t="n">
        <v>1.52</v>
      </c>
      <c r="X2596" t="n">
        <v>71.79000000000001</v>
      </c>
      <c r="Y2596">
        <f>VLOOKUP(D2596,$AB$2:$AC$7,2,FALSE)</f>
        <v/>
      </c>
      <c r="Z2596">
        <f>IF(A2596&lt;Y2596,"Yes","No")</f>
        <v/>
      </c>
    </row>
    <row r="2597">
      <c r="A2597" t="n">
        <v>2012</v>
      </c>
      <c r="B2597" t="inlineStr">
        <is>
          <t>Q3</t>
        </is>
      </c>
      <c r="C2597" t="inlineStr">
        <is>
          <t>North America</t>
        </is>
      </c>
      <c r="D2597" t="inlineStr">
        <is>
          <t>Model Y</t>
        </is>
      </c>
      <c r="E2597" t="n">
        <v>868</v>
      </c>
      <c r="F2597" t="n">
        <v>61486.38</v>
      </c>
      <c r="G2597" t="n">
        <v>21</v>
      </c>
      <c r="H2597" t="inlineStr">
        <is>
          <t>Long Range</t>
        </is>
      </c>
      <c r="I2597" t="inlineStr">
        <is>
          <t>AWD</t>
        </is>
      </c>
      <c r="J2597" t="inlineStr">
        <is>
          <t>Green</t>
        </is>
      </c>
      <c r="K2597" t="n">
        <v>505</v>
      </c>
      <c r="L2597" t="n">
        <v>67</v>
      </c>
      <c r="M2597" t="n">
        <v>23.92</v>
      </c>
      <c r="N2597" t="n">
        <v>1675.55</v>
      </c>
      <c r="O2597" t="n">
        <v>4.47</v>
      </c>
      <c r="P2597" t="n">
        <v>5</v>
      </c>
      <c r="Q2597" t="n">
        <v>2</v>
      </c>
      <c r="R2597" t="n">
        <v>2022.11</v>
      </c>
      <c r="S2597" t="b">
        <v>0</v>
      </c>
      <c r="T2597" t="n">
        <v>3896772</v>
      </c>
      <c r="U2597" t="n">
        <v>6</v>
      </c>
      <c r="V2597" t="n">
        <v>0.06859999999999999</v>
      </c>
      <c r="W2597" t="n">
        <v>1.75</v>
      </c>
      <c r="X2597" t="n">
        <v>81.7</v>
      </c>
      <c r="Y2597">
        <f>VLOOKUP(D2597,$AB$2:$AC$7,2,FALSE)</f>
        <v/>
      </c>
      <c r="Z2597">
        <f>IF(A2597&lt;Y2597,"Yes","No")</f>
        <v/>
      </c>
    </row>
    <row r="2598">
      <c r="A2598" t="n">
        <v>2015</v>
      </c>
      <c r="B2598" t="inlineStr">
        <is>
          <t>Q2</t>
        </is>
      </c>
      <c r="C2598" t="inlineStr">
        <is>
          <t>North America</t>
        </is>
      </c>
      <c r="D2598" t="inlineStr">
        <is>
          <t>Model X</t>
        </is>
      </c>
      <c r="E2598" t="n">
        <v>181</v>
      </c>
      <c r="F2598" t="n">
        <v>53444.15</v>
      </c>
      <c r="G2598" t="n">
        <v>56</v>
      </c>
      <c r="H2598" t="inlineStr">
        <is>
          <t>Standard</t>
        </is>
      </c>
      <c r="I2598" t="inlineStr">
        <is>
          <t>RWD</t>
        </is>
      </c>
      <c r="J2598" t="inlineStr">
        <is>
          <t>Silver</t>
        </is>
      </c>
      <c r="K2598" t="n">
        <v>391</v>
      </c>
      <c r="L2598" t="n">
        <v>62</v>
      </c>
      <c r="M2598" t="n">
        <v>14.42</v>
      </c>
      <c r="N2598" t="n">
        <v>330.38</v>
      </c>
      <c r="O2598" t="n">
        <v>4.98</v>
      </c>
      <c r="P2598" t="n">
        <v>5</v>
      </c>
      <c r="Q2598" t="n">
        <v>2</v>
      </c>
      <c r="R2598" t="n">
        <v>2020.7</v>
      </c>
      <c r="S2598" t="b">
        <v>1</v>
      </c>
      <c r="T2598" t="n">
        <v>1375062</v>
      </c>
      <c r="U2598" t="n">
        <v>7</v>
      </c>
      <c r="V2598" t="n">
        <v>0.0956</v>
      </c>
      <c r="W2598" t="n">
        <v>1.57</v>
      </c>
      <c r="X2598" t="n">
        <v>61</v>
      </c>
      <c r="Y2598">
        <f>VLOOKUP(D2598,$AB$2:$AC$7,2,FALSE)</f>
        <v/>
      </c>
      <c r="Z2598">
        <f>IF(A2598&lt;Y2598,"Yes","No")</f>
        <v/>
      </c>
    </row>
    <row r="2599">
      <c r="A2599" t="n">
        <v>2023</v>
      </c>
      <c r="B2599" t="inlineStr">
        <is>
          <t>Q3</t>
        </is>
      </c>
      <c r="C2599" t="inlineStr">
        <is>
          <t>South America</t>
        </is>
      </c>
      <c r="D2599" t="inlineStr">
        <is>
          <t>Model S</t>
        </is>
      </c>
      <c r="E2599" t="n">
        <v>4714</v>
      </c>
      <c r="F2599" t="n">
        <v>90651.25999999999</v>
      </c>
      <c r="G2599" t="n">
        <v>49</v>
      </c>
      <c r="H2599" t="inlineStr">
        <is>
          <t>Long Range</t>
        </is>
      </c>
      <c r="I2599" t="inlineStr">
        <is>
          <t>AWD</t>
        </is>
      </c>
      <c r="J2599" t="inlineStr">
        <is>
          <t>Blue</t>
        </is>
      </c>
      <c r="K2599" t="n">
        <v>450</v>
      </c>
      <c r="L2599" t="n">
        <v>45</v>
      </c>
      <c r="M2599" t="n">
        <v>15.56</v>
      </c>
      <c r="N2599" t="n">
        <v>4017.91</v>
      </c>
      <c r="O2599" t="n">
        <v>4.98</v>
      </c>
      <c r="P2599" t="n">
        <v>5</v>
      </c>
      <c r="Q2599" t="n">
        <v>3</v>
      </c>
      <c r="R2599" t="n">
        <v>2022.6</v>
      </c>
      <c r="S2599" t="b">
        <v>0</v>
      </c>
      <c r="T2599" t="n">
        <v>4725589</v>
      </c>
      <c r="U2599" t="n">
        <v>7</v>
      </c>
      <c r="V2599" t="n">
        <v>0.0881</v>
      </c>
      <c r="W2599" t="n">
        <v>0.62</v>
      </c>
      <c r="X2599" t="n">
        <v>64.69</v>
      </c>
      <c r="Y2599">
        <f>VLOOKUP(D2599,$AB$2:$AC$7,2,FALSE)</f>
        <v/>
      </c>
      <c r="Z2599">
        <f>IF(A2599&lt;Y2599,"Yes","No")</f>
        <v/>
      </c>
    </row>
    <row r="2600">
      <c r="A2600" t="n">
        <v>2014</v>
      </c>
      <c r="B2600" t="inlineStr">
        <is>
          <t>Q1</t>
        </is>
      </c>
      <c r="C2600" t="inlineStr">
        <is>
          <t>South America</t>
        </is>
      </c>
      <c r="D2600" t="inlineStr">
        <is>
          <t>Model S</t>
        </is>
      </c>
      <c r="E2600" t="n">
        <v>3115</v>
      </c>
      <c r="F2600" t="n">
        <v>51149.39</v>
      </c>
      <c r="G2600" t="n">
        <v>45</v>
      </c>
      <c r="H2600" t="inlineStr">
        <is>
          <t>Long Range</t>
        </is>
      </c>
      <c r="I2600" t="inlineStr">
        <is>
          <t>RWD</t>
        </is>
      </c>
      <c r="J2600" t="inlineStr">
        <is>
          <t>Green</t>
        </is>
      </c>
      <c r="K2600" t="n">
        <v>695</v>
      </c>
      <c r="L2600" t="n">
        <v>66</v>
      </c>
      <c r="M2600" t="n">
        <v>23.51</v>
      </c>
      <c r="N2600" t="n">
        <v>2510.56</v>
      </c>
      <c r="O2600" t="n">
        <v>4.39</v>
      </c>
      <c r="P2600" t="n">
        <v>4</v>
      </c>
      <c r="Q2600" t="n">
        <v>1</v>
      </c>
      <c r="R2600" t="n">
        <v>2021.12</v>
      </c>
      <c r="S2600" t="b">
        <v>0</v>
      </c>
      <c r="T2600" t="n">
        <v>3423598</v>
      </c>
      <c r="U2600" t="n">
        <v>7</v>
      </c>
      <c r="V2600" t="n">
        <v>0.0168</v>
      </c>
      <c r="W2600" t="n">
        <v>0.88</v>
      </c>
      <c r="X2600" t="n">
        <v>71.09</v>
      </c>
      <c r="Y2600">
        <f>VLOOKUP(D2600,$AB$2:$AC$7,2,FALSE)</f>
        <v/>
      </c>
      <c r="Z2600">
        <f>IF(A2600&lt;Y2600,"Yes","No")</f>
        <v/>
      </c>
    </row>
    <row r="2601">
      <c r="A2601" t="n">
        <v>2021</v>
      </c>
      <c r="B2601" t="inlineStr">
        <is>
          <t>Q1</t>
        </is>
      </c>
      <c r="C2601" t="inlineStr">
        <is>
          <t>Asia</t>
        </is>
      </c>
      <c r="D2601" t="inlineStr">
        <is>
          <t>Model Y</t>
        </is>
      </c>
      <c r="E2601" t="n">
        <v>978</v>
      </c>
      <c r="F2601" t="n">
        <v>88501.12</v>
      </c>
      <c r="G2601" t="n">
        <v>2</v>
      </c>
      <c r="H2601" t="inlineStr">
        <is>
          <t>Standard</t>
        </is>
      </c>
      <c r="I2601" t="inlineStr">
        <is>
          <t>RWD</t>
        </is>
      </c>
      <c r="J2601" t="inlineStr">
        <is>
          <t>Red</t>
        </is>
      </c>
      <c r="K2601" t="n">
        <v>582</v>
      </c>
      <c r="L2601" t="n">
        <v>67</v>
      </c>
      <c r="M2601" t="n">
        <v>23.85</v>
      </c>
      <c r="N2601" t="n">
        <v>2306.16</v>
      </c>
      <c r="O2601" t="n">
        <v>3.91</v>
      </c>
      <c r="P2601" t="n">
        <v>4</v>
      </c>
      <c r="Q2601" t="n">
        <v>3</v>
      </c>
      <c r="R2601" t="n">
        <v>2023.2</v>
      </c>
      <c r="S2601" t="b">
        <v>0</v>
      </c>
      <c r="T2601" t="n">
        <v>602542</v>
      </c>
      <c r="U2601" t="n">
        <v>3</v>
      </c>
      <c r="V2601" t="n">
        <v>0.0762</v>
      </c>
      <c r="W2601" t="n">
        <v>1.62</v>
      </c>
      <c r="X2601" t="n">
        <v>84.13</v>
      </c>
      <c r="Y2601">
        <f>VLOOKUP(D2601,$AB$2:$AC$7,2,FALSE)</f>
        <v/>
      </c>
      <c r="Z2601">
        <f>IF(A2601&lt;Y2601,"Yes","No")</f>
        <v/>
      </c>
    </row>
    <row r="2602">
      <c r="A2602" t="n">
        <v>2015</v>
      </c>
      <c r="B2602" t="inlineStr">
        <is>
          <t>Q1</t>
        </is>
      </c>
      <c r="C2602" t="inlineStr">
        <is>
          <t>Australia</t>
        </is>
      </c>
      <c r="D2602" t="inlineStr">
        <is>
          <t>Model 3</t>
        </is>
      </c>
      <c r="E2602" t="n">
        <v>2581</v>
      </c>
      <c r="F2602" t="n">
        <v>105751.07</v>
      </c>
      <c r="G2602" t="n">
        <v>46</v>
      </c>
      <c r="H2602" t="inlineStr">
        <is>
          <t>Performance</t>
        </is>
      </c>
      <c r="I2602" t="inlineStr">
        <is>
          <t>RWD</t>
        </is>
      </c>
      <c r="J2602" t="inlineStr">
        <is>
          <t>Black</t>
        </is>
      </c>
      <c r="K2602" t="n">
        <v>439</v>
      </c>
      <c r="L2602" t="n">
        <v>36</v>
      </c>
      <c r="M2602" t="n">
        <v>17.42</v>
      </c>
      <c r="N2602" t="n">
        <v>2434.15</v>
      </c>
      <c r="O2602" t="n">
        <v>4.64</v>
      </c>
      <c r="P2602" t="n">
        <v>8</v>
      </c>
      <c r="Q2602" t="n">
        <v>2</v>
      </c>
      <c r="R2602" t="n">
        <v>2021.2</v>
      </c>
      <c r="S2602" t="b">
        <v>0</v>
      </c>
      <c r="T2602" t="n">
        <v>2845979</v>
      </c>
      <c r="U2602" t="n">
        <v>4</v>
      </c>
      <c r="V2602" t="n">
        <v>0.0835</v>
      </c>
      <c r="W2602" t="n">
        <v>2.37</v>
      </c>
      <c r="X2602" t="n">
        <v>76.39</v>
      </c>
      <c r="Y2602">
        <f>VLOOKUP(D2602,$AB$2:$AC$7,2,FALSE)</f>
        <v/>
      </c>
      <c r="Z2602">
        <f>IF(A2602&lt;Y2602,"Yes","No")</f>
        <v/>
      </c>
    </row>
    <row r="2603">
      <c r="A2603" t="n">
        <v>2013</v>
      </c>
      <c r="B2603" t="inlineStr">
        <is>
          <t>Q2</t>
        </is>
      </c>
      <c r="C2603" t="inlineStr">
        <is>
          <t>Europe</t>
        </is>
      </c>
      <c r="D2603" t="inlineStr">
        <is>
          <t>Model X</t>
        </is>
      </c>
      <c r="E2603" t="n">
        <v>238</v>
      </c>
      <c r="F2603" t="n">
        <v>111298.39</v>
      </c>
      <c r="G2603" t="n">
        <v>41</v>
      </c>
      <c r="H2603" t="inlineStr">
        <is>
          <t>Performance</t>
        </is>
      </c>
      <c r="I2603" t="inlineStr">
        <is>
          <t>AWD</t>
        </is>
      </c>
      <c r="J2603" t="inlineStr">
        <is>
          <t>Red</t>
        </is>
      </c>
      <c r="K2603" t="n">
        <v>418</v>
      </c>
      <c r="L2603" t="n">
        <v>50</v>
      </c>
      <c r="M2603" t="n">
        <v>19.89</v>
      </c>
      <c r="N2603" t="n">
        <v>354.15</v>
      </c>
      <c r="O2603" t="n">
        <v>4.56</v>
      </c>
      <c r="P2603" t="n">
        <v>4</v>
      </c>
      <c r="Q2603" t="n">
        <v>1</v>
      </c>
      <c r="R2603" t="n">
        <v>2022.1</v>
      </c>
      <c r="S2603" t="b">
        <v>1</v>
      </c>
      <c r="T2603" t="n">
        <v>1652242</v>
      </c>
      <c r="U2603" t="n">
        <v>4</v>
      </c>
      <c r="V2603" t="n">
        <v>0.0605</v>
      </c>
      <c r="W2603" t="n">
        <v>2.41</v>
      </c>
      <c r="X2603" t="n">
        <v>68.02</v>
      </c>
      <c r="Y2603">
        <f>VLOOKUP(D2603,$AB$2:$AC$7,2,FALSE)</f>
        <v/>
      </c>
      <c r="Z2603">
        <f>IF(A2603&lt;Y2603,"Yes","No")</f>
        <v/>
      </c>
    </row>
    <row r="2604">
      <c r="A2604" t="n">
        <v>2022</v>
      </c>
      <c r="B2604" t="inlineStr">
        <is>
          <t>Q4</t>
        </is>
      </c>
      <c r="C2604" t="inlineStr">
        <is>
          <t>Asia</t>
        </is>
      </c>
      <c r="D2604" t="inlineStr">
        <is>
          <t>Semi</t>
        </is>
      </c>
      <c r="E2604" t="n">
        <v>4049</v>
      </c>
      <c r="F2604" t="n">
        <v>118528.87</v>
      </c>
      <c r="G2604" t="n">
        <v>33</v>
      </c>
      <c r="H2604" t="inlineStr">
        <is>
          <t>Performance</t>
        </is>
      </c>
      <c r="I2604" t="inlineStr">
        <is>
          <t>RWD</t>
        </is>
      </c>
      <c r="J2604" t="inlineStr">
        <is>
          <t>Black</t>
        </is>
      </c>
      <c r="K2604" t="n">
        <v>467</v>
      </c>
      <c r="L2604" t="n">
        <v>52</v>
      </c>
      <c r="M2604" t="n">
        <v>13.97</v>
      </c>
      <c r="N2604" t="n">
        <v>6569.3</v>
      </c>
      <c r="O2604" t="n">
        <v>4.51</v>
      </c>
      <c r="P2604" t="n">
        <v>5</v>
      </c>
      <c r="Q2604" t="n">
        <v>3</v>
      </c>
      <c r="R2604" t="n">
        <v>2022.3</v>
      </c>
      <c r="S2604" t="b">
        <v>1</v>
      </c>
      <c r="T2604" t="n">
        <v>2629812</v>
      </c>
      <c r="U2604" t="n">
        <v>11</v>
      </c>
      <c r="V2604" t="n">
        <v>0.0226</v>
      </c>
      <c r="W2604" t="n">
        <v>1.56</v>
      </c>
      <c r="X2604" t="n">
        <v>75.31999999999999</v>
      </c>
      <c r="Y2604">
        <f>VLOOKUP(D2604,$AB$2:$AC$7,2,FALSE)</f>
        <v/>
      </c>
      <c r="Z2604">
        <f>IF(A2604&lt;Y2604,"Yes","No")</f>
        <v/>
      </c>
    </row>
    <row r="2605">
      <c r="A2605" t="n">
        <v>2013</v>
      </c>
      <c r="B2605" t="inlineStr">
        <is>
          <t>Q4</t>
        </is>
      </c>
      <c r="C2605" t="inlineStr">
        <is>
          <t>Europe</t>
        </is>
      </c>
      <c r="D2605" t="inlineStr">
        <is>
          <t>Semi</t>
        </is>
      </c>
      <c r="E2605" t="n">
        <v>2330</v>
      </c>
      <c r="F2605" t="n">
        <v>109402.86</v>
      </c>
      <c r="G2605" t="n">
        <v>31</v>
      </c>
      <c r="H2605" t="inlineStr">
        <is>
          <t>Long Range</t>
        </is>
      </c>
      <c r="I2605" t="inlineStr">
        <is>
          <t>AWD</t>
        </is>
      </c>
      <c r="J2605" t="inlineStr">
        <is>
          <t>Blue</t>
        </is>
      </c>
      <c r="K2605" t="n">
        <v>679</v>
      </c>
      <c r="L2605" t="n">
        <v>69</v>
      </c>
      <c r="M2605" t="n">
        <v>17.99</v>
      </c>
      <c r="N2605" t="n">
        <v>4830.8</v>
      </c>
      <c r="O2605" t="n">
        <v>4.72</v>
      </c>
      <c r="P2605" t="n">
        <v>5</v>
      </c>
      <c r="Q2605" t="n">
        <v>1</v>
      </c>
      <c r="R2605" t="n">
        <v>2020.6</v>
      </c>
      <c r="S2605" t="b">
        <v>0</v>
      </c>
      <c r="T2605" t="n">
        <v>775431</v>
      </c>
      <c r="U2605" t="n">
        <v>7</v>
      </c>
      <c r="V2605" t="n">
        <v>0.0767</v>
      </c>
      <c r="W2605" t="n">
        <v>1.43</v>
      </c>
      <c r="X2605" t="n">
        <v>83.70999999999999</v>
      </c>
      <c r="Y2605">
        <f>VLOOKUP(D2605,$AB$2:$AC$7,2,FALSE)</f>
        <v/>
      </c>
      <c r="Z2605">
        <f>IF(A2605&lt;Y2605,"Yes","No")</f>
        <v/>
      </c>
    </row>
    <row r="2606">
      <c r="A2606" t="n">
        <v>2017</v>
      </c>
      <c r="B2606" t="inlineStr">
        <is>
          <t>Q2</t>
        </is>
      </c>
      <c r="C2606" t="inlineStr">
        <is>
          <t>Europe</t>
        </is>
      </c>
      <c r="D2606" t="inlineStr">
        <is>
          <t>Model S</t>
        </is>
      </c>
      <c r="E2606" t="n">
        <v>2421</v>
      </c>
      <c r="F2606" t="n">
        <v>53625.03</v>
      </c>
      <c r="G2606" t="n">
        <v>39</v>
      </c>
      <c r="H2606" t="inlineStr">
        <is>
          <t>Long Range</t>
        </is>
      </c>
      <c r="I2606" t="inlineStr">
        <is>
          <t>AWD</t>
        </is>
      </c>
      <c r="J2606" t="inlineStr">
        <is>
          <t>White</t>
        </is>
      </c>
      <c r="K2606" t="n">
        <v>640</v>
      </c>
      <c r="L2606" t="n">
        <v>65</v>
      </c>
      <c r="M2606" t="n">
        <v>24.01</v>
      </c>
      <c r="N2606" t="n">
        <v>5228.13</v>
      </c>
      <c r="O2606" t="n">
        <v>4.54</v>
      </c>
      <c r="P2606" t="n">
        <v>8</v>
      </c>
      <c r="Q2606" t="n">
        <v>2</v>
      </c>
      <c r="R2606" t="n">
        <v>2022.4</v>
      </c>
      <c r="S2606" t="b">
        <v>1</v>
      </c>
      <c r="T2606" t="n">
        <v>4231199</v>
      </c>
      <c r="U2606" t="n">
        <v>5</v>
      </c>
      <c r="V2606" t="n">
        <v>0.02</v>
      </c>
      <c r="W2606" t="n">
        <v>1.03</v>
      </c>
      <c r="X2606" t="n">
        <v>87.76000000000001</v>
      </c>
      <c r="Y2606">
        <f>VLOOKUP(D2606,$AB$2:$AC$7,2,FALSE)</f>
        <v/>
      </c>
      <c r="Z2606">
        <f>IF(A2606&lt;Y2606,"Yes","No")</f>
        <v/>
      </c>
    </row>
    <row r="2607">
      <c r="A2607" t="n">
        <v>2014</v>
      </c>
      <c r="B2607" t="inlineStr">
        <is>
          <t>Q1</t>
        </is>
      </c>
      <c r="C2607" t="inlineStr">
        <is>
          <t>Europe</t>
        </is>
      </c>
      <c r="D2607" t="inlineStr">
        <is>
          <t>Model S</t>
        </is>
      </c>
      <c r="E2607" t="n">
        <v>464</v>
      </c>
      <c r="F2607" t="n">
        <v>81321.91</v>
      </c>
      <c r="G2607" t="n">
        <v>50</v>
      </c>
      <c r="H2607" t="inlineStr">
        <is>
          <t>Performance</t>
        </is>
      </c>
      <c r="I2607" t="inlineStr">
        <is>
          <t>AWD</t>
        </is>
      </c>
      <c r="J2607" t="inlineStr">
        <is>
          <t>Black</t>
        </is>
      </c>
      <c r="K2607" t="n">
        <v>660</v>
      </c>
      <c r="L2607" t="n">
        <v>35</v>
      </c>
      <c r="M2607" t="n">
        <v>13.84</v>
      </c>
      <c r="N2607" t="n">
        <v>828.6</v>
      </c>
      <c r="O2607" t="n">
        <v>3.52</v>
      </c>
      <c r="P2607" t="n">
        <v>6</v>
      </c>
      <c r="Q2607" t="n">
        <v>2</v>
      </c>
      <c r="R2607" t="n">
        <v>2024.8</v>
      </c>
      <c r="S2607" t="b">
        <v>0</v>
      </c>
      <c r="T2607" t="n">
        <v>1511109</v>
      </c>
      <c r="U2607" t="n">
        <v>3</v>
      </c>
      <c r="V2607" t="n">
        <v>0.0867</v>
      </c>
      <c r="W2607" t="n">
        <v>2.31</v>
      </c>
      <c r="X2607" t="n">
        <v>67.56999999999999</v>
      </c>
      <c r="Y2607">
        <f>VLOOKUP(D2607,$AB$2:$AC$7,2,FALSE)</f>
        <v/>
      </c>
      <c r="Z2607">
        <f>IF(A2607&lt;Y2607,"Yes","No")</f>
        <v/>
      </c>
    </row>
    <row r="2608">
      <c r="A2608" t="n">
        <v>2016</v>
      </c>
      <c r="B2608" t="inlineStr">
        <is>
          <t>Q3</t>
        </is>
      </c>
      <c r="C2608" t="inlineStr">
        <is>
          <t>Europe</t>
        </is>
      </c>
      <c r="D2608" t="inlineStr">
        <is>
          <t>Model S</t>
        </is>
      </c>
      <c r="E2608" t="n">
        <v>2782</v>
      </c>
      <c r="F2608" t="n">
        <v>53128.37</v>
      </c>
      <c r="G2608" t="n">
        <v>59</v>
      </c>
      <c r="H2608" t="inlineStr">
        <is>
          <t>Long Range</t>
        </is>
      </c>
      <c r="I2608" t="inlineStr">
        <is>
          <t>RWD</t>
        </is>
      </c>
      <c r="J2608" t="inlineStr">
        <is>
          <t>White</t>
        </is>
      </c>
      <c r="K2608" t="n">
        <v>531</v>
      </c>
      <c r="L2608" t="n">
        <v>31</v>
      </c>
      <c r="M2608" t="n">
        <v>22.51</v>
      </c>
      <c r="N2608" t="n">
        <v>2213.48</v>
      </c>
      <c r="O2608" t="n">
        <v>3.84</v>
      </c>
      <c r="P2608" t="n">
        <v>5</v>
      </c>
      <c r="Q2608" t="n">
        <v>0</v>
      </c>
      <c r="R2608" t="n">
        <v>2023.2</v>
      </c>
      <c r="S2608" t="b">
        <v>1</v>
      </c>
      <c r="T2608" t="n">
        <v>3935037</v>
      </c>
      <c r="U2608" t="n">
        <v>12</v>
      </c>
      <c r="V2608" t="n">
        <v>0.0177</v>
      </c>
      <c r="W2608" t="n">
        <v>2.27</v>
      </c>
      <c r="X2608" t="n">
        <v>80.52</v>
      </c>
      <c r="Y2608">
        <f>VLOOKUP(D2608,$AB$2:$AC$7,2,FALSE)</f>
        <v/>
      </c>
      <c r="Z2608">
        <f>IF(A2608&lt;Y2608,"Yes","No")</f>
        <v/>
      </c>
    </row>
    <row r="2609">
      <c r="A2609" t="n">
        <v>2020</v>
      </c>
      <c r="B2609" t="inlineStr">
        <is>
          <t>Q1</t>
        </is>
      </c>
      <c r="C2609" t="inlineStr">
        <is>
          <t>Australia</t>
        </is>
      </c>
      <c r="D2609" t="inlineStr">
        <is>
          <t>Model 3</t>
        </is>
      </c>
      <c r="E2609" t="n">
        <v>1225</v>
      </c>
      <c r="F2609" t="n">
        <v>112308.63</v>
      </c>
      <c r="G2609" t="n">
        <v>7</v>
      </c>
      <c r="H2609" t="inlineStr">
        <is>
          <t>Long Range</t>
        </is>
      </c>
      <c r="I2609" t="inlineStr">
        <is>
          <t>RWD</t>
        </is>
      </c>
      <c r="J2609" t="inlineStr">
        <is>
          <t>Black</t>
        </is>
      </c>
      <c r="K2609" t="n">
        <v>528</v>
      </c>
      <c r="L2609" t="n">
        <v>51</v>
      </c>
      <c r="M2609" t="n">
        <v>16.53</v>
      </c>
      <c r="N2609" t="n">
        <v>1920.89</v>
      </c>
      <c r="O2609" t="n">
        <v>4.15</v>
      </c>
      <c r="P2609" t="n">
        <v>8</v>
      </c>
      <c r="Q2609" t="n">
        <v>1</v>
      </c>
      <c r="R2609" t="n">
        <v>2024.8</v>
      </c>
      <c r="S2609" t="b">
        <v>1</v>
      </c>
      <c r="T2609" t="n">
        <v>541013</v>
      </c>
      <c r="U2609" t="n">
        <v>5</v>
      </c>
      <c r="V2609" t="n">
        <v>0.09619999999999999</v>
      </c>
      <c r="W2609" t="n">
        <v>0.83</v>
      </c>
      <c r="X2609" t="n">
        <v>75.76000000000001</v>
      </c>
      <c r="Y2609">
        <f>VLOOKUP(D2609,$AB$2:$AC$7,2,FALSE)</f>
        <v/>
      </c>
      <c r="Z2609">
        <f>IF(A2609&lt;Y2609,"Yes","No")</f>
        <v/>
      </c>
    </row>
    <row r="2610">
      <c r="A2610" t="n">
        <v>2024</v>
      </c>
      <c r="B2610" t="inlineStr">
        <is>
          <t>Q2</t>
        </is>
      </c>
      <c r="C2610" t="inlineStr">
        <is>
          <t>Europe</t>
        </is>
      </c>
      <c r="D2610" t="inlineStr">
        <is>
          <t>Model Y</t>
        </is>
      </c>
      <c r="E2610" t="n">
        <v>546</v>
      </c>
      <c r="F2610" t="n">
        <v>61535.85</v>
      </c>
      <c r="G2610" t="n">
        <v>16</v>
      </c>
      <c r="H2610" t="inlineStr">
        <is>
          <t>Standard</t>
        </is>
      </c>
      <c r="I2610" t="inlineStr">
        <is>
          <t>AWD</t>
        </is>
      </c>
      <c r="J2610" t="inlineStr">
        <is>
          <t>Blue</t>
        </is>
      </c>
      <c r="K2610" t="n">
        <v>499</v>
      </c>
      <c r="L2610" t="n">
        <v>31</v>
      </c>
      <c r="M2610" t="n">
        <v>14.92</v>
      </c>
      <c r="N2610" t="n">
        <v>658</v>
      </c>
      <c r="O2610" t="n">
        <v>4.32</v>
      </c>
      <c r="P2610" t="n">
        <v>5</v>
      </c>
      <c r="Q2610" t="n">
        <v>2</v>
      </c>
      <c r="R2610" t="n">
        <v>2022.9</v>
      </c>
      <c r="S2610" t="b">
        <v>1</v>
      </c>
      <c r="T2610" t="n">
        <v>1488293</v>
      </c>
      <c r="U2610" t="n">
        <v>5</v>
      </c>
      <c r="V2610" t="n">
        <v>0.07489999999999999</v>
      </c>
      <c r="W2610" t="n">
        <v>1</v>
      </c>
      <c r="X2610" t="n">
        <v>60.87</v>
      </c>
      <c r="Y2610">
        <f>VLOOKUP(D2610,$AB$2:$AC$7,2,FALSE)</f>
        <v/>
      </c>
      <c r="Z2610">
        <f>IF(A2610&lt;Y2610,"Yes","No")</f>
        <v/>
      </c>
    </row>
    <row r="2611">
      <c r="A2611" t="n">
        <v>2013</v>
      </c>
      <c r="B2611" t="inlineStr">
        <is>
          <t>Q3</t>
        </is>
      </c>
      <c r="C2611" t="inlineStr">
        <is>
          <t>Asia</t>
        </is>
      </c>
      <c r="D2611" t="inlineStr">
        <is>
          <t>Semi</t>
        </is>
      </c>
      <c r="E2611" t="n">
        <v>4443</v>
      </c>
      <c r="F2611" t="n">
        <v>97030.36</v>
      </c>
      <c r="G2611" t="n">
        <v>52</v>
      </c>
      <c r="H2611" t="inlineStr">
        <is>
          <t>Long Range</t>
        </is>
      </c>
      <c r="I2611" t="inlineStr">
        <is>
          <t>AWD</t>
        </is>
      </c>
      <c r="J2611" t="inlineStr">
        <is>
          <t>White</t>
        </is>
      </c>
      <c r="K2611" t="n">
        <v>470</v>
      </c>
      <c r="L2611" t="n">
        <v>72</v>
      </c>
      <c r="M2611" t="n">
        <v>19.19</v>
      </c>
      <c r="N2611" t="n">
        <v>8534.030000000001</v>
      </c>
      <c r="O2611" t="n">
        <v>4.21</v>
      </c>
      <c r="P2611" t="n">
        <v>8</v>
      </c>
      <c r="Q2611" t="n">
        <v>2</v>
      </c>
      <c r="R2611" t="n">
        <v>2024.1</v>
      </c>
      <c r="S2611" t="b">
        <v>0</v>
      </c>
      <c r="T2611" t="n">
        <v>2449442</v>
      </c>
      <c r="U2611" t="n">
        <v>9</v>
      </c>
      <c r="V2611" t="n">
        <v>0.0993</v>
      </c>
      <c r="W2611" t="n">
        <v>1.57</v>
      </c>
      <c r="X2611" t="n">
        <v>88.34</v>
      </c>
      <c r="Y2611">
        <f>VLOOKUP(D2611,$AB$2:$AC$7,2,FALSE)</f>
        <v/>
      </c>
      <c r="Z2611">
        <f>IF(A2611&lt;Y2611,"Yes","No")</f>
        <v/>
      </c>
    </row>
    <row r="2612">
      <c r="A2612" t="n">
        <v>2022</v>
      </c>
      <c r="B2612" t="inlineStr">
        <is>
          <t>Q1</t>
        </is>
      </c>
      <c r="C2612" t="inlineStr">
        <is>
          <t>Europe</t>
        </is>
      </c>
      <c r="D2612" t="inlineStr">
        <is>
          <t>Model 3</t>
        </is>
      </c>
      <c r="E2612" t="n">
        <v>2476</v>
      </c>
      <c r="F2612" t="n">
        <v>99569.12</v>
      </c>
      <c r="G2612" t="n">
        <v>26</v>
      </c>
      <c r="H2612" t="inlineStr">
        <is>
          <t>Standard</t>
        </is>
      </c>
      <c r="I2612" t="inlineStr">
        <is>
          <t>AWD</t>
        </is>
      </c>
      <c r="J2612" t="inlineStr">
        <is>
          <t>Green</t>
        </is>
      </c>
      <c r="K2612" t="n">
        <v>495</v>
      </c>
      <c r="L2612" t="n">
        <v>56</v>
      </c>
      <c r="M2612" t="n">
        <v>14.14</v>
      </c>
      <c r="N2612" t="n">
        <v>2310.65</v>
      </c>
      <c r="O2612" t="n">
        <v>3.89</v>
      </c>
      <c r="P2612" t="n">
        <v>5</v>
      </c>
      <c r="Q2612" t="n">
        <v>1</v>
      </c>
      <c r="R2612" t="n">
        <v>2023.1</v>
      </c>
      <c r="S2612" t="b">
        <v>1</v>
      </c>
      <c r="T2612" t="n">
        <v>2797872</v>
      </c>
      <c r="U2612" t="n">
        <v>7</v>
      </c>
      <c r="V2612" t="n">
        <v>0.0412</v>
      </c>
      <c r="W2612" t="n">
        <v>2.14</v>
      </c>
      <c r="X2612" t="n">
        <v>80.69</v>
      </c>
      <c r="Y2612">
        <f>VLOOKUP(D2612,$AB$2:$AC$7,2,FALSE)</f>
        <v/>
      </c>
      <c r="Z2612">
        <f>IF(A2612&lt;Y2612,"Yes","No")</f>
        <v/>
      </c>
    </row>
    <row r="2613">
      <c r="A2613" t="n">
        <v>2015</v>
      </c>
      <c r="B2613" t="inlineStr">
        <is>
          <t>Q3</t>
        </is>
      </c>
      <c r="C2613" t="inlineStr">
        <is>
          <t>South America</t>
        </is>
      </c>
      <c r="D2613" t="inlineStr">
        <is>
          <t>Model S</t>
        </is>
      </c>
      <c r="E2613" t="n">
        <v>2222</v>
      </c>
      <c r="F2613" t="n">
        <v>44739.1</v>
      </c>
      <c r="G2613" t="n">
        <v>56</v>
      </c>
      <c r="H2613" t="inlineStr">
        <is>
          <t>Performance</t>
        </is>
      </c>
      <c r="I2613" t="inlineStr">
        <is>
          <t>RWD</t>
        </is>
      </c>
      <c r="J2613" t="inlineStr">
        <is>
          <t>Blue</t>
        </is>
      </c>
      <c r="K2613" t="n">
        <v>582</v>
      </c>
      <c r="L2613" t="n">
        <v>72</v>
      </c>
      <c r="M2613" t="n">
        <v>14.33</v>
      </c>
      <c r="N2613" t="n">
        <v>3592.04</v>
      </c>
      <c r="O2613" t="n">
        <v>4.62</v>
      </c>
      <c r="P2613" t="n">
        <v>6</v>
      </c>
      <c r="Q2613" t="n">
        <v>1</v>
      </c>
      <c r="R2613" t="n">
        <v>2021.11</v>
      </c>
      <c r="S2613" t="b">
        <v>1</v>
      </c>
      <c r="T2613" t="n">
        <v>3696861</v>
      </c>
      <c r="U2613" t="n">
        <v>8</v>
      </c>
      <c r="V2613" t="n">
        <v>0.0425</v>
      </c>
      <c r="W2613" t="n">
        <v>1.56</v>
      </c>
      <c r="X2613" t="n">
        <v>70.97</v>
      </c>
      <c r="Y2613">
        <f>VLOOKUP(D2613,$AB$2:$AC$7,2,FALSE)</f>
        <v/>
      </c>
      <c r="Z2613">
        <f>IF(A2613&lt;Y2613,"Yes","No")</f>
        <v/>
      </c>
    </row>
    <row r="2614">
      <c r="A2614" t="n">
        <v>2013</v>
      </c>
      <c r="B2614" t="inlineStr">
        <is>
          <t>Q3</t>
        </is>
      </c>
      <c r="C2614" t="inlineStr">
        <is>
          <t>North America</t>
        </is>
      </c>
      <c r="D2614" t="inlineStr">
        <is>
          <t>Cybertruck</t>
        </is>
      </c>
      <c r="E2614" t="n">
        <v>50</v>
      </c>
      <c r="F2614" t="n">
        <v>78562.46000000001</v>
      </c>
      <c r="G2614" t="n">
        <v>53</v>
      </c>
      <c r="H2614" t="inlineStr">
        <is>
          <t>Standard</t>
        </is>
      </c>
      <c r="I2614" t="inlineStr">
        <is>
          <t>RWD</t>
        </is>
      </c>
      <c r="J2614" t="inlineStr">
        <is>
          <t>White</t>
        </is>
      </c>
      <c r="K2614" t="n">
        <v>512</v>
      </c>
      <c r="L2614" t="n">
        <v>72</v>
      </c>
      <c r="M2614" t="n">
        <v>18.43</v>
      </c>
      <c r="N2614" t="n">
        <v>62.31</v>
      </c>
      <c r="O2614" t="n">
        <v>4.02</v>
      </c>
      <c r="P2614" t="n">
        <v>5</v>
      </c>
      <c r="Q2614" t="n">
        <v>2</v>
      </c>
      <c r="R2614" t="n">
        <v>2020.8</v>
      </c>
      <c r="S2614" t="b">
        <v>0</v>
      </c>
      <c r="T2614" t="n">
        <v>1696451</v>
      </c>
      <c r="U2614" t="n">
        <v>5</v>
      </c>
      <c r="V2614" t="n">
        <v>0.0528</v>
      </c>
      <c r="W2614" t="n">
        <v>1.88</v>
      </c>
      <c r="X2614" t="n">
        <v>66.92</v>
      </c>
      <c r="Y2614">
        <f>VLOOKUP(D2614,$AB$2:$AC$7,2,FALSE)</f>
        <v/>
      </c>
      <c r="Z2614">
        <f>IF(A2614&lt;Y2614,"Yes","No")</f>
        <v/>
      </c>
    </row>
    <row r="2615">
      <c r="A2615" t="n">
        <v>2016</v>
      </c>
      <c r="B2615" t="inlineStr">
        <is>
          <t>Q2</t>
        </is>
      </c>
      <c r="C2615" t="inlineStr">
        <is>
          <t>Asia</t>
        </is>
      </c>
      <c r="D2615" t="inlineStr">
        <is>
          <t>Model 3</t>
        </is>
      </c>
      <c r="E2615" t="n">
        <v>4108</v>
      </c>
      <c r="F2615" t="n">
        <v>44540.7</v>
      </c>
      <c r="G2615" t="n">
        <v>6</v>
      </c>
      <c r="H2615" t="inlineStr">
        <is>
          <t>Long Range</t>
        </is>
      </c>
      <c r="I2615" t="inlineStr">
        <is>
          <t>RWD</t>
        </is>
      </c>
      <c r="J2615" t="inlineStr">
        <is>
          <t>Black</t>
        </is>
      </c>
      <c r="K2615" t="n">
        <v>377</v>
      </c>
      <c r="L2615" t="n">
        <v>61</v>
      </c>
      <c r="M2615" t="n">
        <v>13.72</v>
      </c>
      <c r="N2615" t="n">
        <v>9152.379999999999</v>
      </c>
      <c r="O2615" t="n">
        <v>4.41</v>
      </c>
      <c r="P2615" t="n">
        <v>6</v>
      </c>
      <c r="Q2615" t="n">
        <v>1</v>
      </c>
      <c r="R2615" t="n">
        <v>2020.5</v>
      </c>
      <c r="S2615" t="b">
        <v>1</v>
      </c>
      <c r="T2615" t="n">
        <v>4623983</v>
      </c>
      <c r="U2615" t="n">
        <v>8</v>
      </c>
      <c r="V2615" t="n">
        <v>0.0295</v>
      </c>
      <c r="W2615" t="n">
        <v>0.98</v>
      </c>
      <c r="X2615" t="n">
        <v>61.49</v>
      </c>
      <c r="Y2615">
        <f>VLOOKUP(D2615,$AB$2:$AC$7,2,FALSE)</f>
        <v/>
      </c>
      <c r="Z2615">
        <f>IF(A2615&lt;Y2615,"Yes","No")</f>
        <v/>
      </c>
    </row>
    <row r="2616">
      <c r="A2616" t="n">
        <v>2018</v>
      </c>
      <c r="B2616" t="inlineStr">
        <is>
          <t>Q3</t>
        </is>
      </c>
      <c r="C2616" t="inlineStr">
        <is>
          <t>Asia</t>
        </is>
      </c>
      <c r="D2616" t="inlineStr">
        <is>
          <t>Model Y</t>
        </is>
      </c>
      <c r="E2616" t="n">
        <v>2354</v>
      </c>
      <c r="F2616" t="n">
        <v>75550.17</v>
      </c>
      <c r="G2616" t="n">
        <v>43</v>
      </c>
      <c r="H2616" t="inlineStr">
        <is>
          <t>Long Range</t>
        </is>
      </c>
      <c r="I2616" t="inlineStr">
        <is>
          <t>AWD</t>
        </is>
      </c>
      <c r="J2616" t="inlineStr">
        <is>
          <t>Blue</t>
        </is>
      </c>
      <c r="K2616" t="n">
        <v>551</v>
      </c>
      <c r="L2616" t="n">
        <v>61</v>
      </c>
      <c r="M2616" t="n">
        <v>15.73</v>
      </c>
      <c r="N2616" t="n">
        <v>5629.03</v>
      </c>
      <c r="O2616" t="n">
        <v>3.65</v>
      </c>
      <c r="P2616" t="n">
        <v>4</v>
      </c>
      <c r="Q2616" t="n">
        <v>1</v>
      </c>
      <c r="R2616" t="n">
        <v>2022.1</v>
      </c>
      <c r="S2616" t="b">
        <v>1</v>
      </c>
      <c r="T2616" t="n">
        <v>4357807</v>
      </c>
      <c r="U2616" t="n">
        <v>11</v>
      </c>
      <c r="V2616" t="n">
        <v>0.051</v>
      </c>
      <c r="W2616" t="n">
        <v>1.06</v>
      </c>
      <c r="X2616" t="n">
        <v>60.11</v>
      </c>
      <c r="Y2616">
        <f>VLOOKUP(D2616,$AB$2:$AC$7,2,FALSE)</f>
        <v/>
      </c>
      <c r="Z2616">
        <f>IF(A2616&lt;Y2616,"Yes","No")</f>
        <v/>
      </c>
    </row>
    <row r="2617">
      <c r="A2617" t="n">
        <v>2015</v>
      </c>
      <c r="B2617" t="inlineStr">
        <is>
          <t>Q2</t>
        </is>
      </c>
      <c r="C2617" t="inlineStr">
        <is>
          <t>Asia</t>
        </is>
      </c>
      <c r="D2617" t="inlineStr">
        <is>
          <t>Cybertruck</t>
        </is>
      </c>
      <c r="E2617" t="n">
        <v>3254</v>
      </c>
      <c r="F2617" t="n">
        <v>58768.56</v>
      </c>
      <c r="G2617" t="n">
        <v>51</v>
      </c>
      <c r="H2617" t="inlineStr">
        <is>
          <t>Performance</t>
        </is>
      </c>
      <c r="I2617" t="inlineStr">
        <is>
          <t>AWD</t>
        </is>
      </c>
      <c r="J2617" t="inlineStr">
        <is>
          <t>White</t>
        </is>
      </c>
      <c r="K2617" t="n">
        <v>462</v>
      </c>
      <c r="L2617" t="n">
        <v>69</v>
      </c>
      <c r="M2617" t="n">
        <v>21.53</v>
      </c>
      <c r="N2617" t="n">
        <v>7270.35</v>
      </c>
      <c r="O2617" t="n">
        <v>4.8</v>
      </c>
      <c r="P2617" t="n">
        <v>5</v>
      </c>
      <c r="Q2617" t="n">
        <v>0</v>
      </c>
      <c r="R2617" t="n">
        <v>2022.5</v>
      </c>
      <c r="S2617" t="b">
        <v>1</v>
      </c>
      <c r="T2617" t="n">
        <v>3595967</v>
      </c>
      <c r="U2617" t="n">
        <v>4</v>
      </c>
      <c r="V2617" t="n">
        <v>0.0848</v>
      </c>
      <c r="W2617" t="n">
        <v>1.41</v>
      </c>
      <c r="X2617" t="n">
        <v>62.43</v>
      </c>
      <c r="Y2617">
        <f>VLOOKUP(D2617,$AB$2:$AC$7,2,FALSE)</f>
        <v/>
      </c>
      <c r="Z2617">
        <f>IF(A2617&lt;Y2617,"Yes","No")</f>
        <v/>
      </c>
    </row>
    <row r="2618">
      <c r="A2618" t="n">
        <v>2020</v>
      </c>
      <c r="B2618" t="inlineStr">
        <is>
          <t>Q2</t>
        </is>
      </c>
      <c r="C2618" t="inlineStr">
        <is>
          <t>Australia</t>
        </is>
      </c>
      <c r="D2618" t="inlineStr">
        <is>
          <t>Semi</t>
        </is>
      </c>
      <c r="E2618" t="n">
        <v>3962</v>
      </c>
      <c r="F2618" t="n">
        <v>40228.56</v>
      </c>
      <c r="G2618" t="n">
        <v>13</v>
      </c>
      <c r="H2618" t="inlineStr">
        <is>
          <t>Long Range</t>
        </is>
      </c>
      <c r="I2618" t="inlineStr">
        <is>
          <t>AWD</t>
        </is>
      </c>
      <c r="J2618" t="inlineStr">
        <is>
          <t>Silver</t>
        </is>
      </c>
      <c r="K2618" t="n">
        <v>397</v>
      </c>
      <c r="L2618" t="n">
        <v>56</v>
      </c>
      <c r="M2618" t="n">
        <v>17.65</v>
      </c>
      <c r="N2618" t="n">
        <v>3714.64</v>
      </c>
      <c r="O2618" t="n">
        <v>4.69</v>
      </c>
      <c r="P2618" t="n">
        <v>4</v>
      </c>
      <c r="Q2618" t="n">
        <v>3</v>
      </c>
      <c r="R2618" t="n">
        <v>2023.6</v>
      </c>
      <c r="S2618" t="b">
        <v>0</v>
      </c>
      <c r="T2618" t="n">
        <v>662052</v>
      </c>
      <c r="U2618" t="n">
        <v>6</v>
      </c>
      <c r="V2618" t="n">
        <v>0.0339</v>
      </c>
      <c r="W2618" t="n">
        <v>1.46</v>
      </c>
      <c r="X2618" t="n">
        <v>65.34999999999999</v>
      </c>
      <c r="Y2618">
        <f>VLOOKUP(D2618,$AB$2:$AC$7,2,FALSE)</f>
        <v/>
      </c>
      <c r="Z2618">
        <f>IF(A2618&lt;Y2618,"Yes","No")</f>
        <v/>
      </c>
    </row>
    <row r="2619">
      <c r="A2619" t="n">
        <v>2024</v>
      </c>
      <c r="B2619" t="inlineStr">
        <is>
          <t>Q3</t>
        </is>
      </c>
      <c r="C2619" t="inlineStr">
        <is>
          <t>Asia</t>
        </is>
      </c>
      <c r="D2619" t="inlineStr">
        <is>
          <t>Model 3</t>
        </is>
      </c>
      <c r="E2619" t="n">
        <v>1883</v>
      </c>
      <c r="F2619" t="n">
        <v>117812.94</v>
      </c>
      <c r="G2619" t="n">
        <v>28</v>
      </c>
      <c r="H2619" t="inlineStr">
        <is>
          <t>Performance</t>
        </is>
      </c>
      <c r="I2619" t="inlineStr">
        <is>
          <t>RWD</t>
        </is>
      </c>
      <c r="J2619" t="inlineStr">
        <is>
          <t>Silver</t>
        </is>
      </c>
      <c r="K2619" t="n">
        <v>583</v>
      </c>
      <c r="L2619" t="n">
        <v>68</v>
      </c>
      <c r="M2619" t="n">
        <v>14.21</v>
      </c>
      <c r="N2619" t="n">
        <v>2580.44</v>
      </c>
      <c r="O2619" t="n">
        <v>4.19</v>
      </c>
      <c r="P2619" t="n">
        <v>5</v>
      </c>
      <c r="Q2619" t="n">
        <v>2</v>
      </c>
      <c r="R2619" t="n">
        <v>2021.1</v>
      </c>
      <c r="S2619" t="b">
        <v>0</v>
      </c>
      <c r="T2619" t="n">
        <v>519466</v>
      </c>
      <c r="U2619" t="n">
        <v>8</v>
      </c>
      <c r="V2619" t="n">
        <v>0.0299</v>
      </c>
      <c r="W2619" t="n">
        <v>0.58</v>
      </c>
      <c r="X2619" t="n">
        <v>73.97</v>
      </c>
      <c r="Y2619">
        <f>VLOOKUP(D2619,$AB$2:$AC$7,2,FALSE)</f>
        <v/>
      </c>
      <c r="Z2619">
        <f>IF(A2619&lt;Y2619,"Yes","No")</f>
        <v/>
      </c>
    </row>
    <row r="2620">
      <c r="A2620" t="n">
        <v>2020</v>
      </c>
      <c r="B2620" t="inlineStr">
        <is>
          <t>Q2</t>
        </is>
      </c>
      <c r="C2620" t="inlineStr">
        <is>
          <t>Europe</t>
        </is>
      </c>
      <c r="D2620" t="inlineStr">
        <is>
          <t>Semi</t>
        </is>
      </c>
      <c r="E2620" t="n">
        <v>1820</v>
      </c>
      <c r="F2620" t="n">
        <v>89361.49000000001</v>
      </c>
      <c r="G2620" t="n">
        <v>52</v>
      </c>
      <c r="H2620" t="inlineStr">
        <is>
          <t>Performance</t>
        </is>
      </c>
      <c r="I2620" t="inlineStr">
        <is>
          <t>AWD</t>
        </is>
      </c>
      <c r="J2620" t="inlineStr">
        <is>
          <t>Blue</t>
        </is>
      </c>
      <c r="K2620" t="n">
        <v>606</v>
      </c>
      <c r="L2620" t="n">
        <v>61</v>
      </c>
      <c r="M2620" t="n">
        <v>22.06</v>
      </c>
      <c r="N2620" t="n">
        <v>3328.12</v>
      </c>
      <c r="O2620" t="n">
        <v>4.05</v>
      </c>
      <c r="P2620" t="n">
        <v>8</v>
      </c>
      <c r="Q2620" t="n">
        <v>1</v>
      </c>
      <c r="R2620" t="n">
        <v>2024.3</v>
      </c>
      <c r="S2620" t="b">
        <v>1</v>
      </c>
      <c r="T2620" t="n">
        <v>1009701</v>
      </c>
      <c r="U2620" t="n">
        <v>10</v>
      </c>
      <c r="V2620" t="n">
        <v>0.0954</v>
      </c>
      <c r="W2620" t="n">
        <v>1.61</v>
      </c>
      <c r="X2620" t="n">
        <v>82.62</v>
      </c>
      <c r="Y2620">
        <f>VLOOKUP(D2620,$AB$2:$AC$7,2,FALSE)</f>
        <v/>
      </c>
      <c r="Z2620">
        <f>IF(A2620&lt;Y2620,"Yes","No")</f>
        <v/>
      </c>
    </row>
    <row r="2621">
      <c r="A2621" t="n">
        <v>2023</v>
      </c>
      <c r="B2621" t="inlineStr">
        <is>
          <t>Q4</t>
        </is>
      </c>
      <c r="C2621" t="inlineStr">
        <is>
          <t>Europe</t>
        </is>
      </c>
      <c r="D2621" t="inlineStr">
        <is>
          <t>Model Y</t>
        </is>
      </c>
      <c r="E2621" t="n">
        <v>4748</v>
      </c>
      <c r="F2621" t="n">
        <v>79705.75</v>
      </c>
      <c r="G2621" t="n">
        <v>28</v>
      </c>
      <c r="H2621" t="inlineStr">
        <is>
          <t>Standard</t>
        </is>
      </c>
      <c r="I2621" t="inlineStr">
        <is>
          <t>RWD</t>
        </is>
      </c>
      <c r="J2621" t="inlineStr">
        <is>
          <t>Green</t>
        </is>
      </c>
      <c r="K2621" t="n">
        <v>694</v>
      </c>
      <c r="L2621" t="n">
        <v>37</v>
      </c>
      <c r="M2621" t="n">
        <v>24.14</v>
      </c>
      <c r="N2621" t="n">
        <v>5728.61</v>
      </c>
      <c r="O2621" t="n">
        <v>4.53</v>
      </c>
      <c r="P2621" t="n">
        <v>8</v>
      </c>
      <c r="Q2621" t="n">
        <v>1</v>
      </c>
      <c r="R2621" t="n">
        <v>2022.5</v>
      </c>
      <c r="S2621" t="b">
        <v>0</v>
      </c>
      <c r="T2621" t="n">
        <v>4489935</v>
      </c>
      <c r="U2621" t="n">
        <v>7</v>
      </c>
      <c r="V2621" t="n">
        <v>0.0825</v>
      </c>
      <c r="W2621" t="n">
        <v>0.5</v>
      </c>
      <c r="X2621" t="n">
        <v>78.61</v>
      </c>
      <c r="Y2621">
        <f>VLOOKUP(D2621,$AB$2:$AC$7,2,FALSE)</f>
        <v/>
      </c>
      <c r="Z2621">
        <f>IF(A2621&lt;Y2621,"Yes","No")</f>
        <v/>
      </c>
    </row>
    <row r="2622">
      <c r="A2622" t="n">
        <v>2019</v>
      </c>
      <c r="B2622" t="inlineStr">
        <is>
          <t>Q3</t>
        </is>
      </c>
      <c r="C2622" t="inlineStr">
        <is>
          <t>Australia</t>
        </is>
      </c>
      <c r="D2622" t="inlineStr">
        <is>
          <t>Semi</t>
        </is>
      </c>
      <c r="E2622" t="n">
        <v>4902</v>
      </c>
      <c r="F2622" t="n">
        <v>48914.01</v>
      </c>
      <c r="G2622" t="n">
        <v>14</v>
      </c>
      <c r="H2622" t="inlineStr">
        <is>
          <t>Performance</t>
        </is>
      </c>
      <c r="I2622" t="inlineStr">
        <is>
          <t>RWD</t>
        </is>
      </c>
      <c r="J2622" t="inlineStr">
        <is>
          <t>Green</t>
        </is>
      </c>
      <c r="K2622" t="n">
        <v>400</v>
      </c>
      <c r="L2622" t="n">
        <v>54</v>
      </c>
      <c r="M2622" t="n">
        <v>23.26</v>
      </c>
      <c r="N2622" t="n">
        <v>10925.48</v>
      </c>
      <c r="O2622" t="n">
        <v>4.86</v>
      </c>
      <c r="P2622" t="n">
        <v>4</v>
      </c>
      <c r="Q2622" t="n">
        <v>3</v>
      </c>
      <c r="R2622" t="n">
        <v>2024.3</v>
      </c>
      <c r="S2622" t="b">
        <v>0</v>
      </c>
      <c r="T2622" t="n">
        <v>4627188</v>
      </c>
      <c r="U2622" t="n">
        <v>8</v>
      </c>
      <c r="V2622" t="n">
        <v>0.0309</v>
      </c>
      <c r="W2622" t="n">
        <v>2.11</v>
      </c>
      <c r="X2622" t="n">
        <v>72.81</v>
      </c>
      <c r="Y2622">
        <f>VLOOKUP(D2622,$AB$2:$AC$7,2,FALSE)</f>
        <v/>
      </c>
      <c r="Z2622">
        <f>IF(A2622&lt;Y2622,"Yes","No")</f>
        <v/>
      </c>
    </row>
    <row r="2623">
      <c r="A2623" t="n">
        <v>2023</v>
      </c>
      <c r="B2623" t="inlineStr">
        <is>
          <t>Q4</t>
        </is>
      </c>
      <c r="C2623" t="inlineStr">
        <is>
          <t>Australia</t>
        </is>
      </c>
      <c r="D2623" t="inlineStr">
        <is>
          <t>Model Y</t>
        </is>
      </c>
      <c r="E2623" t="n">
        <v>1939</v>
      </c>
      <c r="F2623" t="n">
        <v>87998.25</v>
      </c>
      <c r="G2623" t="n">
        <v>24</v>
      </c>
      <c r="H2623" t="inlineStr">
        <is>
          <t>Standard</t>
        </is>
      </c>
      <c r="I2623" t="inlineStr">
        <is>
          <t>RWD</t>
        </is>
      </c>
      <c r="J2623" t="inlineStr">
        <is>
          <t>Black</t>
        </is>
      </c>
      <c r="K2623" t="n">
        <v>593</v>
      </c>
      <c r="L2623" t="n">
        <v>45</v>
      </c>
      <c r="M2623" t="n">
        <v>17.84</v>
      </c>
      <c r="N2623" t="n">
        <v>1041.12</v>
      </c>
      <c r="O2623" t="n">
        <v>4.7</v>
      </c>
      <c r="P2623" t="n">
        <v>6</v>
      </c>
      <c r="Q2623" t="n">
        <v>2</v>
      </c>
      <c r="R2623" t="n">
        <v>2020.5</v>
      </c>
      <c r="S2623" t="b">
        <v>1</v>
      </c>
      <c r="T2623" t="n">
        <v>4788312</v>
      </c>
      <c r="U2623" t="n">
        <v>6</v>
      </c>
      <c r="V2623" t="n">
        <v>0.0203</v>
      </c>
      <c r="W2623" t="n">
        <v>0.89</v>
      </c>
      <c r="X2623" t="n">
        <v>75.31</v>
      </c>
      <c r="Y2623">
        <f>VLOOKUP(D2623,$AB$2:$AC$7,2,FALSE)</f>
        <v/>
      </c>
      <c r="Z2623">
        <f>IF(A2623&lt;Y2623,"Yes","No")</f>
        <v/>
      </c>
    </row>
    <row r="2624">
      <c r="A2624" t="n">
        <v>2024</v>
      </c>
      <c r="B2624" t="inlineStr">
        <is>
          <t>Q1</t>
        </is>
      </c>
      <c r="C2624" t="inlineStr">
        <is>
          <t>North America</t>
        </is>
      </c>
      <c r="D2624" t="inlineStr">
        <is>
          <t>Model S</t>
        </is>
      </c>
      <c r="E2624" t="n">
        <v>3813</v>
      </c>
      <c r="F2624" t="n">
        <v>61977.06</v>
      </c>
      <c r="G2624" t="n">
        <v>9</v>
      </c>
      <c r="H2624" t="inlineStr">
        <is>
          <t>Performance</t>
        </is>
      </c>
      <c r="I2624" t="inlineStr">
        <is>
          <t>AWD</t>
        </is>
      </c>
      <c r="J2624" t="inlineStr">
        <is>
          <t>Red</t>
        </is>
      </c>
      <c r="K2624" t="n">
        <v>678</v>
      </c>
      <c r="L2624" t="n">
        <v>60</v>
      </c>
      <c r="M2624" t="n">
        <v>20.17</v>
      </c>
      <c r="N2624" t="n">
        <v>9420.379999999999</v>
      </c>
      <c r="O2624" t="n">
        <v>4.23</v>
      </c>
      <c r="P2624" t="n">
        <v>8</v>
      </c>
      <c r="Q2624" t="n">
        <v>0</v>
      </c>
      <c r="R2624" t="n">
        <v>2024.3</v>
      </c>
      <c r="S2624" t="b">
        <v>0</v>
      </c>
      <c r="T2624" t="n">
        <v>3574971</v>
      </c>
      <c r="U2624" t="n">
        <v>3</v>
      </c>
      <c r="V2624" t="n">
        <v>0.0473</v>
      </c>
      <c r="W2624" t="n">
        <v>1.02</v>
      </c>
      <c r="X2624" t="n">
        <v>86.63</v>
      </c>
      <c r="Y2624">
        <f>VLOOKUP(D2624,$AB$2:$AC$7,2,FALSE)</f>
        <v/>
      </c>
      <c r="Z2624">
        <f>IF(A2624&lt;Y2624,"Yes","No")</f>
        <v/>
      </c>
    </row>
    <row r="2625">
      <c r="A2625" t="n">
        <v>2020</v>
      </c>
      <c r="B2625" t="inlineStr">
        <is>
          <t>Q1</t>
        </is>
      </c>
      <c r="C2625" t="inlineStr">
        <is>
          <t>Europe</t>
        </is>
      </c>
      <c r="D2625" t="inlineStr">
        <is>
          <t>Cybertruck</t>
        </is>
      </c>
      <c r="E2625" t="n">
        <v>264</v>
      </c>
      <c r="F2625" t="n">
        <v>47303.95</v>
      </c>
      <c r="G2625" t="n">
        <v>57</v>
      </c>
      <c r="H2625" t="inlineStr">
        <is>
          <t>Standard</t>
        </is>
      </c>
      <c r="I2625" t="inlineStr">
        <is>
          <t>RWD</t>
        </is>
      </c>
      <c r="J2625" t="inlineStr">
        <is>
          <t>White</t>
        </is>
      </c>
      <c r="K2625" t="n">
        <v>548</v>
      </c>
      <c r="L2625" t="n">
        <v>57</v>
      </c>
      <c r="M2625" t="n">
        <v>14</v>
      </c>
      <c r="N2625" t="n">
        <v>499.78</v>
      </c>
      <c r="O2625" t="n">
        <v>3.99</v>
      </c>
      <c r="P2625" t="n">
        <v>8</v>
      </c>
      <c r="Q2625" t="n">
        <v>2</v>
      </c>
      <c r="R2625" t="n">
        <v>2024.7</v>
      </c>
      <c r="S2625" t="b">
        <v>0</v>
      </c>
      <c r="T2625" t="n">
        <v>3532922</v>
      </c>
      <c r="U2625" t="n">
        <v>4</v>
      </c>
      <c r="V2625" t="n">
        <v>0.0864</v>
      </c>
      <c r="W2625" t="n">
        <v>1.21</v>
      </c>
      <c r="X2625" t="n">
        <v>74.94</v>
      </c>
      <c r="Y2625">
        <f>VLOOKUP(D2625,$AB$2:$AC$7,2,FALSE)</f>
        <v/>
      </c>
      <c r="Z2625">
        <f>IF(A2625&lt;Y2625,"Yes","No")</f>
        <v/>
      </c>
    </row>
    <row r="2626">
      <c r="A2626" t="n">
        <v>2012</v>
      </c>
      <c r="B2626" t="inlineStr">
        <is>
          <t>Q3</t>
        </is>
      </c>
      <c r="C2626" t="inlineStr">
        <is>
          <t>Europe</t>
        </is>
      </c>
      <c r="D2626" t="inlineStr">
        <is>
          <t>Cybertruck</t>
        </is>
      </c>
      <c r="E2626" t="n">
        <v>4391</v>
      </c>
      <c r="F2626" t="n">
        <v>52093.91</v>
      </c>
      <c r="G2626" t="n">
        <v>48</v>
      </c>
      <c r="H2626" t="inlineStr">
        <is>
          <t>Performance</t>
        </is>
      </c>
      <c r="I2626" t="inlineStr">
        <is>
          <t>AWD</t>
        </is>
      </c>
      <c r="J2626" t="inlineStr">
        <is>
          <t>Black</t>
        </is>
      </c>
      <c r="K2626" t="n">
        <v>694</v>
      </c>
      <c r="L2626" t="n">
        <v>76</v>
      </c>
      <c r="M2626" t="n">
        <v>19.26</v>
      </c>
      <c r="N2626" t="n">
        <v>2417.62</v>
      </c>
      <c r="O2626" t="n">
        <v>4.37</v>
      </c>
      <c r="P2626" t="n">
        <v>4</v>
      </c>
      <c r="Q2626" t="n">
        <v>1</v>
      </c>
      <c r="R2626" t="n">
        <v>2023.1</v>
      </c>
      <c r="S2626" t="b">
        <v>1</v>
      </c>
      <c r="T2626" t="n">
        <v>3918359</v>
      </c>
      <c r="U2626" t="n">
        <v>8</v>
      </c>
      <c r="V2626" t="n">
        <v>0.079</v>
      </c>
      <c r="W2626" t="n">
        <v>1.65</v>
      </c>
      <c r="X2626" t="n">
        <v>70.95999999999999</v>
      </c>
      <c r="Y2626">
        <f>VLOOKUP(D2626,$AB$2:$AC$7,2,FALSE)</f>
        <v/>
      </c>
      <c r="Z2626">
        <f>IF(A2626&lt;Y2626,"Yes","No")</f>
        <v/>
      </c>
    </row>
    <row r="2627">
      <c r="A2627" t="n">
        <v>2019</v>
      </c>
      <c r="B2627" t="inlineStr">
        <is>
          <t>Q3</t>
        </is>
      </c>
      <c r="C2627" t="inlineStr">
        <is>
          <t>Europe</t>
        </is>
      </c>
      <c r="D2627" t="inlineStr">
        <is>
          <t>Model Y</t>
        </is>
      </c>
      <c r="E2627" t="n">
        <v>1767</v>
      </c>
      <c r="F2627" t="n">
        <v>106242.87</v>
      </c>
      <c r="G2627" t="n">
        <v>36</v>
      </c>
      <c r="H2627" t="inlineStr">
        <is>
          <t>Performance</t>
        </is>
      </c>
      <c r="I2627" t="inlineStr">
        <is>
          <t>RWD</t>
        </is>
      </c>
      <c r="J2627" t="inlineStr">
        <is>
          <t>Red</t>
        </is>
      </c>
      <c r="K2627" t="n">
        <v>697</v>
      </c>
      <c r="L2627" t="n">
        <v>73</v>
      </c>
      <c r="M2627" t="n">
        <v>21.16</v>
      </c>
      <c r="N2627" t="n">
        <v>3988.46</v>
      </c>
      <c r="O2627" t="n">
        <v>3.54</v>
      </c>
      <c r="P2627" t="n">
        <v>6</v>
      </c>
      <c r="Q2627" t="n">
        <v>2</v>
      </c>
      <c r="R2627" t="n">
        <v>2023.3</v>
      </c>
      <c r="S2627" t="b">
        <v>1</v>
      </c>
      <c r="T2627" t="n">
        <v>1219129</v>
      </c>
      <c r="U2627" t="n">
        <v>8</v>
      </c>
      <c r="V2627" t="n">
        <v>0.0341</v>
      </c>
      <c r="W2627" t="n">
        <v>2.25</v>
      </c>
      <c r="X2627" t="n">
        <v>80.64</v>
      </c>
      <c r="Y2627">
        <f>VLOOKUP(D2627,$AB$2:$AC$7,2,FALSE)</f>
        <v/>
      </c>
      <c r="Z2627">
        <f>IF(A2627&lt;Y2627,"Yes","No")</f>
        <v/>
      </c>
    </row>
    <row r="2628">
      <c r="A2628" t="n">
        <v>2024</v>
      </c>
      <c r="B2628" t="inlineStr">
        <is>
          <t>Q2</t>
        </is>
      </c>
      <c r="C2628" t="inlineStr">
        <is>
          <t>South America</t>
        </is>
      </c>
      <c r="D2628" t="inlineStr">
        <is>
          <t>Model Y</t>
        </is>
      </c>
      <c r="E2628" t="n">
        <v>3812</v>
      </c>
      <c r="F2628" t="n">
        <v>95931.53</v>
      </c>
      <c r="G2628" t="n">
        <v>52</v>
      </c>
      <c r="H2628" t="inlineStr">
        <is>
          <t>Long Range</t>
        </is>
      </c>
      <c r="I2628" t="inlineStr">
        <is>
          <t>RWD</t>
        </is>
      </c>
      <c r="J2628" t="inlineStr">
        <is>
          <t>Red</t>
        </is>
      </c>
      <c r="K2628" t="n">
        <v>606</v>
      </c>
      <c r="L2628" t="n">
        <v>68</v>
      </c>
      <c r="M2628" t="n">
        <v>23.09</v>
      </c>
      <c r="N2628" t="n">
        <v>2498.83</v>
      </c>
      <c r="O2628" t="n">
        <v>4.14</v>
      </c>
      <c r="P2628" t="n">
        <v>4</v>
      </c>
      <c r="Q2628" t="n">
        <v>3</v>
      </c>
      <c r="R2628" t="n">
        <v>2021.12</v>
      </c>
      <c r="S2628" t="b">
        <v>1</v>
      </c>
      <c r="T2628" t="n">
        <v>486034</v>
      </c>
      <c r="U2628" t="n">
        <v>2</v>
      </c>
      <c r="V2628" t="n">
        <v>0.09320000000000001</v>
      </c>
      <c r="W2628" t="n">
        <v>2.34</v>
      </c>
      <c r="X2628" t="n">
        <v>77.06999999999999</v>
      </c>
      <c r="Y2628">
        <f>VLOOKUP(D2628,$AB$2:$AC$7,2,FALSE)</f>
        <v/>
      </c>
      <c r="Z2628">
        <f>IF(A2628&lt;Y2628,"Yes","No")</f>
        <v/>
      </c>
    </row>
    <row r="2629">
      <c r="A2629" t="n">
        <v>2019</v>
      </c>
      <c r="B2629" t="inlineStr">
        <is>
          <t>Q4</t>
        </is>
      </c>
      <c r="C2629" t="inlineStr">
        <is>
          <t>Australia</t>
        </is>
      </c>
      <c r="D2629" t="inlineStr">
        <is>
          <t>Semi</t>
        </is>
      </c>
      <c r="E2629" t="n">
        <v>430</v>
      </c>
      <c r="F2629" t="n">
        <v>39452.25</v>
      </c>
      <c r="G2629" t="n">
        <v>10</v>
      </c>
      <c r="H2629" t="inlineStr">
        <is>
          <t>Standard</t>
        </is>
      </c>
      <c r="I2629" t="inlineStr">
        <is>
          <t>AWD</t>
        </is>
      </c>
      <c r="J2629" t="inlineStr">
        <is>
          <t>Green</t>
        </is>
      </c>
      <c r="K2629" t="n">
        <v>477</v>
      </c>
      <c r="L2629" t="n">
        <v>74</v>
      </c>
      <c r="M2629" t="n">
        <v>21.4</v>
      </c>
      <c r="N2629" t="n">
        <v>479.84</v>
      </c>
      <c r="O2629" t="n">
        <v>3.7</v>
      </c>
      <c r="P2629" t="n">
        <v>5</v>
      </c>
      <c r="Q2629" t="n">
        <v>1</v>
      </c>
      <c r="R2629" t="n">
        <v>2021.6</v>
      </c>
      <c r="S2629" t="b">
        <v>0</v>
      </c>
      <c r="T2629" t="n">
        <v>1615629</v>
      </c>
      <c r="U2629" t="n">
        <v>4</v>
      </c>
      <c r="V2629" t="n">
        <v>0.0127</v>
      </c>
      <c r="W2629" t="n">
        <v>1.12</v>
      </c>
      <c r="X2629" t="n">
        <v>64.95999999999999</v>
      </c>
      <c r="Y2629">
        <f>VLOOKUP(D2629,$AB$2:$AC$7,2,FALSE)</f>
        <v/>
      </c>
      <c r="Z2629">
        <f>IF(A2629&lt;Y2629,"Yes","No")</f>
        <v/>
      </c>
    </row>
    <row r="2630">
      <c r="A2630" t="n">
        <v>2016</v>
      </c>
      <c r="B2630" t="inlineStr">
        <is>
          <t>Q3</t>
        </is>
      </c>
      <c r="C2630" t="inlineStr">
        <is>
          <t>Australia</t>
        </is>
      </c>
      <c r="D2630" t="inlineStr">
        <is>
          <t>Model 3</t>
        </is>
      </c>
      <c r="E2630" t="n">
        <v>939</v>
      </c>
      <c r="F2630" t="n">
        <v>47568.88</v>
      </c>
      <c r="G2630" t="n">
        <v>56</v>
      </c>
      <c r="H2630" t="inlineStr">
        <is>
          <t>Standard</t>
        </is>
      </c>
      <c r="I2630" t="inlineStr">
        <is>
          <t>AWD</t>
        </is>
      </c>
      <c r="J2630" t="inlineStr">
        <is>
          <t>White</t>
        </is>
      </c>
      <c r="K2630" t="n">
        <v>482</v>
      </c>
      <c r="L2630" t="n">
        <v>82</v>
      </c>
      <c r="M2630" t="n">
        <v>20.76</v>
      </c>
      <c r="N2630" t="n">
        <v>518.96</v>
      </c>
      <c r="O2630" t="n">
        <v>3.88</v>
      </c>
      <c r="P2630" t="n">
        <v>4</v>
      </c>
      <c r="Q2630" t="n">
        <v>1</v>
      </c>
      <c r="R2630" t="n">
        <v>2024.7</v>
      </c>
      <c r="S2630" t="b">
        <v>0</v>
      </c>
      <c r="T2630" t="n">
        <v>2289290</v>
      </c>
      <c r="U2630" t="n">
        <v>7</v>
      </c>
      <c r="V2630" t="n">
        <v>0.0243</v>
      </c>
      <c r="W2630" t="n">
        <v>1.89</v>
      </c>
      <c r="X2630" t="n">
        <v>62.93</v>
      </c>
      <c r="Y2630">
        <f>VLOOKUP(D2630,$AB$2:$AC$7,2,FALSE)</f>
        <v/>
      </c>
      <c r="Z2630">
        <f>IF(A2630&lt;Y2630,"Yes","No")</f>
        <v/>
      </c>
    </row>
    <row r="2631">
      <c r="A2631" t="n">
        <v>2024</v>
      </c>
      <c r="B2631" t="inlineStr">
        <is>
          <t>Q4</t>
        </is>
      </c>
      <c r="C2631" t="inlineStr">
        <is>
          <t>Asia</t>
        </is>
      </c>
      <c r="D2631" t="inlineStr">
        <is>
          <t>Model Y</t>
        </is>
      </c>
      <c r="E2631" t="n">
        <v>4641</v>
      </c>
      <c r="F2631" t="n">
        <v>53724.82</v>
      </c>
      <c r="G2631" t="n">
        <v>19</v>
      </c>
      <c r="H2631" t="inlineStr">
        <is>
          <t>Performance</t>
        </is>
      </c>
      <c r="I2631" t="inlineStr">
        <is>
          <t>RWD</t>
        </is>
      </c>
      <c r="J2631" t="inlineStr">
        <is>
          <t>Red</t>
        </is>
      </c>
      <c r="K2631" t="n">
        <v>656</v>
      </c>
      <c r="L2631" t="n">
        <v>71</v>
      </c>
      <c r="M2631" t="n">
        <v>23.5</v>
      </c>
      <c r="N2631" t="n">
        <v>6103.94</v>
      </c>
      <c r="O2631" t="n">
        <v>4.27</v>
      </c>
      <c r="P2631" t="n">
        <v>8</v>
      </c>
      <c r="Q2631" t="n">
        <v>2</v>
      </c>
      <c r="R2631" t="n">
        <v>2023.3</v>
      </c>
      <c r="S2631" t="b">
        <v>1</v>
      </c>
      <c r="T2631" t="n">
        <v>1707231</v>
      </c>
      <c r="U2631" t="n">
        <v>3</v>
      </c>
      <c r="V2631" t="n">
        <v>0.0358</v>
      </c>
      <c r="W2631" t="n">
        <v>0.89</v>
      </c>
      <c r="X2631" t="n">
        <v>60.3</v>
      </c>
      <c r="Y2631">
        <f>VLOOKUP(D2631,$AB$2:$AC$7,2,FALSE)</f>
        <v/>
      </c>
      <c r="Z2631">
        <f>IF(A2631&lt;Y2631,"Yes","No")</f>
        <v/>
      </c>
    </row>
    <row r="2632">
      <c r="A2632" t="n">
        <v>2013</v>
      </c>
      <c r="B2632" t="inlineStr">
        <is>
          <t>Q3</t>
        </is>
      </c>
      <c r="C2632" t="inlineStr">
        <is>
          <t>Europe</t>
        </is>
      </c>
      <c r="D2632" t="inlineStr">
        <is>
          <t>Model 3</t>
        </is>
      </c>
      <c r="E2632" t="n">
        <v>4229</v>
      </c>
      <c r="F2632" t="n">
        <v>77534.22</v>
      </c>
      <c r="G2632" t="n">
        <v>23</v>
      </c>
      <c r="H2632" t="inlineStr">
        <is>
          <t>Performance</t>
        </is>
      </c>
      <c r="I2632" t="inlineStr">
        <is>
          <t>RWD</t>
        </is>
      </c>
      <c r="J2632" t="inlineStr">
        <is>
          <t>Blue</t>
        </is>
      </c>
      <c r="K2632" t="n">
        <v>370</v>
      </c>
      <c r="L2632" t="n">
        <v>68</v>
      </c>
      <c r="M2632" t="n">
        <v>20.91</v>
      </c>
      <c r="N2632" t="n">
        <v>8993.43</v>
      </c>
      <c r="O2632" t="n">
        <v>3.53</v>
      </c>
      <c r="P2632" t="n">
        <v>4</v>
      </c>
      <c r="Q2632" t="n">
        <v>1</v>
      </c>
      <c r="R2632" t="n">
        <v>2021.8</v>
      </c>
      <c r="S2632" t="b">
        <v>1</v>
      </c>
      <c r="T2632" t="n">
        <v>602256</v>
      </c>
      <c r="U2632" t="n">
        <v>6</v>
      </c>
      <c r="V2632" t="n">
        <v>0.0373</v>
      </c>
      <c r="W2632" t="n">
        <v>0.62</v>
      </c>
      <c r="X2632" t="n">
        <v>62.88</v>
      </c>
      <c r="Y2632">
        <f>VLOOKUP(D2632,$AB$2:$AC$7,2,FALSE)</f>
        <v/>
      </c>
      <c r="Z2632">
        <f>IF(A2632&lt;Y2632,"Yes","No")</f>
        <v/>
      </c>
    </row>
    <row r="2633">
      <c r="A2633" t="n">
        <v>2013</v>
      </c>
      <c r="B2633" t="inlineStr">
        <is>
          <t>Q2</t>
        </is>
      </c>
      <c r="C2633" t="inlineStr">
        <is>
          <t>Australia</t>
        </is>
      </c>
      <c r="D2633" t="inlineStr">
        <is>
          <t>Model X</t>
        </is>
      </c>
      <c r="E2633" t="n">
        <v>3522</v>
      </c>
      <c r="F2633" t="n">
        <v>80935.78</v>
      </c>
      <c r="G2633" t="n">
        <v>39</v>
      </c>
      <c r="H2633" t="inlineStr">
        <is>
          <t>Standard</t>
        </is>
      </c>
      <c r="I2633" t="inlineStr">
        <is>
          <t>RWD</t>
        </is>
      </c>
      <c r="J2633" t="inlineStr">
        <is>
          <t>Green</t>
        </is>
      </c>
      <c r="K2633" t="n">
        <v>622</v>
      </c>
      <c r="L2633" t="n">
        <v>87</v>
      </c>
      <c r="M2633" t="n">
        <v>19.33</v>
      </c>
      <c r="N2633" t="n">
        <v>5386.88</v>
      </c>
      <c r="O2633" t="n">
        <v>4.31</v>
      </c>
      <c r="P2633" t="n">
        <v>4</v>
      </c>
      <c r="Q2633" t="n">
        <v>1</v>
      </c>
      <c r="R2633" t="n">
        <v>2024.2</v>
      </c>
      <c r="S2633" t="b">
        <v>1</v>
      </c>
      <c r="T2633" t="n">
        <v>3963846</v>
      </c>
      <c r="U2633" t="n">
        <v>9</v>
      </c>
      <c r="V2633" t="n">
        <v>0.06560000000000001</v>
      </c>
      <c r="W2633" t="n">
        <v>0.57</v>
      </c>
      <c r="X2633" t="n">
        <v>65.73</v>
      </c>
      <c r="Y2633">
        <f>VLOOKUP(D2633,$AB$2:$AC$7,2,FALSE)</f>
        <v/>
      </c>
      <c r="Z2633">
        <f>IF(A2633&lt;Y2633,"Yes","No")</f>
        <v/>
      </c>
    </row>
    <row r="2634">
      <c r="A2634" t="n">
        <v>2022</v>
      </c>
      <c r="B2634" t="inlineStr">
        <is>
          <t>Q4</t>
        </is>
      </c>
      <c r="C2634" t="inlineStr">
        <is>
          <t>Asia</t>
        </is>
      </c>
      <c r="D2634" t="inlineStr">
        <is>
          <t>Model S</t>
        </is>
      </c>
      <c r="E2634" t="n">
        <v>4203</v>
      </c>
      <c r="F2634" t="n">
        <v>94025.25</v>
      </c>
      <c r="G2634" t="n">
        <v>39</v>
      </c>
      <c r="H2634" t="inlineStr">
        <is>
          <t>Long Range</t>
        </is>
      </c>
      <c r="I2634" t="inlineStr">
        <is>
          <t>AWD</t>
        </is>
      </c>
      <c r="J2634" t="inlineStr">
        <is>
          <t>Green</t>
        </is>
      </c>
      <c r="K2634" t="n">
        <v>478</v>
      </c>
      <c r="L2634" t="n">
        <v>41</v>
      </c>
      <c r="M2634" t="n">
        <v>24.88</v>
      </c>
      <c r="N2634" t="n">
        <v>6955.89</v>
      </c>
      <c r="O2634" t="n">
        <v>4.46</v>
      </c>
      <c r="P2634" t="n">
        <v>4</v>
      </c>
      <c r="Q2634" t="n">
        <v>1</v>
      </c>
      <c r="R2634" t="n">
        <v>2024.12</v>
      </c>
      <c r="S2634" t="b">
        <v>0</v>
      </c>
      <c r="T2634" t="n">
        <v>4240799</v>
      </c>
      <c r="U2634" t="n">
        <v>5</v>
      </c>
      <c r="V2634" t="n">
        <v>0.0309</v>
      </c>
      <c r="W2634" t="n">
        <v>1.53</v>
      </c>
      <c r="X2634" t="n">
        <v>86.01000000000001</v>
      </c>
      <c r="Y2634">
        <f>VLOOKUP(D2634,$AB$2:$AC$7,2,FALSE)</f>
        <v/>
      </c>
      <c r="Z2634">
        <f>IF(A2634&lt;Y2634,"Yes","No")</f>
        <v/>
      </c>
    </row>
    <row r="2635">
      <c r="A2635" t="n">
        <v>2016</v>
      </c>
      <c r="B2635" t="inlineStr">
        <is>
          <t>Q1</t>
        </is>
      </c>
      <c r="C2635" t="inlineStr">
        <is>
          <t>Asia</t>
        </is>
      </c>
      <c r="D2635" t="inlineStr">
        <is>
          <t>Semi</t>
        </is>
      </c>
      <c r="E2635" t="n">
        <v>1636</v>
      </c>
      <c r="F2635" t="n">
        <v>49023.88</v>
      </c>
      <c r="G2635" t="n">
        <v>58</v>
      </c>
      <c r="H2635" t="inlineStr">
        <is>
          <t>Performance</t>
        </is>
      </c>
      <c r="I2635" t="inlineStr">
        <is>
          <t>RWD</t>
        </is>
      </c>
      <c r="J2635" t="inlineStr">
        <is>
          <t>Green</t>
        </is>
      </c>
      <c r="K2635" t="n">
        <v>680</v>
      </c>
      <c r="L2635" t="n">
        <v>90</v>
      </c>
      <c r="M2635" t="n">
        <v>20.33</v>
      </c>
      <c r="N2635" t="n">
        <v>1840.24</v>
      </c>
      <c r="O2635" t="n">
        <v>3.95</v>
      </c>
      <c r="P2635" t="n">
        <v>4</v>
      </c>
      <c r="Q2635" t="n">
        <v>2</v>
      </c>
      <c r="R2635" t="n">
        <v>2021.4</v>
      </c>
      <c r="S2635" t="b">
        <v>1</v>
      </c>
      <c r="T2635" t="n">
        <v>217739</v>
      </c>
      <c r="U2635" t="n">
        <v>2</v>
      </c>
      <c r="V2635" t="n">
        <v>0.09039999999999999</v>
      </c>
      <c r="W2635" t="n">
        <v>1.89</v>
      </c>
      <c r="X2635" t="n">
        <v>80.48999999999999</v>
      </c>
      <c r="Y2635">
        <f>VLOOKUP(D2635,$AB$2:$AC$7,2,FALSE)</f>
        <v/>
      </c>
      <c r="Z2635">
        <f>IF(A2635&lt;Y2635,"Yes","No")</f>
        <v/>
      </c>
    </row>
    <row r="2636">
      <c r="A2636" t="n">
        <v>2018</v>
      </c>
      <c r="B2636" t="inlineStr">
        <is>
          <t>Q3</t>
        </is>
      </c>
      <c r="C2636" t="inlineStr">
        <is>
          <t>South America</t>
        </is>
      </c>
      <c r="D2636" t="inlineStr">
        <is>
          <t>Model Y</t>
        </is>
      </c>
      <c r="E2636" t="n">
        <v>1475</v>
      </c>
      <c r="F2636" t="n">
        <v>94186.5</v>
      </c>
      <c r="G2636" t="n">
        <v>44</v>
      </c>
      <c r="H2636" t="inlineStr">
        <is>
          <t>Standard</t>
        </is>
      </c>
      <c r="I2636" t="inlineStr">
        <is>
          <t>AWD</t>
        </is>
      </c>
      <c r="J2636" t="inlineStr">
        <is>
          <t>White</t>
        </is>
      </c>
      <c r="K2636" t="n">
        <v>637</v>
      </c>
      <c r="L2636" t="n">
        <v>61</v>
      </c>
      <c r="M2636" t="n">
        <v>19.29</v>
      </c>
      <c r="N2636" t="n">
        <v>2553.2</v>
      </c>
      <c r="O2636" t="n">
        <v>3.95</v>
      </c>
      <c r="P2636" t="n">
        <v>5</v>
      </c>
      <c r="Q2636" t="n">
        <v>0</v>
      </c>
      <c r="R2636" t="n">
        <v>2020.5</v>
      </c>
      <c r="S2636" t="b">
        <v>0</v>
      </c>
      <c r="T2636" t="n">
        <v>2471140</v>
      </c>
      <c r="U2636" t="n">
        <v>8</v>
      </c>
      <c r="V2636" t="n">
        <v>0.0522</v>
      </c>
      <c r="W2636" t="n">
        <v>2.22</v>
      </c>
      <c r="X2636" t="n">
        <v>74.59</v>
      </c>
      <c r="Y2636">
        <f>VLOOKUP(D2636,$AB$2:$AC$7,2,FALSE)</f>
        <v/>
      </c>
      <c r="Z2636">
        <f>IF(A2636&lt;Y2636,"Yes","No")</f>
        <v/>
      </c>
    </row>
    <row r="2637">
      <c r="A2637" t="n">
        <v>2014</v>
      </c>
      <c r="B2637" t="inlineStr">
        <is>
          <t>Q3</t>
        </is>
      </c>
      <c r="C2637" t="inlineStr">
        <is>
          <t>North America</t>
        </is>
      </c>
      <c r="D2637" t="inlineStr">
        <is>
          <t>Semi</t>
        </is>
      </c>
      <c r="E2637" t="n">
        <v>2100</v>
      </c>
      <c r="F2637" t="n">
        <v>44265.26</v>
      </c>
      <c r="G2637" t="n">
        <v>56</v>
      </c>
      <c r="H2637" t="inlineStr">
        <is>
          <t>Long Range</t>
        </is>
      </c>
      <c r="I2637" t="inlineStr">
        <is>
          <t>AWD</t>
        </is>
      </c>
      <c r="J2637" t="inlineStr">
        <is>
          <t>Blue</t>
        </is>
      </c>
      <c r="K2637" t="n">
        <v>447</v>
      </c>
      <c r="L2637" t="n">
        <v>85</v>
      </c>
      <c r="M2637" t="n">
        <v>14.03</v>
      </c>
      <c r="N2637" t="n">
        <v>2225.27</v>
      </c>
      <c r="O2637" t="n">
        <v>3.72</v>
      </c>
      <c r="P2637" t="n">
        <v>8</v>
      </c>
      <c r="Q2637" t="n">
        <v>1</v>
      </c>
      <c r="R2637" t="n">
        <v>2022.8</v>
      </c>
      <c r="S2637" t="b">
        <v>0</v>
      </c>
      <c r="T2637" t="n">
        <v>1057535</v>
      </c>
      <c r="U2637" t="n">
        <v>9</v>
      </c>
      <c r="V2637" t="n">
        <v>0.0346</v>
      </c>
      <c r="W2637" t="n">
        <v>0.96</v>
      </c>
      <c r="X2637" t="n">
        <v>79.09999999999999</v>
      </c>
      <c r="Y2637">
        <f>VLOOKUP(D2637,$AB$2:$AC$7,2,FALSE)</f>
        <v/>
      </c>
      <c r="Z2637">
        <f>IF(A2637&lt;Y2637,"Yes","No")</f>
        <v/>
      </c>
    </row>
    <row r="2638">
      <c r="A2638" t="n">
        <v>2015</v>
      </c>
      <c r="B2638" t="inlineStr">
        <is>
          <t>Q1</t>
        </is>
      </c>
      <c r="C2638" t="inlineStr">
        <is>
          <t>North America</t>
        </is>
      </c>
      <c r="D2638" t="inlineStr">
        <is>
          <t>Model X</t>
        </is>
      </c>
      <c r="E2638" t="n">
        <v>3192</v>
      </c>
      <c r="F2638" t="n">
        <v>79260.57000000001</v>
      </c>
      <c r="G2638" t="n">
        <v>17</v>
      </c>
      <c r="H2638" t="inlineStr">
        <is>
          <t>Standard</t>
        </is>
      </c>
      <c r="I2638" t="inlineStr">
        <is>
          <t>RWD</t>
        </is>
      </c>
      <c r="J2638" t="inlineStr">
        <is>
          <t>Black</t>
        </is>
      </c>
      <c r="K2638" t="n">
        <v>600</v>
      </c>
      <c r="L2638" t="n">
        <v>43</v>
      </c>
      <c r="M2638" t="n">
        <v>16.25</v>
      </c>
      <c r="N2638" t="n">
        <v>4092.19</v>
      </c>
      <c r="O2638" t="n">
        <v>4.75</v>
      </c>
      <c r="P2638" t="n">
        <v>8</v>
      </c>
      <c r="Q2638" t="n">
        <v>2</v>
      </c>
      <c r="R2638" t="n">
        <v>2022.2</v>
      </c>
      <c r="S2638" t="b">
        <v>1</v>
      </c>
      <c r="T2638" t="n">
        <v>1627176</v>
      </c>
      <c r="U2638" t="n">
        <v>8</v>
      </c>
      <c r="V2638" t="n">
        <v>0.0275</v>
      </c>
      <c r="W2638" t="n">
        <v>1.92</v>
      </c>
      <c r="X2638" t="n">
        <v>87.38</v>
      </c>
      <c r="Y2638">
        <f>VLOOKUP(D2638,$AB$2:$AC$7,2,FALSE)</f>
        <v/>
      </c>
      <c r="Z2638">
        <f>IF(A2638&lt;Y2638,"Yes","No")</f>
        <v/>
      </c>
    </row>
    <row r="2639">
      <c r="A2639" t="n">
        <v>2022</v>
      </c>
      <c r="B2639" t="inlineStr">
        <is>
          <t>Q1</t>
        </is>
      </c>
      <c r="C2639" t="inlineStr">
        <is>
          <t>Asia</t>
        </is>
      </c>
      <c r="D2639" t="inlineStr">
        <is>
          <t>Model S</t>
        </is>
      </c>
      <c r="E2639" t="n">
        <v>4567</v>
      </c>
      <c r="F2639" t="n">
        <v>115493.22</v>
      </c>
      <c r="G2639" t="n">
        <v>48</v>
      </c>
      <c r="H2639" t="inlineStr">
        <is>
          <t>Performance</t>
        </is>
      </c>
      <c r="I2639" t="inlineStr">
        <is>
          <t>AWD</t>
        </is>
      </c>
      <c r="J2639" t="inlineStr">
        <is>
          <t>Black</t>
        </is>
      </c>
      <c r="K2639" t="n">
        <v>664</v>
      </c>
      <c r="L2639" t="n">
        <v>62</v>
      </c>
      <c r="M2639" t="n">
        <v>15.43</v>
      </c>
      <c r="N2639" t="n">
        <v>7676.79</v>
      </c>
      <c r="O2639" t="n">
        <v>3.72</v>
      </c>
      <c r="P2639" t="n">
        <v>5</v>
      </c>
      <c r="Q2639" t="n">
        <v>1</v>
      </c>
      <c r="R2639" t="n">
        <v>2023.1</v>
      </c>
      <c r="S2639" t="b">
        <v>0</v>
      </c>
      <c r="T2639" t="n">
        <v>2800307</v>
      </c>
      <c r="U2639" t="n">
        <v>2</v>
      </c>
      <c r="V2639" t="n">
        <v>0.0295</v>
      </c>
      <c r="W2639" t="n">
        <v>2.5</v>
      </c>
      <c r="X2639" t="n">
        <v>72.29000000000001</v>
      </c>
      <c r="Y2639">
        <f>VLOOKUP(D2639,$AB$2:$AC$7,2,FALSE)</f>
        <v/>
      </c>
      <c r="Z2639">
        <f>IF(A2639&lt;Y2639,"Yes","No")</f>
        <v/>
      </c>
    </row>
    <row r="2640">
      <c r="A2640" t="n">
        <v>2012</v>
      </c>
      <c r="B2640" t="inlineStr">
        <is>
          <t>Q4</t>
        </is>
      </c>
      <c r="C2640" t="inlineStr">
        <is>
          <t>Europe</t>
        </is>
      </c>
      <c r="D2640" t="inlineStr">
        <is>
          <t>Cybertruck</t>
        </is>
      </c>
      <c r="E2640" t="n">
        <v>2497</v>
      </c>
      <c r="F2640" t="n">
        <v>51477.8</v>
      </c>
      <c r="G2640" t="n">
        <v>26</v>
      </c>
      <c r="H2640" t="inlineStr">
        <is>
          <t>Standard</t>
        </is>
      </c>
      <c r="I2640" t="inlineStr">
        <is>
          <t>RWD</t>
        </is>
      </c>
      <c r="J2640" t="inlineStr">
        <is>
          <t>Black</t>
        </is>
      </c>
      <c r="K2640" t="n">
        <v>490</v>
      </c>
      <c r="L2640" t="n">
        <v>51</v>
      </c>
      <c r="M2640" t="n">
        <v>14.48</v>
      </c>
      <c r="N2640" t="n">
        <v>4112.45</v>
      </c>
      <c r="O2640" t="n">
        <v>4.74</v>
      </c>
      <c r="P2640" t="n">
        <v>8</v>
      </c>
      <c r="Q2640" t="n">
        <v>1</v>
      </c>
      <c r="R2640" t="n">
        <v>2024.12</v>
      </c>
      <c r="S2640" t="b">
        <v>0</v>
      </c>
      <c r="T2640" t="n">
        <v>2894713</v>
      </c>
      <c r="U2640" t="n">
        <v>10</v>
      </c>
      <c r="V2640" t="n">
        <v>0.0445</v>
      </c>
      <c r="W2640" t="n">
        <v>1.75</v>
      </c>
      <c r="X2640" t="n">
        <v>67.26000000000001</v>
      </c>
      <c r="Y2640">
        <f>VLOOKUP(D2640,$AB$2:$AC$7,2,FALSE)</f>
        <v/>
      </c>
      <c r="Z2640">
        <f>IF(A2640&lt;Y2640,"Yes","No")</f>
        <v/>
      </c>
    </row>
    <row r="2641">
      <c r="A2641" t="n">
        <v>2018</v>
      </c>
      <c r="B2641" t="inlineStr">
        <is>
          <t>Q1</t>
        </is>
      </c>
      <c r="C2641" t="inlineStr">
        <is>
          <t>Europe</t>
        </is>
      </c>
      <c r="D2641" t="inlineStr">
        <is>
          <t>Model Y</t>
        </is>
      </c>
      <c r="E2641" t="n">
        <v>4253</v>
      </c>
      <c r="F2641" t="n">
        <v>71137.19</v>
      </c>
      <c r="G2641" t="n">
        <v>46</v>
      </c>
      <c r="H2641" t="inlineStr">
        <is>
          <t>Performance</t>
        </is>
      </c>
      <c r="I2641" t="inlineStr">
        <is>
          <t>RWD</t>
        </is>
      </c>
      <c r="J2641" t="inlineStr">
        <is>
          <t>Silver</t>
        </is>
      </c>
      <c r="K2641" t="n">
        <v>575</v>
      </c>
      <c r="L2641" t="n">
        <v>82</v>
      </c>
      <c r="M2641" t="n">
        <v>18.03</v>
      </c>
      <c r="N2641" t="n">
        <v>9600.290000000001</v>
      </c>
      <c r="O2641" t="n">
        <v>4.58</v>
      </c>
      <c r="P2641" t="n">
        <v>4</v>
      </c>
      <c r="Q2641" t="n">
        <v>1</v>
      </c>
      <c r="R2641" t="n">
        <v>2024.1</v>
      </c>
      <c r="S2641" t="b">
        <v>0</v>
      </c>
      <c r="T2641" t="n">
        <v>3024308</v>
      </c>
      <c r="U2641" t="n">
        <v>7</v>
      </c>
      <c r="V2641" t="n">
        <v>0.0806</v>
      </c>
      <c r="W2641" t="n">
        <v>0.82</v>
      </c>
      <c r="X2641" t="n">
        <v>63.75</v>
      </c>
      <c r="Y2641">
        <f>VLOOKUP(D2641,$AB$2:$AC$7,2,FALSE)</f>
        <v/>
      </c>
      <c r="Z2641">
        <f>IF(A2641&lt;Y2641,"Yes","No")</f>
        <v/>
      </c>
    </row>
    <row r="2642">
      <c r="A2642" t="n">
        <v>2012</v>
      </c>
      <c r="B2642" t="inlineStr">
        <is>
          <t>Q3</t>
        </is>
      </c>
      <c r="C2642" t="inlineStr">
        <is>
          <t>Europe</t>
        </is>
      </c>
      <c r="D2642" t="inlineStr">
        <is>
          <t>Model S</t>
        </is>
      </c>
      <c r="E2642" t="n">
        <v>3308</v>
      </c>
      <c r="F2642" t="n">
        <v>107813.82</v>
      </c>
      <c r="G2642" t="n">
        <v>21</v>
      </c>
      <c r="H2642" t="inlineStr">
        <is>
          <t>Long Range</t>
        </is>
      </c>
      <c r="I2642" t="inlineStr">
        <is>
          <t>RWD</t>
        </is>
      </c>
      <c r="J2642" t="inlineStr">
        <is>
          <t>Blue</t>
        </is>
      </c>
      <c r="K2642" t="n">
        <v>633</v>
      </c>
      <c r="L2642" t="n">
        <v>73</v>
      </c>
      <c r="M2642" t="n">
        <v>17.05</v>
      </c>
      <c r="N2642" t="n">
        <v>4589.08</v>
      </c>
      <c r="O2642" t="n">
        <v>3.66</v>
      </c>
      <c r="P2642" t="n">
        <v>6</v>
      </c>
      <c r="Q2642" t="n">
        <v>0</v>
      </c>
      <c r="R2642" t="n">
        <v>2020.3</v>
      </c>
      <c r="S2642" t="b">
        <v>1</v>
      </c>
      <c r="T2642" t="n">
        <v>4599639</v>
      </c>
      <c r="U2642" t="n">
        <v>12</v>
      </c>
      <c r="V2642" t="n">
        <v>0.0858</v>
      </c>
      <c r="W2642" t="n">
        <v>0.63</v>
      </c>
      <c r="X2642" t="n">
        <v>68.09999999999999</v>
      </c>
      <c r="Y2642">
        <f>VLOOKUP(D2642,$AB$2:$AC$7,2,FALSE)</f>
        <v/>
      </c>
      <c r="Z2642">
        <f>IF(A2642&lt;Y2642,"Yes","No")</f>
        <v/>
      </c>
    </row>
    <row r="2643">
      <c r="A2643" t="n">
        <v>2015</v>
      </c>
      <c r="B2643" t="inlineStr">
        <is>
          <t>Q3</t>
        </is>
      </c>
      <c r="C2643" t="inlineStr">
        <is>
          <t>Europe</t>
        </is>
      </c>
      <c r="D2643" t="inlineStr">
        <is>
          <t>Model X</t>
        </is>
      </c>
      <c r="E2643" t="n">
        <v>3744</v>
      </c>
      <c r="F2643" t="n">
        <v>87700.17</v>
      </c>
      <c r="G2643" t="n">
        <v>20</v>
      </c>
      <c r="H2643" t="inlineStr">
        <is>
          <t>Performance</t>
        </is>
      </c>
      <c r="I2643" t="inlineStr">
        <is>
          <t>RWD</t>
        </is>
      </c>
      <c r="J2643" t="inlineStr">
        <is>
          <t>White</t>
        </is>
      </c>
      <c r="K2643" t="n">
        <v>531</v>
      </c>
      <c r="L2643" t="n">
        <v>32</v>
      </c>
      <c r="M2643" t="n">
        <v>22.67</v>
      </c>
      <c r="N2643" t="n">
        <v>4294.64</v>
      </c>
      <c r="O2643" t="n">
        <v>3.89</v>
      </c>
      <c r="P2643" t="n">
        <v>6</v>
      </c>
      <c r="Q2643" t="n">
        <v>0</v>
      </c>
      <c r="R2643" t="n">
        <v>2023.1</v>
      </c>
      <c r="S2643" t="b">
        <v>1</v>
      </c>
      <c r="T2643" t="n">
        <v>2666293</v>
      </c>
      <c r="U2643" t="n">
        <v>5</v>
      </c>
      <c r="V2643" t="n">
        <v>0.0622</v>
      </c>
      <c r="W2643" t="n">
        <v>1.6</v>
      </c>
      <c r="X2643" t="n">
        <v>75.45</v>
      </c>
      <c r="Y2643">
        <f>VLOOKUP(D2643,$AB$2:$AC$7,2,FALSE)</f>
        <v/>
      </c>
      <c r="Z2643">
        <f>IF(A2643&lt;Y2643,"Yes","No")</f>
        <v/>
      </c>
    </row>
    <row r="2644">
      <c r="A2644" t="n">
        <v>2020</v>
      </c>
      <c r="B2644" t="inlineStr">
        <is>
          <t>Q3</t>
        </is>
      </c>
      <c r="C2644" t="inlineStr">
        <is>
          <t>South America</t>
        </is>
      </c>
      <c r="D2644" t="inlineStr">
        <is>
          <t>Semi</t>
        </is>
      </c>
      <c r="E2644" t="n">
        <v>4512</v>
      </c>
      <c r="F2644" t="n">
        <v>108636.07</v>
      </c>
      <c r="G2644" t="n">
        <v>19</v>
      </c>
      <c r="H2644" t="inlineStr">
        <is>
          <t>Long Range</t>
        </is>
      </c>
      <c r="I2644" t="inlineStr">
        <is>
          <t>AWD</t>
        </is>
      </c>
      <c r="J2644" t="inlineStr">
        <is>
          <t>Blue</t>
        </is>
      </c>
      <c r="K2644" t="n">
        <v>369</v>
      </c>
      <c r="L2644" t="n">
        <v>39</v>
      </c>
      <c r="M2644" t="n">
        <v>22.46</v>
      </c>
      <c r="N2644" t="n">
        <v>7487.97</v>
      </c>
      <c r="O2644" t="n">
        <v>4.9</v>
      </c>
      <c r="P2644" t="n">
        <v>6</v>
      </c>
      <c r="Q2644" t="n">
        <v>2</v>
      </c>
      <c r="R2644" t="n">
        <v>2020.6</v>
      </c>
      <c r="S2644" t="b">
        <v>1</v>
      </c>
      <c r="T2644" t="n">
        <v>983221</v>
      </c>
      <c r="U2644" t="n">
        <v>11</v>
      </c>
      <c r="V2644" t="n">
        <v>0.0574</v>
      </c>
      <c r="W2644" t="n">
        <v>1.73</v>
      </c>
      <c r="X2644" t="n">
        <v>65.62</v>
      </c>
      <c r="Y2644">
        <f>VLOOKUP(D2644,$AB$2:$AC$7,2,FALSE)</f>
        <v/>
      </c>
      <c r="Z2644">
        <f>IF(A2644&lt;Y2644,"Yes","No")</f>
        <v/>
      </c>
    </row>
    <row r="2645">
      <c r="A2645" t="n">
        <v>2012</v>
      </c>
      <c r="B2645" t="inlineStr">
        <is>
          <t>Q4</t>
        </is>
      </c>
      <c r="C2645" t="inlineStr">
        <is>
          <t>Australia</t>
        </is>
      </c>
      <c r="D2645" t="inlineStr">
        <is>
          <t>Model Y</t>
        </is>
      </c>
      <c r="E2645" t="n">
        <v>1639</v>
      </c>
      <c r="F2645" t="n">
        <v>39341.83</v>
      </c>
      <c r="G2645" t="n">
        <v>57</v>
      </c>
      <c r="H2645" t="inlineStr">
        <is>
          <t>Performance</t>
        </is>
      </c>
      <c r="I2645" t="inlineStr">
        <is>
          <t>AWD</t>
        </is>
      </c>
      <c r="J2645" t="inlineStr">
        <is>
          <t>White</t>
        </is>
      </c>
      <c r="K2645" t="n">
        <v>467</v>
      </c>
      <c r="L2645" t="n">
        <v>31</v>
      </c>
      <c r="M2645" t="n">
        <v>14.95</v>
      </c>
      <c r="N2645" t="n">
        <v>2720.44</v>
      </c>
      <c r="O2645" t="n">
        <v>3.81</v>
      </c>
      <c r="P2645" t="n">
        <v>8</v>
      </c>
      <c r="Q2645" t="n">
        <v>3</v>
      </c>
      <c r="R2645" t="n">
        <v>2023.1</v>
      </c>
      <c r="S2645" t="b">
        <v>0</v>
      </c>
      <c r="T2645" t="n">
        <v>1283548</v>
      </c>
      <c r="U2645" t="n">
        <v>11</v>
      </c>
      <c r="V2645" t="n">
        <v>0.0544</v>
      </c>
      <c r="W2645" t="n">
        <v>0.77</v>
      </c>
      <c r="X2645" t="n">
        <v>67.02</v>
      </c>
      <c r="Y2645">
        <f>VLOOKUP(D2645,$AB$2:$AC$7,2,FALSE)</f>
        <v/>
      </c>
      <c r="Z2645">
        <f>IF(A2645&lt;Y2645,"Yes","No")</f>
        <v/>
      </c>
    </row>
    <row r="2646">
      <c r="A2646" t="n">
        <v>2016</v>
      </c>
      <c r="B2646" t="inlineStr">
        <is>
          <t>Q1</t>
        </is>
      </c>
      <c r="C2646" t="inlineStr">
        <is>
          <t>Europe</t>
        </is>
      </c>
      <c r="D2646" t="inlineStr">
        <is>
          <t>Semi</t>
        </is>
      </c>
      <c r="E2646" t="n">
        <v>3727</v>
      </c>
      <c r="F2646" t="n">
        <v>84974.83</v>
      </c>
      <c r="G2646" t="n">
        <v>6</v>
      </c>
      <c r="H2646" t="inlineStr">
        <is>
          <t>Standard</t>
        </is>
      </c>
      <c r="I2646" t="inlineStr">
        <is>
          <t>AWD</t>
        </is>
      </c>
      <c r="J2646" t="inlineStr">
        <is>
          <t>White</t>
        </is>
      </c>
      <c r="K2646" t="n">
        <v>462</v>
      </c>
      <c r="L2646" t="n">
        <v>88</v>
      </c>
      <c r="M2646" t="n">
        <v>15.98</v>
      </c>
      <c r="N2646" t="n">
        <v>7101.8</v>
      </c>
      <c r="O2646" t="n">
        <v>4.28</v>
      </c>
      <c r="P2646" t="n">
        <v>6</v>
      </c>
      <c r="Q2646" t="n">
        <v>0</v>
      </c>
      <c r="R2646" t="n">
        <v>2022.2</v>
      </c>
      <c r="S2646" t="b">
        <v>0</v>
      </c>
      <c r="T2646" t="n">
        <v>1549569</v>
      </c>
      <c r="U2646" t="n">
        <v>9</v>
      </c>
      <c r="V2646" t="n">
        <v>0.0348</v>
      </c>
      <c r="W2646" t="n">
        <v>0.77</v>
      </c>
      <c r="X2646" t="n">
        <v>63.86</v>
      </c>
      <c r="Y2646">
        <f>VLOOKUP(D2646,$AB$2:$AC$7,2,FALSE)</f>
        <v/>
      </c>
      <c r="Z2646">
        <f>IF(A2646&lt;Y2646,"Yes","No")</f>
        <v/>
      </c>
    </row>
    <row r="2647">
      <c r="A2647" t="n">
        <v>2013</v>
      </c>
      <c r="B2647" t="inlineStr">
        <is>
          <t>Q1</t>
        </is>
      </c>
      <c r="C2647" t="inlineStr">
        <is>
          <t>Asia</t>
        </is>
      </c>
      <c r="D2647" t="inlineStr">
        <is>
          <t>Model X</t>
        </is>
      </c>
      <c r="E2647" t="n">
        <v>2274</v>
      </c>
      <c r="F2647" t="n">
        <v>61353.25</v>
      </c>
      <c r="G2647" t="n">
        <v>58</v>
      </c>
      <c r="H2647" t="inlineStr">
        <is>
          <t>Performance</t>
        </is>
      </c>
      <c r="I2647" t="inlineStr">
        <is>
          <t>RWD</t>
        </is>
      </c>
      <c r="J2647" t="inlineStr">
        <is>
          <t>Red</t>
        </is>
      </c>
      <c r="K2647" t="n">
        <v>424</v>
      </c>
      <c r="L2647" t="n">
        <v>73</v>
      </c>
      <c r="M2647" t="n">
        <v>16.58</v>
      </c>
      <c r="N2647" t="n">
        <v>2990.93</v>
      </c>
      <c r="O2647" t="n">
        <v>3.61</v>
      </c>
      <c r="P2647" t="n">
        <v>4</v>
      </c>
      <c r="Q2647" t="n">
        <v>3</v>
      </c>
      <c r="R2647" t="n">
        <v>2024.2</v>
      </c>
      <c r="S2647" t="b">
        <v>1</v>
      </c>
      <c r="T2647" t="n">
        <v>4250324</v>
      </c>
      <c r="U2647" t="n">
        <v>3</v>
      </c>
      <c r="V2647" t="n">
        <v>0.0322</v>
      </c>
      <c r="W2647" t="n">
        <v>1.46</v>
      </c>
      <c r="X2647" t="n">
        <v>80.34999999999999</v>
      </c>
      <c r="Y2647">
        <f>VLOOKUP(D2647,$AB$2:$AC$7,2,FALSE)</f>
        <v/>
      </c>
      <c r="Z2647">
        <f>IF(A2647&lt;Y2647,"Yes","No")</f>
        <v/>
      </c>
    </row>
    <row r="2648">
      <c r="A2648" t="n">
        <v>2023</v>
      </c>
      <c r="B2648" t="inlineStr">
        <is>
          <t>Q4</t>
        </is>
      </c>
      <c r="C2648" t="inlineStr">
        <is>
          <t>Europe</t>
        </is>
      </c>
      <c r="D2648" t="inlineStr">
        <is>
          <t>Model S</t>
        </is>
      </c>
      <c r="E2648" t="n">
        <v>2793</v>
      </c>
      <c r="F2648" t="n">
        <v>114907.07</v>
      </c>
      <c r="G2648" t="n">
        <v>45</v>
      </c>
      <c r="H2648" t="inlineStr">
        <is>
          <t>Long Range</t>
        </is>
      </c>
      <c r="I2648" t="inlineStr">
        <is>
          <t>RWD</t>
        </is>
      </c>
      <c r="J2648" t="inlineStr">
        <is>
          <t>Red</t>
        </is>
      </c>
      <c r="K2648" t="n">
        <v>578</v>
      </c>
      <c r="L2648" t="n">
        <v>42</v>
      </c>
      <c r="M2648" t="n">
        <v>23.38</v>
      </c>
      <c r="N2648" t="n">
        <v>2356.94</v>
      </c>
      <c r="O2648" t="n">
        <v>3.96</v>
      </c>
      <c r="P2648" t="n">
        <v>5</v>
      </c>
      <c r="Q2648" t="n">
        <v>1</v>
      </c>
      <c r="R2648" t="n">
        <v>2022.1</v>
      </c>
      <c r="S2648" t="b">
        <v>0</v>
      </c>
      <c r="T2648" t="n">
        <v>2645072</v>
      </c>
      <c r="U2648" t="n">
        <v>2</v>
      </c>
      <c r="V2648" t="n">
        <v>0.0192</v>
      </c>
      <c r="W2648" t="n">
        <v>0.65</v>
      </c>
      <c r="X2648" t="n">
        <v>76.67</v>
      </c>
      <c r="Y2648">
        <f>VLOOKUP(D2648,$AB$2:$AC$7,2,FALSE)</f>
        <v/>
      </c>
      <c r="Z2648">
        <f>IF(A2648&lt;Y2648,"Yes","No")</f>
        <v/>
      </c>
    </row>
    <row r="2649">
      <c r="A2649" t="n">
        <v>2018</v>
      </c>
      <c r="B2649" t="inlineStr">
        <is>
          <t>Q2</t>
        </is>
      </c>
      <c r="C2649" t="inlineStr">
        <is>
          <t>Asia</t>
        </is>
      </c>
      <c r="D2649" t="inlineStr">
        <is>
          <t>Model 3</t>
        </is>
      </c>
      <c r="E2649" t="n">
        <v>3326</v>
      </c>
      <c r="F2649" t="n">
        <v>40894.83</v>
      </c>
      <c r="G2649" t="n">
        <v>21</v>
      </c>
      <c r="H2649" t="inlineStr">
        <is>
          <t>Long Range</t>
        </is>
      </c>
      <c r="I2649" t="inlineStr">
        <is>
          <t>AWD</t>
        </is>
      </c>
      <c r="J2649" t="inlineStr">
        <is>
          <t>Red</t>
        </is>
      </c>
      <c r="K2649" t="n">
        <v>430</v>
      </c>
      <c r="L2649" t="n">
        <v>68</v>
      </c>
      <c r="M2649" t="n">
        <v>13.19</v>
      </c>
      <c r="N2649" t="n">
        <v>3251.65</v>
      </c>
      <c r="O2649" t="n">
        <v>4.87</v>
      </c>
      <c r="P2649" t="n">
        <v>8</v>
      </c>
      <c r="Q2649" t="n">
        <v>3</v>
      </c>
      <c r="R2649" t="n">
        <v>2023.8</v>
      </c>
      <c r="S2649" t="b">
        <v>0</v>
      </c>
      <c r="T2649" t="n">
        <v>2996045</v>
      </c>
      <c r="U2649" t="n">
        <v>8</v>
      </c>
      <c r="V2649" t="n">
        <v>0.0364</v>
      </c>
      <c r="W2649" t="n">
        <v>2.29</v>
      </c>
      <c r="X2649" t="n">
        <v>89.01000000000001</v>
      </c>
      <c r="Y2649">
        <f>VLOOKUP(D2649,$AB$2:$AC$7,2,FALSE)</f>
        <v/>
      </c>
      <c r="Z2649">
        <f>IF(A2649&lt;Y2649,"Yes","No")</f>
        <v/>
      </c>
    </row>
    <row r="2650">
      <c r="A2650" t="n">
        <v>2020</v>
      </c>
      <c r="B2650" t="inlineStr">
        <is>
          <t>Q2</t>
        </is>
      </c>
      <c r="C2650" t="inlineStr">
        <is>
          <t>Australia</t>
        </is>
      </c>
      <c r="D2650" t="inlineStr">
        <is>
          <t>Model 3</t>
        </is>
      </c>
      <c r="E2650" t="n">
        <v>1739</v>
      </c>
      <c r="F2650" t="n">
        <v>99908.91</v>
      </c>
      <c r="G2650" t="n">
        <v>9</v>
      </c>
      <c r="H2650" t="inlineStr">
        <is>
          <t>Standard</t>
        </is>
      </c>
      <c r="I2650" t="inlineStr">
        <is>
          <t>RWD</t>
        </is>
      </c>
      <c r="J2650" t="inlineStr">
        <is>
          <t>Silver</t>
        </is>
      </c>
      <c r="K2650" t="n">
        <v>398</v>
      </c>
      <c r="L2650" t="n">
        <v>56</v>
      </c>
      <c r="M2650" t="n">
        <v>19.09</v>
      </c>
      <c r="N2650" t="n">
        <v>2103.03</v>
      </c>
      <c r="O2650" t="n">
        <v>3.63</v>
      </c>
      <c r="P2650" t="n">
        <v>4</v>
      </c>
      <c r="Q2650" t="n">
        <v>3</v>
      </c>
      <c r="R2650" t="n">
        <v>2020.2</v>
      </c>
      <c r="S2650" t="b">
        <v>0</v>
      </c>
      <c r="T2650" t="n">
        <v>3291069</v>
      </c>
      <c r="U2650" t="n">
        <v>3</v>
      </c>
      <c r="V2650" t="n">
        <v>0.0935</v>
      </c>
      <c r="W2650" t="n">
        <v>1.44</v>
      </c>
      <c r="X2650" t="n">
        <v>88.90000000000001</v>
      </c>
      <c r="Y2650">
        <f>VLOOKUP(D2650,$AB$2:$AC$7,2,FALSE)</f>
        <v/>
      </c>
      <c r="Z2650">
        <f>IF(A2650&lt;Y2650,"Yes","No")</f>
        <v/>
      </c>
    </row>
    <row r="2651">
      <c r="A2651" t="n">
        <v>2024</v>
      </c>
      <c r="B2651" t="inlineStr">
        <is>
          <t>Q2</t>
        </is>
      </c>
      <c r="C2651" t="inlineStr">
        <is>
          <t>Australia</t>
        </is>
      </c>
      <c r="D2651" t="inlineStr">
        <is>
          <t>Semi</t>
        </is>
      </c>
      <c r="E2651" t="n">
        <v>1921</v>
      </c>
      <c r="F2651" t="n">
        <v>110650.73</v>
      </c>
      <c r="G2651" t="n">
        <v>8</v>
      </c>
      <c r="H2651" t="inlineStr">
        <is>
          <t>Long Range</t>
        </is>
      </c>
      <c r="I2651" t="inlineStr">
        <is>
          <t>RWD</t>
        </is>
      </c>
      <c r="J2651" t="inlineStr">
        <is>
          <t>Blue</t>
        </is>
      </c>
      <c r="K2651" t="n">
        <v>625</v>
      </c>
      <c r="L2651" t="n">
        <v>79</v>
      </c>
      <c r="M2651" t="n">
        <v>15.77</v>
      </c>
      <c r="N2651" t="n">
        <v>2131.65</v>
      </c>
      <c r="O2651" t="n">
        <v>4.53</v>
      </c>
      <c r="P2651" t="n">
        <v>8</v>
      </c>
      <c r="Q2651" t="n">
        <v>2</v>
      </c>
      <c r="R2651" t="n">
        <v>2021.6</v>
      </c>
      <c r="S2651" t="b">
        <v>1</v>
      </c>
      <c r="T2651" t="n">
        <v>4362823</v>
      </c>
      <c r="U2651" t="n">
        <v>10</v>
      </c>
      <c r="V2651" t="n">
        <v>0.0761</v>
      </c>
      <c r="W2651" t="n">
        <v>0.98</v>
      </c>
      <c r="X2651" t="n">
        <v>83.22</v>
      </c>
      <c r="Y2651">
        <f>VLOOKUP(D2651,$AB$2:$AC$7,2,FALSE)</f>
        <v/>
      </c>
      <c r="Z2651">
        <f>IF(A2651&lt;Y2651,"Yes","No")</f>
        <v/>
      </c>
    </row>
    <row r="2652">
      <c r="A2652" t="n">
        <v>2022</v>
      </c>
      <c r="B2652" t="inlineStr">
        <is>
          <t>Q2</t>
        </is>
      </c>
      <c r="C2652" t="inlineStr">
        <is>
          <t>South America</t>
        </is>
      </c>
      <c r="D2652" t="inlineStr">
        <is>
          <t>Model Y</t>
        </is>
      </c>
      <c r="E2652" t="n">
        <v>4729</v>
      </c>
      <c r="F2652" t="n">
        <v>71707.78</v>
      </c>
      <c r="G2652" t="n">
        <v>40</v>
      </c>
      <c r="H2652" t="inlineStr">
        <is>
          <t>Performance</t>
        </is>
      </c>
      <c r="I2652" t="inlineStr">
        <is>
          <t>RWD</t>
        </is>
      </c>
      <c r="J2652" t="inlineStr">
        <is>
          <t>Green</t>
        </is>
      </c>
      <c r="K2652" t="n">
        <v>693</v>
      </c>
      <c r="L2652" t="n">
        <v>58</v>
      </c>
      <c r="M2652" t="n">
        <v>21.13</v>
      </c>
      <c r="N2652" t="n">
        <v>7004.85</v>
      </c>
      <c r="O2652" t="n">
        <v>4.92</v>
      </c>
      <c r="P2652" t="n">
        <v>5</v>
      </c>
      <c r="Q2652" t="n">
        <v>3</v>
      </c>
      <c r="R2652" t="n">
        <v>2021.5</v>
      </c>
      <c r="S2652" t="b">
        <v>1</v>
      </c>
      <c r="T2652" t="n">
        <v>1489941</v>
      </c>
      <c r="U2652" t="n">
        <v>12</v>
      </c>
      <c r="V2652" t="n">
        <v>0.0178</v>
      </c>
      <c r="W2652" t="n">
        <v>0.96</v>
      </c>
      <c r="X2652" t="n">
        <v>69.17</v>
      </c>
      <c r="Y2652">
        <f>VLOOKUP(D2652,$AB$2:$AC$7,2,FALSE)</f>
        <v/>
      </c>
      <c r="Z2652">
        <f>IF(A2652&lt;Y2652,"Yes","No")</f>
        <v/>
      </c>
    </row>
    <row r="2653">
      <c r="A2653" t="n">
        <v>2012</v>
      </c>
      <c r="B2653" t="inlineStr">
        <is>
          <t>Q4</t>
        </is>
      </c>
      <c r="C2653" t="inlineStr">
        <is>
          <t>North America</t>
        </is>
      </c>
      <c r="D2653" t="inlineStr">
        <is>
          <t>Cybertruck</t>
        </is>
      </c>
      <c r="E2653" t="n">
        <v>3350</v>
      </c>
      <c r="F2653" t="n">
        <v>93240.89999999999</v>
      </c>
      <c r="G2653" t="n">
        <v>41</v>
      </c>
      <c r="H2653" t="inlineStr">
        <is>
          <t>Long Range</t>
        </is>
      </c>
      <c r="I2653" t="inlineStr">
        <is>
          <t>RWD</t>
        </is>
      </c>
      <c r="J2653" t="inlineStr">
        <is>
          <t>Red</t>
        </is>
      </c>
      <c r="K2653" t="n">
        <v>533</v>
      </c>
      <c r="L2653" t="n">
        <v>55</v>
      </c>
      <c r="M2653" t="n">
        <v>20.06</v>
      </c>
      <c r="N2653" t="n">
        <v>7779.96</v>
      </c>
      <c r="O2653" t="n">
        <v>4.87</v>
      </c>
      <c r="P2653" t="n">
        <v>6</v>
      </c>
      <c r="Q2653" t="n">
        <v>2</v>
      </c>
      <c r="R2653" t="n">
        <v>2020.6</v>
      </c>
      <c r="S2653" t="b">
        <v>0</v>
      </c>
      <c r="T2653" t="n">
        <v>3107504</v>
      </c>
      <c r="U2653" t="n">
        <v>12</v>
      </c>
      <c r="V2653" t="n">
        <v>0.0571</v>
      </c>
      <c r="W2653" t="n">
        <v>1.26</v>
      </c>
      <c r="X2653" t="n">
        <v>87.19</v>
      </c>
      <c r="Y2653">
        <f>VLOOKUP(D2653,$AB$2:$AC$7,2,FALSE)</f>
        <v/>
      </c>
      <c r="Z2653">
        <f>IF(A2653&lt;Y2653,"Yes","No")</f>
        <v/>
      </c>
    </row>
    <row r="2654">
      <c r="A2654" t="n">
        <v>2018</v>
      </c>
      <c r="B2654" t="inlineStr">
        <is>
          <t>Q1</t>
        </is>
      </c>
      <c r="C2654" t="inlineStr">
        <is>
          <t>Europe</t>
        </is>
      </c>
      <c r="D2654" t="inlineStr">
        <is>
          <t>Model X</t>
        </is>
      </c>
      <c r="E2654" t="n">
        <v>1872</v>
      </c>
      <c r="F2654" t="n">
        <v>88433.75</v>
      </c>
      <c r="G2654" t="n">
        <v>33</v>
      </c>
      <c r="H2654" t="inlineStr">
        <is>
          <t>Performance</t>
        </is>
      </c>
      <c r="I2654" t="inlineStr">
        <is>
          <t>AWD</t>
        </is>
      </c>
      <c r="J2654" t="inlineStr">
        <is>
          <t>Black</t>
        </is>
      </c>
      <c r="K2654" t="n">
        <v>523</v>
      </c>
      <c r="L2654" t="n">
        <v>65</v>
      </c>
      <c r="M2654" t="n">
        <v>24.17</v>
      </c>
      <c r="N2654" t="n">
        <v>1630.15</v>
      </c>
      <c r="O2654" t="n">
        <v>4.8</v>
      </c>
      <c r="P2654" t="n">
        <v>5</v>
      </c>
      <c r="Q2654" t="n">
        <v>0</v>
      </c>
      <c r="R2654" t="n">
        <v>2024.8</v>
      </c>
      <c r="S2654" t="b">
        <v>0</v>
      </c>
      <c r="T2654" t="n">
        <v>4087319</v>
      </c>
      <c r="U2654" t="n">
        <v>8</v>
      </c>
      <c r="V2654" t="n">
        <v>0.0143</v>
      </c>
      <c r="W2654" t="n">
        <v>1.97</v>
      </c>
      <c r="X2654" t="n">
        <v>61.75</v>
      </c>
      <c r="Y2654">
        <f>VLOOKUP(D2654,$AB$2:$AC$7,2,FALSE)</f>
        <v/>
      </c>
      <c r="Z2654">
        <f>IF(A2654&lt;Y2654,"Yes","No")</f>
        <v/>
      </c>
    </row>
    <row r="2655">
      <c r="A2655" t="n">
        <v>2014</v>
      </c>
      <c r="B2655" t="inlineStr">
        <is>
          <t>Q3</t>
        </is>
      </c>
      <c r="C2655" t="inlineStr">
        <is>
          <t>North America</t>
        </is>
      </c>
      <c r="D2655" t="inlineStr">
        <is>
          <t>Model X</t>
        </is>
      </c>
      <c r="E2655" t="n">
        <v>1249</v>
      </c>
      <c r="F2655" t="n">
        <v>93898.75</v>
      </c>
      <c r="G2655" t="n">
        <v>26</v>
      </c>
      <c r="H2655" t="inlineStr">
        <is>
          <t>Long Range</t>
        </is>
      </c>
      <c r="I2655" t="inlineStr">
        <is>
          <t>RWD</t>
        </is>
      </c>
      <c r="J2655" t="inlineStr">
        <is>
          <t>Black</t>
        </is>
      </c>
      <c r="K2655" t="n">
        <v>566</v>
      </c>
      <c r="L2655" t="n">
        <v>34</v>
      </c>
      <c r="M2655" t="n">
        <v>23.45</v>
      </c>
      <c r="N2655" t="n">
        <v>761.4</v>
      </c>
      <c r="O2655" t="n">
        <v>4.11</v>
      </c>
      <c r="P2655" t="n">
        <v>5</v>
      </c>
      <c r="Q2655" t="n">
        <v>0</v>
      </c>
      <c r="R2655" t="n">
        <v>2020.8</v>
      </c>
      <c r="S2655" t="b">
        <v>1</v>
      </c>
      <c r="T2655" t="n">
        <v>2663360</v>
      </c>
      <c r="U2655" t="n">
        <v>9</v>
      </c>
      <c r="V2655" t="n">
        <v>0.091</v>
      </c>
      <c r="W2655" t="n">
        <v>2.29</v>
      </c>
      <c r="X2655" t="n">
        <v>89.15000000000001</v>
      </c>
      <c r="Y2655">
        <f>VLOOKUP(D2655,$AB$2:$AC$7,2,FALSE)</f>
        <v/>
      </c>
      <c r="Z2655">
        <f>IF(A2655&lt;Y2655,"Yes","No")</f>
        <v/>
      </c>
    </row>
    <row r="2656">
      <c r="A2656" t="n">
        <v>2012</v>
      </c>
      <c r="B2656" t="inlineStr">
        <is>
          <t>Q3</t>
        </is>
      </c>
      <c r="C2656" t="inlineStr">
        <is>
          <t>Europe</t>
        </is>
      </c>
      <c r="D2656" t="inlineStr">
        <is>
          <t>Model S</t>
        </is>
      </c>
      <c r="E2656" t="n">
        <v>1834</v>
      </c>
      <c r="F2656" t="n">
        <v>87421.77</v>
      </c>
      <c r="G2656" t="n">
        <v>30</v>
      </c>
      <c r="H2656" t="inlineStr">
        <is>
          <t>Performance</t>
        </is>
      </c>
      <c r="I2656" t="inlineStr">
        <is>
          <t>AWD</t>
        </is>
      </c>
      <c r="J2656" t="inlineStr">
        <is>
          <t>Blue</t>
        </is>
      </c>
      <c r="K2656" t="n">
        <v>495</v>
      </c>
      <c r="L2656" t="n">
        <v>60</v>
      </c>
      <c r="M2656" t="n">
        <v>17.51</v>
      </c>
      <c r="N2656" t="n">
        <v>3826.57</v>
      </c>
      <c r="O2656" t="n">
        <v>4.4</v>
      </c>
      <c r="P2656" t="n">
        <v>5</v>
      </c>
      <c r="Q2656" t="n">
        <v>3</v>
      </c>
      <c r="R2656" t="n">
        <v>2023.12</v>
      </c>
      <c r="S2656" t="b">
        <v>0</v>
      </c>
      <c r="T2656" t="n">
        <v>1655553</v>
      </c>
      <c r="U2656" t="n">
        <v>6</v>
      </c>
      <c r="V2656" t="n">
        <v>0.0795</v>
      </c>
      <c r="W2656" t="n">
        <v>0.85</v>
      </c>
      <c r="X2656" t="n">
        <v>67.70999999999999</v>
      </c>
      <c r="Y2656">
        <f>VLOOKUP(D2656,$AB$2:$AC$7,2,FALSE)</f>
        <v/>
      </c>
      <c r="Z2656">
        <f>IF(A2656&lt;Y2656,"Yes","No")</f>
        <v/>
      </c>
    </row>
    <row r="2657">
      <c r="A2657" t="n">
        <v>2019</v>
      </c>
      <c r="B2657" t="inlineStr">
        <is>
          <t>Q3</t>
        </is>
      </c>
      <c r="C2657" t="inlineStr">
        <is>
          <t>North America</t>
        </is>
      </c>
      <c r="D2657" t="inlineStr">
        <is>
          <t>Model 3</t>
        </is>
      </c>
      <c r="E2657" t="n">
        <v>4463</v>
      </c>
      <c r="F2657" t="n">
        <v>91704.44</v>
      </c>
      <c r="G2657" t="n">
        <v>40</v>
      </c>
      <c r="H2657" t="inlineStr">
        <is>
          <t>Long Range</t>
        </is>
      </c>
      <c r="I2657" t="inlineStr">
        <is>
          <t>AWD</t>
        </is>
      </c>
      <c r="J2657" t="inlineStr">
        <is>
          <t>Black</t>
        </is>
      </c>
      <c r="K2657" t="n">
        <v>608</v>
      </c>
      <c r="L2657" t="n">
        <v>39</v>
      </c>
      <c r="M2657" t="n">
        <v>18.12</v>
      </c>
      <c r="N2657" t="n">
        <v>3174.18</v>
      </c>
      <c r="O2657" t="n">
        <v>3.92</v>
      </c>
      <c r="P2657" t="n">
        <v>8</v>
      </c>
      <c r="Q2657" t="n">
        <v>3</v>
      </c>
      <c r="R2657" t="n">
        <v>2024.1</v>
      </c>
      <c r="S2657" t="b">
        <v>0</v>
      </c>
      <c r="T2657" t="n">
        <v>4336336</v>
      </c>
      <c r="U2657" t="n">
        <v>3</v>
      </c>
      <c r="V2657" t="n">
        <v>0.0625</v>
      </c>
      <c r="W2657" t="n">
        <v>1.89</v>
      </c>
      <c r="X2657" t="n">
        <v>61.12</v>
      </c>
      <c r="Y2657">
        <f>VLOOKUP(D2657,$AB$2:$AC$7,2,FALSE)</f>
        <v/>
      </c>
      <c r="Z2657">
        <f>IF(A2657&lt;Y2657,"Yes","No")</f>
        <v/>
      </c>
    </row>
    <row r="2658">
      <c r="A2658" t="n">
        <v>2023</v>
      </c>
      <c r="B2658" t="inlineStr">
        <is>
          <t>Q1</t>
        </is>
      </c>
      <c r="C2658" t="inlineStr">
        <is>
          <t>Europe</t>
        </is>
      </c>
      <c r="D2658" t="inlineStr">
        <is>
          <t>Model Y</t>
        </is>
      </c>
      <c r="E2658" t="n">
        <v>2892</v>
      </c>
      <c r="F2658" t="n">
        <v>69143.64</v>
      </c>
      <c r="G2658" t="n">
        <v>5</v>
      </c>
      <c r="H2658" t="inlineStr">
        <is>
          <t>Performance</t>
        </is>
      </c>
      <c r="I2658" t="inlineStr">
        <is>
          <t>AWD</t>
        </is>
      </c>
      <c r="J2658" t="inlineStr">
        <is>
          <t>White</t>
        </is>
      </c>
      <c r="K2658" t="n">
        <v>368</v>
      </c>
      <c r="L2658" t="n">
        <v>65</v>
      </c>
      <c r="M2658" t="n">
        <v>18.1</v>
      </c>
      <c r="N2658" t="n">
        <v>6265.56</v>
      </c>
      <c r="O2658" t="n">
        <v>3.78</v>
      </c>
      <c r="P2658" t="n">
        <v>6</v>
      </c>
      <c r="Q2658" t="n">
        <v>3</v>
      </c>
      <c r="R2658" t="n">
        <v>2024.5</v>
      </c>
      <c r="S2658" t="b">
        <v>1</v>
      </c>
      <c r="T2658" t="n">
        <v>353335</v>
      </c>
      <c r="U2658" t="n">
        <v>8</v>
      </c>
      <c r="V2658" t="n">
        <v>0.0866</v>
      </c>
      <c r="W2658" t="n">
        <v>1.05</v>
      </c>
      <c r="X2658" t="n">
        <v>62.23</v>
      </c>
      <c r="Y2658">
        <f>VLOOKUP(D2658,$AB$2:$AC$7,2,FALSE)</f>
        <v/>
      </c>
      <c r="Z2658">
        <f>IF(A2658&lt;Y2658,"Yes","No")</f>
        <v/>
      </c>
    </row>
    <row r="2659">
      <c r="A2659" t="n">
        <v>2018</v>
      </c>
      <c r="B2659" t="inlineStr">
        <is>
          <t>Q3</t>
        </is>
      </c>
      <c r="C2659" t="inlineStr">
        <is>
          <t>Australia</t>
        </is>
      </c>
      <c r="D2659" t="inlineStr">
        <is>
          <t>Cybertruck</t>
        </is>
      </c>
      <c r="E2659" t="n">
        <v>1641</v>
      </c>
      <c r="F2659" t="n">
        <v>88458.92</v>
      </c>
      <c r="G2659" t="n">
        <v>48</v>
      </c>
      <c r="H2659" t="inlineStr">
        <is>
          <t>Performance</t>
        </is>
      </c>
      <c r="I2659" t="inlineStr">
        <is>
          <t>RWD</t>
        </is>
      </c>
      <c r="J2659" t="inlineStr">
        <is>
          <t>White</t>
        </is>
      </c>
      <c r="K2659" t="n">
        <v>385</v>
      </c>
      <c r="L2659" t="n">
        <v>89</v>
      </c>
      <c r="M2659" t="n">
        <v>15.19</v>
      </c>
      <c r="N2659" t="n">
        <v>1924.19</v>
      </c>
      <c r="O2659" t="n">
        <v>3.67</v>
      </c>
      <c r="P2659" t="n">
        <v>5</v>
      </c>
      <c r="Q2659" t="n">
        <v>0</v>
      </c>
      <c r="R2659" t="n">
        <v>2023.9</v>
      </c>
      <c r="S2659" t="b">
        <v>0</v>
      </c>
      <c r="T2659" t="n">
        <v>2611419</v>
      </c>
      <c r="U2659" t="n">
        <v>9</v>
      </c>
      <c r="V2659" t="n">
        <v>0.079</v>
      </c>
      <c r="W2659" t="n">
        <v>0.52</v>
      </c>
      <c r="X2659" t="n">
        <v>72.61</v>
      </c>
      <c r="Y2659">
        <f>VLOOKUP(D2659,$AB$2:$AC$7,2,FALSE)</f>
        <v/>
      </c>
      <c r="Z2659">
        <f>IF(A2659&lt;Y2659,"Yes","No")</f>
        <v/>
      </c>
    </row>
    <row r="2660">
      <c r="A2660" t="n">
        <v>2021</v>
      </c>
      <c r="B2660" t="inlineStr">
        <is>
          <t>Q4</t>
        </is>
      </c>
      <c r="C2660" t="inlineStr">
        <is>
          <t>Europe</t>
        </is>
      </c>
      <c r="D2660" t="inlineStr">
        <is>
          <t>Model S</t>
        </is>
      </c>
      <c r="E2660" t="n">
        <v>1286</v>
      </c>
      <c r="F2660" t="n">
        <v>91389.64999999999</v>
      </c>
      <c r="G2660" t="n">
        <v>12</v>
      </c>
      <c r="H2660" t="inlineStr">
        <is>
          <t>Long Range</t>
        </is>
      </c>
      <c r="I2660" t="inlineStr">
        <is>
          <t>AWD</t>
        </is>
      </c>
      <c r="J2660" t="inlineStr">
        <is>
          <t>Blue</t>
        </is>
      </c>
      <c r="K2660" t="n">
        <v>365</v>
      </c>
      <c r="L2660" t="n">
        <v>55</v>
      </c>
      <c r="M2660" t="n">
        <v>17.45</v>
      </c>
      <c r="N2660" t="n">
        <v>1270.86</v>
      </c>
      <c r="O2660" t="n">
        <v>4.34</v>
      </c>
      <c r="P2660" t="n">
        <v>5</v>
      </c>
      <c r="Q2660" t="n">
        <v>3</v>
      </c>
      <c r="R2660" t="n">
        <v>2024.1</v>
      </c>
      <c r="S2660" t="b">
        <v>0</v>
      </c>
      <c r="T2660" t="n">
        <v>3347393</v>
      </c>
      <c r="U2660" t="n">
        <v>4</v>
      </c>
      <c r="V2660" t="n">
        <v>0.0944</v>
      </c>
      <c r="W2660" t="n">
        <v>1.16</v>
      </c>
      <c r="X2660" t="n">
        <v>85.88</v>
      </c>
      <c r="Y2660">
        <f>VLOOKUP(D2660,$AB$2:$AC$7,2,FALSE)</f>
        <v/>
      </c>
      <c r="Z2660">
        <f>IF(A2660&lt;Y2660,"Yes","No")</f>
        <v/>
      </c>
    </row>
    <row r="2661">
      <c r="A2661" t="n">
        <v>2017</v>
      </c>
      <c r="B2661" t="inlineStr">
        <is>
          <t>Q1</t>
        </is>
      </c>
      <c r="C2661" t="inlineStr">
        <is>
          <t>Europe</t>
        </is>
      </c>
      <c r="D2661" t="inlineStr">
        <is>
          <t>Cybertruck</t>
        </is>
      </c>
      <c r="E2661" t="n">
        <v>206</v>
      </c>
      <c r="F2661" t="n">
        <v>61470.38</v>
      </c>
      <c r="G2661" t="n">
        <v>34</v>
      </c>
      <c r="H2661" t="inlineStr">
        <is>
          <t>Performance</t>
        </is>
      </c>
      <c r="I2661" t="inlineStr">
        <is>
          <t>RWD</t>
        </is>
      </c>
      <c r="J2661" t="inlineStr">
        <is>
          <t>Black</t>
        </is>
      </c>
      <c r="K2661" t="n">
        <v>632</v>
      </c>
      <c r="L2661" t="n">
        <v>52</v>
      </c>
      <c r="M2661" t="n">
        <v>23.07</v>
      </c>
      <c r="N2661" t="n">
        <v>485.42</v>
      </c>
      <c r="O2661" t="n">
        <v>3.71</v>
      </c>
      <c r="P2661" t="n">
        <v>4</v>
      </c>
      <c r="Q2661" t="n">
        <v>2</v>
      </c>
      <c r="R2661" t="n">
        <v>2020.1</v>
      </c>
      <c r="S2661" t="b">
        <v>0</v>
      </c>
      <c r="T2661" t="n">
        <v>2750938</v>
      </c>
      <c r="U2661" t="n">
        <v>3</v>
      </c>
      <c r="V2661" t="n">
        <v>0.0772</v>
      </c>
      <c r="W2661" t="n">
        <v>2.4</v>
      </c>
      <c r="X2661" t="n">
        <v>81.98</v>
      </c>
      <c r="Y2661">
        <f>VLOOKUP(D2661,$AB$2:$AC$7,2,FALSE)</f>
        <v/>
      </c>
      <c r="Z2661">
        <f>IF(A2661&lt;Y2661,"Yes","No")</f>
        <v/>
      </c>
    </row>
    <row r="2662">
      <c r="A2662" t="n">
        <v>2022</v>
      </c>
      <c r="B2662" t="inlineStr">
        <is>
          <t>Q4</t>
        </is>
      </c>
      <c r="C2662" t="inlineStr">
        <is>
          <t>Australia</t>
        </is>
      </c>
      <c r="D2662" t="inlineStr">
        <is>
          <t>Model S</t>
        </is>
      </c>
      <c r="E2662" t="n">
        <v>3108</v>
      </c>
      <c r="F2662" t="n">
        <v>82273.11</v>
      </c>
      <c r="G2662" t="n">
        <v>2</v>
      </c>
      <c r="H2662" t="inlineStr">
        <is>
          <t>Performance</t>
        </is>
      </c>
      <c r="I2662" t="inlineStr">
        <is>
          <t>RWD</t>
        </is>
      </c>
      <c r="J2662" t="inlineStr">
        <is>
          <t>Silver</t>
        </is>
      </c>
      <c r="K2662" t="n">
        <v>430</v>
      </c>
      <c r="L2662" t="n">
        <v>71</v>
      </c>
      <c r="M2662" t="n">
        <v>16.13</v>
      </c>
      <c r="N2662" t="n">
        <v>5154.22</v>
      </c>
      <c r="O2662" t="n">
        <v>4.94</v>
      </c>
      <c r="P2662" t="n">
        <v>4</v>
      </c>
      <c r="Q2662" t="n">
        <v>2</v>
      </c>
      <c r="R2662" t="n">
        <v>2024.11</v>
      </c>
      <c r="S2662" t="b">
        <v>1</v>
      </c>
      <c r="T2662" t="n">
        <v>1467972</v>
      </c>
      <c r="U2662" t="n">
        <v>4</v>
      </c>
      <c r="V2662" t="n">
        <v>0.09520000000000001</v>
      </c>
      <c r="W2662" t="n">
        <v>2.15</v>
      </c>
      <c r="X2662" t="n">
        <v>61.68</v>
      </c>
      <c r="Y2662">
        <f>VLOOKUP(D2662,$AB$2:$AC$7,2,FALSE)</f>
        <v/>
      </c>
      <c r="Z2662">
        <f>IF(A2662&lt;Y2662,"Yes","No")</f>
        <v/>
      </c>
    </row>
    <row r="2663">
      <c r="A2663" t="n">
        <v>2013</v>
      </c>
      <c r="B2663" t="inlineStr">
        <is>
          <t>Q1</t>
        </is>
      </c>
      <c r="C2663" t="inlineStr">
        <is>
          <t>Australia</t>
        </is>
      </c>
      <c r="D2663" t="inlineStr">
        <is>
          <t>Cybertruck</t>
        </is>
      </c>
      <c r="E2663" t="n">
        <v>3248</v>
      </c>
      <c r="F2663" t="n">
        <v>69202.03999999999</v>
      </c>
      <c r="G2663" t="n">
        <v>42</v>
      </c>
      <c r="H2663" t="inlineStr">
        <is>
          <t>Standard</t>
        </is>
      </c>
      <c r="I2663" t="inlineStr">
        <is>
          <t>AWD</t>
        </is>
      </c>
      <c r="J2663" t="inlineStr">
        <is>
          <t>Silver</t>
        </is>
      </c>
      <c r="K2663" t="n">
        <v>661</v>
      </c>
      <c r="L2663" t="n">
        <v>72</v>
      </c>
      <c r="M2663" t="n">
        <v>24.28</v>
      </c>
      <c r="N2663" t="n">
        <v>2805.92</v>
      </c>
      <c r="O2663" t="n">
        <v>4.82</v>
      </c>
      <c r="P2663" t="n">
        <v>4</v>
      </c>
      <c r="Q2663" t="n">
        <v>2</v>
      </c>
      <c r="R2663" t="n">
        <v>2024.9</v>
      </c>
      <c r="S2663" t="b">
        <v>0</v>
      </c>
      <c r="T2663" t="n">
        <v>3034870</v>
      </c>
      <c r="U2663" t="n">
        <v>8</v>
      </c>
      <c r="V2663" t="n">
        <v>0.08740000000000001</v>
      </c>
      <c r="W2663" t="n">
        <v>1.68</v>
      </c>
      <c r="X2663" t="n">
        <v>85.58</v>
      </c>
      <c r="Y2663">
        <f>VLOOKUP(D2663,$AB$2:$AC$7,2,FALSE)</f>
        <v/>
      </c>
      <c r="Z2663">
        <f>IF(A2663&lt;Y2663,"Yes","No")</f>
        <v/>
      </c>
    </row>
    <row r="2664">
      <c r="A2664" t="n">
        <v>2023</v>
      </c>
      <c r="B2664" t="inlineStr">
        <is>
          <t>Q4</t>
        </is>
      </c>
      <c r="C2664" t="inlineStr">
        <is>
          <t>South America</t>
        </is>
      </c>
      <c r="D2664" t="inlineStr">
        <is>
          <t>Model S</t>
        </is>
      </c>
      <c r="E2664" t="n">
        <v>3046</v>
      </c>
      <c r="F2664" t="n">
        <v>119248.67</v>
      </c>
      <c r="G2664" t="n">
        <v>43</v>
      </c>
      <c r="H2664" t="inlineStr">
        <is>
          <t>Performance</t>
        </is>
      </c>
      <c r="I2664" t="inlineStr">
        <is>
          <t>AWD</t>
        </is>
      </c>
      <c r="J2664" t="inlineStr">
        <is>
          <t>Blue</t>
        </is>
      </c>
      <c r="K2664" t="n">
        <v>394</v>
      </c>
      <c r="L2664" t="n">
        <v>77</v>
      </c>
      <c r="M2664" t="n">
        <v>22.37</v>
      </c>
      <c r="N2664" t="n">
        <v>3447.65</v>
      </c>
      <c r="O2664" t="n">
        <v>4.34</v>
      </c>
      <c r="P2664" t="n">
        <v>5</v>
      </c>
      <c r="Q2664" t="n">
        <v>3</v>
      </c>
      <c r="R2664" t="n">
        <v>2023.11</v>
      </c>
      <c r="S2664" t="b">
        <v>0</v>
      </c>
      <c r="T2664" t="n">
        <v>2489972</v>
      </c>
      <c r="U2664" t="n">
        <v>11</v>
      </c>
      <c r="V2664" t="n">
        <v>0.0277</v>
      </c>
      <c r="W2664" t="n">
        <v>1.43</v>
      </c>
      <c r="X2664" t="n">
        <v>68.45999999999999</v>
      </c>
      <c r="Y2664">
        <f>VLOOKUP(D2664,$AB$2:$AC$7,2,FALSE)</f>
        <v/>
      </c>
      <c r="Z2664">
        <f>IF(A2664&lt;Y2664,"Yes","No")</f>
        <v/>
      </c>
    </row>
    <row r="2665">
      <c r="A2665" t="n">
        <v>2012</v>
      </c>
      <c r="B2665" t="inlineStr">
        <is>
          <t>Q2</t>
        </is>
      </c>
      <c r="C2665" t="inlineStr">
        <is>
          <t>Asia</t>
        </is>
      </c>
      <c r="D2665" t="inlineStr">
        <is>
          <t>Semi</t>
        </is>
      </c>
      <c r="E2665" t="n">
        <v>1210</v>
      </c>
      <c r="F2665" t="n">
        <v>71568.49000000001</v>
      </c>
      <c r="G2665" t="n">
        <v>60</v>
      </c>
      <c r="H2665" t="inlineStr">
        <is>
          <t>Long Range</t>
        </is>
      </c>
      <c r="I2665" t="inlineStr">
        <is>
          <t>RWD</t>
        </is>
      </c>
      <c r="J2665" t="inlineStr">
        <is>
          <t>White</t>
        </is>
      </c>
      <c r="K2665" t="n">
        <v>552</v>
      </c>
      <c r="L2665" t="n">
        <v>57</v>
      </c>
      <c r="M2665" t="n">
        <v>21.78</v>
      </c>
      <c r="N2665" t="n">
        <v>2702.15</v>
      </c>
      <c r="O2665" t="n">
        <v>3.66</v>
      </c>
      <c r="P2665" t="n">
        <v>6</v>
      </c>
      <c r="Q2665" t="n">
        <v>2</v>
      </c>
      <c r="R2665" t="n">
        <v>2023.9</v>
      </c>
      <c r="S2665" t="b">
        <v>1</v>
      </c>
      <c r="T2665" t="n">
        <v>3531440</v>
      </c>
      <c r="U2665" t="n">
        <v>2</v>
      </c>
      <c r="V2665" t="n">
        <v>0.06370000000000001</v>
      </c>
      <c r="W2665" t="n">
        <v>1.27</v>
      </c>
      <c r="X2665" t="n">
        <v>80.15000000000001</v>
      </c>
      <c r="Y2665">
        <f>VLOOKUP(D2665,$AB$2:$AC$7,2,FALSE)</f>
        <v/>
      </c>
      <c r="Z2665">
        <f>IF(A2665&lt;Y2665,"Yes","No")</f>
        <v/>
      </c>
    </row>
    <row r="2666">
      <c r="A2666" t="n">
        <v>2017</v>
      </c>
      <c r="B2666" t="inlineStr">
        <is>
          <t>Q4</t>
        </is>
      </c>
      <c r="C2666" t="inlineStr">
        <is>
          <t>South America</t>
        </is>
      </c>
      <c r="D2666" t="inlineStr">
        <is>
          <t>Model Y</t>
        </is>
      </c>
      <c r="E2666" t="n">
        <v>3554</v>
      </c>
      <c r="F2666" t="n">
        <v>70488.7</v>
      </c>
      <c r="G2666" t="n">
        <v>48</v>
      </c>
      <c r="H2666" t="inlineStr">
        <is>
          <t>Performance</t>
        </is>
      </c>
      <c r="I2666" t="inlineStr">
        <is>
          <t>AWD</t>
        </is>
      </c>
      <c r="J2666" t="inlineStr">
        <is>
          <t>Blue</t>
        </is>
      </c>
      <c r="K2666" t="n">
        <v>628</v>
      </c>
      <c r="L2666" t="n">
        <v>40</v>
      </c>
      <c r="M2666" t="n">
        <v>21.11</v>
      </c>
      <c r="N2666" t="n">
        <v>6203.51</v>
      </c>
      <c r="O2666" t="n">
        <v>4.78</v>
      </c>
      <c r="P2666" t="n">
        <v>6</v>
      </c>
      <c r="Q2666" t="n">
        <v>3</v>
      </c>
      <c r="R2666" t="n">
        <v>2021.1</v>
      </c>
      <c r="S2666" t="b">
        <v>0</v>
      </c>
      <c r="T2666" t="n">
        <v>2552528</v>
      </c>
      <c r="U2666" t="n">
        <v>10</v>
      </c>
      <c r="V2666" t="n">
        <v>0.0747</v>
      </c>
      <c r="W2666" t="n">
        <v>0.8</v>
      </c>
      <c r="X2666" t="n">
        <v>77.95999999999999</v>
      </c>
      <c r="Y2666">
        <f>VLOOKUP(D2666,$AB$2:$AC$7,2,FALSE)</f>
        <v/>
      </c>
      <c r="Z2666">
        <f>IF(A2666&lt;Y2666,"Yes","No")</f>
        <v/>
      </c>
    </row>
    <row r="2667">
      <c r="A2667" t="n">
        <v>2023</v>
      </c>
      <c r="B2667" t="inlineStr">
        <is>
          <t>Q2</t>
        </is>
      </c>
      <c r="C2667" t="inlineStr">
        <is>
          <t>Australia</t>
        </is>
      </c>
      <c r="D2667" t="inlineStr">
        <is>
          <t>Model 3</t>
        </is>
      </c>
      <c r="E2667" t="n">
        <v>152</v>
      </c>
      <c r="F2667" t="n">
        <v>44505.33</v>
      </c>
      <c r="G2667" t="n">
        <v>37</v>
      </c>
      <c r="H2667" t="inlineStr">
        <is>
          <t>Performance</t>
        </is>
      </c>
      <c r="I2667" t="inlineStr">
        <is>
          <t>RWD</t>
        </is>
      </c>
      <c r="J2667" t="inlineStr">
        <is>
          <t>Silver</t>
        </is>
      </c>
      <c r="K2667" t="n">
        <v>649</v>
      </c>
      <c r="L2667" t="n">
        <v>49</v>
      </c>
      <c r="M2667" t="n">
        <v>17.74</v>
      </c>
      <c r="N2667" t="n">
        <v>189.38</v>
      </c>
      <c r="O2667" t="n">
        <v>4.67</v>
      </c>
      <c r="P2667" t="n">
        <v>5</v>
      </c>
      <c r="Q2667" t="n">
        <v>0</v>
      </c>
      <c r="R2667" t="n">
        <v>2023.5</v>
      </c>
      <c r="S2667" t="b">
        <v>0</v>
      </c>
      <c r="T2667" t="n">
        <v>3384669</v>
      </c>
      <c r="U2667" t="n">
        <v>7</v>
      </c>
      <c r="V2667" t="n">
        <v>0.06</v>
      </c>
      <c r="W2667" t="n">
        <v>2.32</v>
      </c>
      <c r="X2667" t="n">
        <v>76.38</v>
      </c>
      <c r="Y2667">
        <f>VLOOKUP(D2667,$AB$2:$AC$7,2,FALSE)</f>
        <v/>
      </c>
      <c r="Z2667">
        <f>IF(A2667&lt;Y2667,"Yes","No")</f>
        <v/>
      </c>
    </row>
    <row r="2668">
      <c r="A2668" t="n">
        <v>2016</v>
      </c>
      <c r="B2668" t="inlineStr">
        <is>
          <t>Q2</t>
        </is>
      </c>
      <c r="C2668" t="inlineStr">
        <is>
          <t>South America</t>
        </is>
      </c>
      <c r="D2668" t="inlineStr">
        <is>
          <t>Model Y</t>
        </is>
      </c>
      <c r="E2668" t="n">
        <v>4654</v>
      </c>
      <c r="F2668" t="n">
        <v>60146.22</v>
      </c>
      <c r="G2668" t="n">
        <v>19</v>
      </c>
      <c r="H2668" t="inlineStr">
        <is>
          <t>Standard</t>
        </is>
      </c>
      <c r="I2668" t="inlineStr">
        <is>
          <t>AWD</t>
        </is>
      </c>
      <c r="J2668" t="inlineStr">
        <is>
          <t>Green</t>
        </is>
      </c>
      <c r="K2668" t="n">
        <v>550</v>
      </c>
      <c r="L2668" t="n">
        <v>86</v>
      </c>
      <c r="M2668" t="n">
        <v>19.27</v>
      </c>
      <c r="N2668" t="n">
        <v>3316.91</v>
      </c>
      <c r="O2668" t="n">
        <v>3.96</v>
      </c>
      <c r="P2668" t="n">
        <v>8</v>
      </c>
      <c r="Q2668" t="n">
        <v>2</v>
      </c>
      <c r="R2668" t="n">
        <v>2022.12</v>
      </c>
      <c r="S2668" t="b">
        <v>0</v>
      </c>
      <c r="T2668" t="n">
        <v>1752600</v>
      </c>
      <c r="U2668" t="n">
        <v>10</v>
      </c>
      <c r="V2668" t="n">
        <v>0.0878</v>
      </c>
      <c r="W2668" t="n">
        <v>1.18</v>
      </c>
      <c r="X2668" t="n">
        <v>72.72</v>
      </c>
      <c r="Y2668">
        <f>VLOOKUP(D2668,$AB$2:$AC$7,2,FALSE)</f>
        <v/>
      </c>
      <c r="Z2668">
        <f>IF(A2668&lt;Y2668,"Yes","No")</f>
        <v/>
      </c>
    </row>
    <row r="2669">
      <c r="A2669" t="n">
        <v>2019</v>
      </c>
      <c r="B2669" t="inlineStr">
        <is>
          <t>Q4</t>
        </is>
      </c>
      <c r="C2669" t="inlineStr">
        <is>
          <t>Europe</t>
        </is>
      </c>
      <c r="D2669" t="inlineStr">
        <is>
          <t>Cybertruck</t>
        </is>
      </c>
      <c r="E2669" t="n">
        <v>708</v>
      </c>
      <c r="F2669" t="n">
        <v>64220.47</v>
      </c>
      <c r="G2669" t="n">
        <v>27</v>
      </c>
      <c r="H2669" t="inlineStr">
        <is>
          <t>Standard</t>
        </is>
      </c>
      <c r="I2669" t="inlineStr">
        <is>
          <t>AWD</t>
        </is>
      </c>
      <c r="J2669" t="inlineStr">
        <is>
          <t>Green</t>
        </is>
      </c>
      <c r="K2669" t="n">
        <v>360</v>
      </c>
      <c r="L2669" t="n">
        <v>38</v>
      </c>
      <c r="M2669" t="n">
        <v>24.87</v>
      </c>
      <c r="N2669" t="n">
        <v>1241.99</v>
      </c>
      <c r="O2669" t="n">
        <v>4.79</v>
      </c>
      <c r="P2669" t="n">
        <v>8</v>
      </c>
      <c r="Q2669" t="n">
        <v>3</v>
      </c>
      <c r="R2669" t="n">
        <v>2021.1</v>
      </c>
      <c r="S2669" t="b">
        <v>1</v>
      </c>
      <c r="T2669" t="n">
        <v>3407559</v>
      </c>
      <c r="U2669" t="n">
        <v>12</v>
      </c>
      <c r="V2669" t="n">
        <v>0.0799</v>
      </c>
      <c r="W2669" t="n">
        <v>1.07</v>
      </c>
      <c r="X2669" t="n">
        <v>78.06999999999999</v>
      </c>
      <c r="Y2669">
        <f>VLOOKUP(D2669,$AB$2:$AC$7,2,FALSE)</f>
        <v/>
      </c>
      <c r="Z2669">
        <f>IF(A2669&lt;Y2669,"Yes","No")</f>
        <v/>
      </c>
    </row>
    <row r="2670">
      <c r="A2670" t="n">
        <v>2015</v>
      </c>
      <c r="B2670" t="inlineStr">
        <is>
          <t>Q4</t>
        </is>
      </c>
      <c r="C2670" t="inlineStr">
        <is>
          <t>Australia</t>
        </is>
      </c>
      <c r="D2670" t="inlineStr">
        <is>
          <t>Cybertruck</t>
        </is>
      </c>
      <c r="E2670" t="n">
        <v>3849</v>
      </c>
      <c r="F2670" t="n">
        <v>92781.92</v>
      </c>
      <c r="G2670" t="n">
        <v>24</v>
      </c>
      <c r="H2670" t="inlineStr">
        <is>
          <t>Long Range</t>
        </is>
      </c>
      <c r="I2670" t="inlineStr">
        <is>
          <t>RWD</t>
        </is>
      </c>
      <c r="J2670" t="inlineStr">
        <is>
          <t>White</t>
        </is>
      </c>
      <c r="K2670" t="n">
        <v>605</v>
      </c>
      <c r="L2670" t="n">
        <v>36</v>
      </c>
      <c r="M2670" t="n">
        <v>19.4</v>
      </c>
      <c r="N2670" t="n">
        <v>8399.700000000001</v>
      </c>
      <c r="O2670" t="n">
        <v>4.51</v>
      </c>
      <c r="P2670" t="n">
        <v>8</v>
      </c>
      <c r="Q2670" t="n">
        <v>2</v>
      </c>
      <c r="R2670" t="n">
        <v>2021.5</v>
      </c>
      <c r="S2670" t="b">
        <v>1</v>
      </c>
      <c r="T2670" t="n">
        <v>4973331</v>
      </c>
      <c r="U2670" t="n">
        <v>8</v>
      </c>
      <c r="V2670" t="n">
        <v>0.0197</v>
      </c>
      <c r="W2670" t="n">
        <v>1.77</v>
      </c>
      <c r="X2670" t="n">
        <v>87.15000000000001</v>
      </c>
      <c r="Y2670">
        <f>VLOOKUP(D2670,$AB$2:$AC$7,2,FALSE)</f>
        <v/>
      </c>
      <c r="Z2670">
        <f>IF(A2670&lt;Y2670,"Yes","No")</f>
        <v/>
      </c>
    </row>
    <row r="2671">
      <c r="A2671" t="n">
        <v>2021</v>
      </c>
      <c r="B2671" t="inlineStr">
        <is>
          <t>Q4</t>
        </is>
      </c>
      <c r="C2671" t="inlineStr">
        <is>
          <t>Asia</t>
        </is>
      </c>
      <c r="D2671" t="inlineStr">
        <is>
          <t>Model S</t>
        </is>
      </c>
      <c r="E2671" t="n">
        <v>763</v>
      </c>
      <c r="F2671" t="n">
        <v>103288.47</v>
      </c>
      <c r="G2671" t="n">
        <v>20</v>
      </c>
      <c r="H2671" t="inlineStr">
        <is>
          <t>Long Range</t>
        </is>
      </c>
      <c r="I2671" t="inlineStr">
        <is>
          <t>AWD</t>
        </is>
      </c>
      <c r="J2671" t="inlineStr">
        <is>
          <t>White</t>
        </is>
      </c>
      <c r="K2671" t="n">
        <v>493</v>
      </c>
      <c r="L2671" t="n">
        <v>33</v>
      </c>
      <c r="M2671" t="n">
        <v>17.95</v>
      </c>
      <c r="N2671" t="n">
        <v>614.01</v>
      </c>
      <c r="O2671" t="n">
        <v>3.55</v>
      </c>
      <c r="P2671" t="n">
        <v>4</v>
      </c>
      <c r="Q2671" t="n">
        <v>3</v>
      </c>
      <c r="R2671" t="n">
        <v>2021.7</v>
      </c>
      <c r="S2671" t="b">
        <v>0</v>
      </c>
      <c r="T2671" t="n">
        <v>3620630</v>
      </c>
      <c r="U2671" t="n">
        <v>9</v>
      </c>
      <c r="V2671" t="n">
        <v>0.0246</v>
      </c>
      <c r="W2671" t="n">
        <v>2.05</v>
      </c>
      <c r="X2671" t="n">
        <v>83.64</v>
      </c>
      <c r="Y2671">
        <f>VLOOKUP(D2671,$AB$2:$AC$7,2,FALSE)</f>
        <v/>
      </c>
      <c r="Z2671">
        <f>IF(A2671&lt;Y2671,"Yes","No")</f>
        <v/>
      </c>
    </row>
    <row r="2672">
      <c r="A2672" t="n">
        <v>2020</v>
      </c>
      <c r="B2672" t="inlineStr">
        <is>
          <t>Q2</t>
        </is>
      </c>
      <c r="C2672" t="inlineStr">
        <is>
          <t>Europe</t>
        </is>
      </c>
      <c r="D2672" t="inlineStr">
        <is>
          <t>Model 3</t>
        </is>
      </c>
      <c r="E2672" t="n">
        <v>1506</v>
      </c>
      <c r="F2672" t="n">
        <v>67238.87</v>
      </c>
      <c r="G2672" t="n">
        <v>13</v>
      </c>
      <c r="H2672" t="inlineStr">
        <is>
          <t>Long Range</t>
        </is>
      </c>
      <c r="I2672" t="inlineStr">
        <is>
          <t>AWD</t>
        </is>
      </c>
      <c r="J2672" t="inlineStr">
        <is>
          <t>Red</t>
        </is>
      </c>
      <c r="K2672" t="n">
        <v>639</v>
      </c>
      <c r="L2672" t="n">
        <v>56</v>
      </c>
      <c r="M2672" t="n">
        <v>22.56</v>
      </c>
      <c r="N2672" t="n">
        <v>1278.05</v>
      </c>
      <c r="O2672" t="n">
        <v>3.79</v>
      </c>
      <c r="P2672" t="n">
        <v>4</v>
      </c>
      <c r="Q2672" t="n">
        <v>1</v>
      </c>
      <c r="R2672" t="n">
        <v>2020.1</v>
      </c>
      <c r="S2672" t="b">
        <v>0</v>
      </c>
      <c r="T2672" t="n">
        <v>4065511</v>
      </c>
      <c r="U2672" t="n">
        <v>10</v>
      </c>
      <c r="V2672" t="n">
        <v>0.07199999999999999</v>
      </c>
      <c r="W2672" t="n">
        <v>1.4</v>
      </c>
      <c r="X2672" t="n">
        <v>72.66</v>
      </c>
      <c r="Y2672">
        <f>VLOOKUP(D2672,$AB$2:$AC$7,2,FALSE)</f>
        <v/>
      </c>
      <c r="Z2672">
        <f>IF(A2672&lt;Y2672,"Yes","No")</f>
        <v/>
      </c>
    </row>
    <row r="2673">
      <c r="A2673" t="n">
        <v>2013</v>
      </c>
      <c r="B2673" t="inlineStr">
        <is>
          <t>Q3</t>
        </is>
      </c>
      <c r="C2673" t="inlineStr">
        <is>
          <t>Australia</t>
        </is>
      </c>
      <c r="D2673" t="inlineStr">
        <is>
          <t>Cybertruck</t>
        </is>
      </c>
      <c r="E2673" t="n">
        <v>756</v>
      </c>
      <c r="F2673" t="n">
        <v>89262.08</v>
      </c>
      <c r="G2673" t="n">
        <v>46</v>
      </c>
      <c r="H2673" t="inlineStr">
        <is>
          <t>Performance</t>
        </is>
      </c>
      <c r="I2673" t="inlineStr">
        <is>
          <t>RWD</t>
        </is>
      </c>
      <c r="J2673" t="inlineStr">
        <is>
          <t>Red</t>
        </is>
      </c>
      <c r="K2673" t="n">
        <v>387</v>
      </c>
      <c r="L2673" t="n">
        <v>40</v>
      </c>
      <c r="M2673" t="n">
        <v>20.42</v>
      </c>
      <c r="N2673" t="n">
        <v>1809.77</v>
      </c>
      <c r="O2673" t="n">
        <v>3.82</v>
      </c>
      <c r="P2673" t="n">
        <v>6</v>
      </c>
      <c r="Q2673" t="n">
        <v>2</v>
      </c>
      <c r="R2673" t="n">
        <v>2022.2</v>
      </c>
      <c r="S2673" t="b">
        <v>0</v>
      </c>
      <c r="T2673" t="n">
        <v>2412588</v>
      </c>
      <c r="U2673" t="n">
        <v>8</v>
      </c>
      <c r="V2673" t="n">
        <v>0.0125</v>
      </c>
      <c r="W2673" t="n">
        <v>1.87</v>
      </c>
      <c r="X2673" t="n">
        <v>70.54000000000001</v>
      </c>
      <c r="Y2673">
        <f>VLOOKUP(D2673,$AB$2:$AC$7,2,FALSE)</f>
        <v/>
      </c>
      <c r="Z2673">
        <f>IF(A2673&lt;Y2673,"Yes","No")</f>
        <v/>
      </c>
    </row>
    <row r="2674">
      <c r="A2674" t="n">
        <v>2012</v>
      </c>
      <c r="B2674" t="inlineStr">
        <is>
          <t>Q4</t>
        </is>
      </c>
      <c r="C2674" t="inlineStr">
        <is>
          <t>Australia</t>
        </is>
      </c>
      <c r="D2674" t="inlineStr">
        <is>
          <t>Model X</t>
        </is>
      </c>
      <c r="E2674" t="n">
        <v>1408</v>
      </c>
      <c r="F2674" t="n">
        <v>81635.23</v>
      </c>
      <c r="G2674" t="n">
        <v>57</v>
      </c>
      <c r="H2674" t="inlineStr">
        <is>
          <t>Standard</t>
        </is>
      </c>
      <c r="I2674" t="inlineStr">
        <is>
          <t>AWD</t>
        </is>
      </c>
      <c r="J2674" t="inlineStr">
        <is>
          <t>Red</t>
        </is>
      </c>
      <c r="K2674" t="n">
        <v>483</v>
      </c>
      <c r="L2674" t="n">
        <v>50</v>
      </c>
      <c r="M2674" t="n">
        <v>17.49</v>
      </c>
      <c r="N2674" t="n">
        <v>2660.92</v>
      </c>
      <c r="O2674" t="n">
        <v>4.26</v>
      </c>
      <c r="P2674" t="n">
        <v>8</v>
      </c>
      <c r="Q2674" t="n">
        <v>2</v>
      </c>
      <c r="R2674" t="n">
        <v>2024.3</v>
      </c>
      <c r="S2674" t="b">
        <v>1</v>
      </c>
      <c r="T2674" t="n">
        <v>1370987</v>
      </c>
      <c r="U2674" t="n">
        <v>4</v>
      </c>
      <c r="V2674" t="n">
        <v>0.08790000000000001</v>
      </c>
      <c r="W2674" t="n">
        <v>2.45</v>
      </c>
      <c r="X2674" t="n">
        <v>60.55</v>
      </c>
      <c r="Y2674">
        <f>VLOOKUP(D2674,$AB$2:$AC$7,2,FALSE)</f>
        <v/>
      </c>
      <c r="Z2674">
        <f>IF(A2674&lt;Y2674,"Yes","No")</f>
        <v/>
      </c>
    </row>
    <row r="2675">
      <c r="A2675" t="n">
        <v>2018</v>
      </c>
      <c r="B2675" t="inlineStr">
        <is>
          <t>Q3</t>
        </is>
      </c>
      <c r="C2675" t="inlineStr">
        <is>
          <t>South America</t>
        </is>
      </c>
      <c r="D2675" t="inlineStr">
        <is>
          <t>Model Y</t>
        </is>
      </c>
      <c r="E2675" t="n">
        <v>3750</v>
      </c>
      <c r="F2675" t="n">
        <v>60992.25</v>
      </c>
      <c r="G2675" t="n">
        <v>7</v>
      </c>
      <c r="H2675" t="inlineStr">
        <is>
          <t>Long Range</t>
        </is>
      </c>
      <c r="I2675" t="inlineStr">
        <is>
          <t>RWD</t>
        </is>
      </c>
      <c r="J2675" t="inlineStr">
        <is>
          <t>Black</t>
        </is>
      </c>
      <c r="K2675" t="n">
        <v>676</v>
      </c>
      <c r="L2675" t="n">
        <v>33</v>
      </c>
      <c r="M2675" t="n">
        <v>14</v>
      </c>
      <c r="N2675" t="n">
        <v>6812.15</v>
      </c>
      <c r="O2675" t="n">
        <v>3.5</v>
      </c>
      <c r="P2675" t="n">
        <v>6</v>
      </c>
      <c r="Q2675" t="n">
        <v>1</v>
      </c>
      <c r="R2675" t="n">
        <v>2020.12</v>
      </c>
      <c r="S2675" t="b">
        <v>0</v>
      </c>
      <c r="T2675" t="n">
        <v>4709124</v>
      </c>
      <c r="U2675" t="n">
        <v>9</v>
      </c>
      <c r="V2675" t="n">
        <v>0.0863</v>
      </c>
      <c r="W2675" t="n">
        <v>0.85</v>
      </c>
      <c r="X2675" t="n">
        <v>87.73</v>
      </c>
      <c r="Y2675">
        <f>VLOOKUP(D2675,$AB$2:$AC$7,2,FALSE)</f>
        <v/>
      </c>
      <c r="Z2675">
        <f>IF(A2675&lt;Y2675,"Yes","No")</f>
        <v/>
      </c>
    </row>
    <row r="2676">
      <c r="A2676" t="n">
        <v>2012</v>
      </c>
      <c r="B2676" t="inlineStr">
        <is>
          <t>Q3</t>
        </is>
      </c>
      <c r="C2676" t="inlineStr">
        <is>
          <t>Australia</t>
        </is>
      </c>
      <c r="D2676" t="inlineStr">
        <is>
          <t>Model Y</t>
        </is>
      </c>
      <c r="E2676" t="n">
        <v>4350</v>
      </c>
      <c r="F2676" t="n">
        <v>119518.67</v>
      </c>
      <c r="G2676" t="n">
        <v>41</v>
      </c>
      <c r="H2676" t="inlineStr">
        <is>
          <t>Standard</t>
        </is>
      </c>
      <c r="I2676" t="inlineStr">
        <is>
          <t>AWD</t>
        </is>
      </c>
      <c r="J2676" t="inlineStr">
        <is>
          <t>Blue</t>
        </is>
      </c>
      <c r="K2676" t="n">
        <v>662</v>
      </c>
      <c r="L2676" t="n">
        <v>54</v>
      </c>
      <c r="M2676" t="n">
        <v>14.7</v>
      </c>
      <c r="N2676" t="n">
        <v>2875.96</v>
      </c>
      <c r="O2676" t="n">
        <v>4.15</v>
      </c>
      <c r="P2676" t="n">
        <v>4</v>
      </c>
      <c r="Q2676" t="n">
        <v>1</v>
      </c>
      <c r="R2676" t="n">
        <v>2021.1</v>
      </c>
      <c r="S2676" t="b">
        <v>0</v>
      </c>
      <c r="T2676" t="n">
        <v>3367998</v>
      </c>
      <c r="U2676" t="n">
        <v>7</v>
      </c>
      <c r="V2676" t="n">
        <v>0.0557</v>
      </c>
      <c r="W2676" t="n">
        <v>2.46</v>
      </c>
      <c r="X2676" t="n">
        <v>71.92</v>
      </c>
      <c r="Y2676">
        <f>VLOOKUP(D2676,$AB$2:$AC$7,2,FALSE)</f>
        <v/>
      </c>
      <c r="Z2676">
        <f>IF(A2676&lt;Y2676,"Yes","No")</f>
        <v/>
      </c>
    </row>
    <row r="2677">
      <c r="A2677" t="n">
        <v>2017</v>
      </c>
      <c r="B2677" t="inlineStr">
        <is>
          <t>Q1</t>
        </is>
      </c>
      <c r="C2677" t="inlineStr">
        <is>
          <t>North America</t>
        </is>
      </c>
      <c r="D2677" t="inlineStr">
        <is>
          <t>Model Y</t>
        </is>
      </c>
      <c r="E2677" t="n">
        <v>3450</v>
      </c>
      <c r="F2677" t="n">
        <v>65427.05</v>
      </c>
      <c r="G2677" t="n">
        <v>52</v>
      </c>
      <c r="H2677" t="inlineStr">
        <is>
          <t>Performance</t>
        </is>
      </c>
      <c r="I2677" t="inlineStr">
        <is>
          <t>AWD</t>
        </is>
      </c>
      <c r="J2677" t="inlineStr">
        <is>
          <t>Black</t>
        </is>
      </c>
      <c r="K2677" t="n">
        <v>566</v>
      </c>
      <c r="L2677" t="n">
        <v>81</v>
      </c>
      <c r="M2677" t="n">
        <v>17.89</v>
      </c>
      <c r="N2677" t="n">
        <v>2854.49</v>
      </c>
      <c r="O2677" t="n">
        <v>4.64</v>
      </c>
      <c r="P2677" t="n">
        <v>5</v>
      </c>
      <c r="Q2677" t="n">
        <v>0</v>
      </c>
      <c r="R2677" t="n">
        <v>2024.7</v>
      </c>
      <c r="S2677" t="b">
        <v>1</v>
      </c>
      <c r="T2677" t="n">
        <v>331315</v>
      </c>
      <c r="U2677" t="n">
        <v>4</v>
      </c>
      <c r="V2677" t="n">
        <v>0.019</v>
      </c>
      <c r="W2677" t="n">
        <v>2.22</v>
      </c>
      <c r="X2677" t="n">
        <v>81.27</v>
      </c>
      <c r="Y2677">
        <f>VLOOKUP(D2677,$AB$2:$AC$7,2,FALSE)</f>
        <v/>
      </c>
      <c r="Z2677">
        <f>IF(A2677&lt;Y2677,"Yes","No")</f>
        <v/>
      </c>
    </row>
    <row r="2678">
      <c r="A2678" t="n">
        <v>2017</v>
      </c>
      <c r="B2678" t="inlineStr">
        <is>
          <t>Q1</t>
        </is>
      </c>
      <c r="C2678" t="inlineStr">
        <is>
          <t>South America</t>
        </is>
      </c>
      <c r="D2678" t="inlineStr">
        <is>
          <t>Model Y</t>
        </is>
      </c>
      <c r="E2678" t="n">
        <v>1985</v>
      </c>
      <c r="F2678" t="n">
        <v>86193.91</v>
      </c>
      <c r="G2678" t="n">
        <v>16</v>
      </c>
      <c r="H2678" t="inlineStr">
        <is>
          <t>Long Range</t>
        </is>
      </c>
      <c r="I2678" t="inlineStr">
        <is>
          <t>AWD</t>
        </is>
      </c>
      <c r="J2678" t="inlineStr">
        <is>
          <t>White</t>
        </is>
      </c>
      <c r="K2678" t="n">
        <v>621</v>
      </c>
      <c r="L2678" t="n">
        <v>65</v>
      </c>
      <c r="M2678" t="n">
        <v>13.86</v>
      </c>
      <c r="N2678" t="n">
        <v>2048.92</v>
      </c>
      <c r="O2678" t="n">
        <v>3.51</v>
      </c>
      <c r="P2678" t="n">
        <v>5</v>
      </c>
      <c r="Q2678" t="n">
        <v>2</v>
      </c>
      <c r="R2678" t="n">
        <v>2023.5</v>
      </c>
      <c r="S2678" t="b">
        <v>1</v>
      </c>
      <c r="T2678" t="n">
        <v>4029363</v>
      </c>
      <c r="U2678" t="n">
        <v>11</v>
      </c>
      <c r="V2678" t="n">
        <v>0.0721</v>
      </c>
      <c r="W2678" t="n">
        <v>1.1</v>
      </c>
      <c r="X2678" t="n">
        <v>66.23</v>
      </c>
      <c r="Y2678">
        <f>VLOOKUP(D2678,$AB$2:$AC$7,2,FALSE)</f>
        <v/>
      </c>
      <c r="Z2678">
        <f>IF(A2678&lt;Y2678,"Yes","No")</f>
        <v/>
      </c>
    </row>
    <row r="2679">
      <c r="A2679" t="n">
        <v>2016</v>
      </c>
      <c r="B2679" t="inlineStr">
        <is>
          <t>Q3</t>
        </is>
      </c>
      <c r="C2679" t="inlineStr">
        <is>
          <t>North America</t>
        </is>
      </c>
      <c r="D2679" t="inlineStr">
        <is>
          <t>Semi</t>
        </is>
      </c>
      <c r="E2679" t="n">
        <v>3876</v>
      </c>
      <c r="F2679" t="n">
        <v>104929.37</v>
      </c>
      <c r="G2679" t="n">
        <v>24</v>
      </c>
      <c r="H2679" t="inlineStr">
        <is>
          <t>Long Range</t>
        </is>
      </c>
      <c r="I2679" t="inlineStr">
        <is>
          <t>RWD</t>
        </is>
      </c>
      <c r="J2679" t="inlineStr">
        <is>
          <t>Red</t>
        </is>
      </c>
      <c r="K2679" t="n">
        <v>657</v>
      </c>
      <c r="L2679" t="n">
        <v>55</v>
      </c>
      <c r="M2679" t="n">
        <v>15.23</v>
      </c>
      <c r="N2679" t="n">
        <v>3662.96</v>
      </c>
      <c r="O2679" t="n">
        <v>4.98</v>
      </c>
      <c r="P2679" t="n">
        <v>5</v>
      </c>
      <c r="Q2679" t="n">
        <v>1</v>
      </c>
      <c r="R2679" t="n">
        <v>2024.6</v>
      </c>
      <c r="S2679" t="b">
        <v>1</v>
      </c>
      <c r="T2679" t="n">
        <v>1060775</v>
      </c>
      <c r="U2679" t="n">
        <v>12</v>
      </c>
      <c r="V2679" t="n">
        <v>0.0956</v>
      </c>
      <c r="W2679" t="n">
        <v>1.67</v>
      </c>
      <c r="X2679" t="n">
        <v>84.3</v>
      </c>
      <c r="Y2679">
        <f>VLOOKUP(D2679,$AB$2:$AC$7,2,FALSE)</f>
        <v/>
      </c>
      <c r="Z2679">
        <f>IF(A2679&lt;Y2679,"Yes","No")</f>
        <v/>
      </c>
    </row>
    <row r="2680">
      <c r="A2680" t="n">
        <v>2013</v>
      </c>
      <c r="B2680" t="inlineStr">
        <is>
          <t>Q1</t>
        </is>
      </c>
      <c r="C2680" t="inlineStr">
        <is>
          <t>Europe</t>
        </is>
      </c>
      <c r="D2680" t="inlineStr">
        <is>
          <t>Model 3</t>
        </is>
      </c>
      <c r="E2680" t="n">
        <v>888</v>
      </c>
      <c r="F2680" t="n">
        <v>68326.00999999999</v>
      </c>
      <c r="G2680" t="n">
        <v>54</v>
      </c>
      <c r="H2680" t="inlineStr">
        <is>
          <t>Performance</t>
        </is>
      </c>
      <c r="I2680" t="inlineStr">
        <is>
          <t>AWD</t>
        </is>
      </c>
      <c r="J2680" t="inlineStr">
        <is>
          <t>Silver</t>
        </is>
      </c>
      <c r="K2680" t="n">
        <v>585</v>
      </c>
      <c r="L2680" t="n">
        <v>39</v>
      </c>
      <c r="M2680" t="n">
        <v>17.54</v>
      </c>
      <c r="N2680" t="n">
        <v>1289.35</v>
      </c>
      <c r="O2680" t="n">
        <v>3.55</v>
      </c>
      <c r="P2680" t="n">
        <v>6</v>
      </c>
      <c r="Q2680" t="n">
        <v>0</v>
      </c>
      <c r="R2680" t="n">
        <v>2020.1</v>
      </c>
      <c r="S2680" t="b">
        <v>1</v>
      </c>
      <c r="T2680" t="n">
        <v>4497008</v>
      </c>
      <c r="U2680" t="n">
        <v>10</v>
      </c>
      <c r="V2680" t="n">
        <v>0.0293</v>
      </c>
      <c r="W2680" t="n">
        <v>1.86</v>
      </c>
      <c r="X2680" t="n">
        <v>78.08</v>
      </c>
      <c r="Y2680">
        <f>VLOOKUP(D2680,$AB$2:$AC$7,2,FALSE)</f>
        <v/>
      </c>
      <c r="Z2680">
        <f>IF(A2680&lt;Y2680,"Yes","No")</f>
        <v/>
      </c>
    </row>
    <row r="2681">
      <c r="A2681" t="n">
        <v>2016</v>
      </c>
      <c r="B2681" t="inlineStr">
        <is>
          <t>Q3</t>
        </is>
      </c>
      <c r="C2681" t="inlineStr">
        <is>
          <t>South America</t>
        </is>
      </c>
      <c r="D2681" t="inlineStr">
        <is>
          <t>Model S</t>
        </is>
      </c>
      <c r="E2681" t="n">
        <v>3283</v>
      </c>
      <c r="F2681" t="n">
        <v>91559.31</v>
      </c>
      <c r="G2681" t="n">
        <v>30</v>
      </c>
      <c r="H2681" t="inlineStr">
        <is>
          <t>Standard</t>
        </is>
      </c>
      <c r="I2681" t="inlineStr">
        <is>
          <t>AWD</t>
        </is>
      </c>
      <c r="J2681" t="inlineStr">
        <is>
          <t>Silver</t>
        </is>
      </c>
      <c r="K2681" t="n">
        <v>474</v>
      </c>
      <c r="L2681" t="n">
        <v>30</v>
      </c>
      <c r="M2681" t="n">
        <v>16.25</v>
      </c>
      <c r="N2681" t="n">
        <v>6760.34</v>
      </c>
      <c r="O2681" t="n">
        <v>3.55</v>
      </c>
      <c r="P2681" t="n">
        <v>6</v>
      </c>
      <c r="Q2681" t="n">
        <v>0</v>
      </c>
      <c r="R2681" t="n">
        <v>2022.3</v>
      </c>
      <c r="S2681" t="b">
        <v>0</v>
      </c>
      <c r="T2681" t="n">
        <v>2006456</v>
      </c>
      <c r="U2681" t="n">
        <v>3</v>
      </c>
      <c r="V2681" t="n">
        <v>0.017</v>
      </c>
      <c r="W2681" t="n">
        <v>1.6</v>
      </c>
      <c r="X2681" t="n">
        <v>86.31999999999999</v>
      </c>
      <c r="Y2681">
        <f>VLOOKUP(D2681,$AB$2:$AC$7,2,FALSE)</f>
        <v/>
      </c>
      <c r="Z2681">
        <f>IF(A2681&lt;Y2681,"Yes","No")</f>
        <v/>
      </c>
    </row>
    <row r="2682">
      <c r="A2682" t="n">
        <v>2017</v>
      </c>
      <c r="B2682" t="inlineStr">
        <is>
          <t>Q4</t>
        </is>
      </c>
      <c r="C2682" t="inlineStr">
        <is>
          <t>Australia</t>
        </is>
      </c>
      <c r="D2682" t="inlineStr">
        <is>
          <t>Model 3</t>
        </is>
      </c>
      <c r="E2682" t="n">
        <v>1571</v>
      </c>
      <c r="F2682" t="n">
        <v>58342.04</v>
      </c>
      <c r="G2682" t="n">
        <v>10</v>
      </c>
      <c r="H2682" t="inlineStr">
        <is>
          <t>Performance</t>
        </is>
      </c>
      <c r="I2682" t="inlineStr">
        <is>
          <t>RWD</t>
        </is>
      </c>
      <c r="J2682" t="inlineStr">
        <is>
          <t>White</t>
        </is>
      </c>
      <c r="K2682" t="n">
        <v>362</v>
      </c>
      <c r="L2682" t="n">
        <v>74</v>
      </c>
      <c r="M2682" t="n">
        <v>15.98</v>
      </c>
      <c r="N2682" t="n">
        <v>3444.47</v>
      </c>
      <c r="O2682" t="n">
        <v>3.97</v>
      </c>
      <c r="P2682" t="n">
        <v>4</v>
      </c>
      <c r="Q2682" t="n">
        <v>0</v>
      </c>
      <c r="R2682" t="n">
        <v>2024.6</v>
      </c>
      <c r="S2682" t="b">
        <v>1</v>
      </c>
      <c r="T2682" t="n">
        <v>1438907</v>
      </c>
      <c r="U2682" t="n">
        <v>4</v>
      </c>
      <c r="V2682" t="n">
        <v>0.0338</v>
      </c>
      <c r="W2682" t="n">
        <v>0.86</v>
      </c>
      <c r="X2682" t="n">
        <v>86.26000000000001</v>
      </c>
      <c r="Y2682">
        <f>VLOOKUP(D2682,$AB$2:$AC$7,2,FALSE)</f>
        <v/>
      </c>
      <c r="Z2682">
        <f>IF(A2682&lt;Y2682,"Yes","No")</f>
        <v/>
      </c>
    </row>
    <row r="2683">
      <c r="A2683" t="n">
        <v>2016</v>
      </c>
      <c r="B2683" t="inlineStr">
        <is>
          <t>Q3</t>
        </is>
      </c>
      <c r="C2683" t="inlineStr">
        <is>
          <t>North America</t>
        </is>
      </c>
      <c r="D2683" t="inlineStr">
        <is>
          <t>Semi</t>
        </is>
      </c>
      <c r="E2683" t="n">
        <v>3326</v>
      </c>
      <c r="F2683" t="n">
        <v>71730.47</v>
      </c>
      <c r="G2683" t="n">
        <v>57</v>
      </c>
      <c r="H2683" t="inlineStr">
        <is>
          <t>Standard</t>
        </is>
      </c>
      <c r="I2683" t="inlineStr">
        <is>
          <t>RWD</t>
        </is>
      </c>
      <c r="J2683" t="inlineStr">
        <is>
          <t>Silver</t>
        </is>
      </c>
      <c r="K2683" t="n">
        <v>672</v>
      </c>
      <c r="L2683" t="n">
        <v>41</v>
      </c>
      <c r="M2683" t="n">
        <v>21.32</v>
      </c>
      <c r="N2683" t="n">
        <v>2556.21</v>
      </c>
      <c r="O2683" t="n">
        <v>4.81</v>
      </c>
      <c r="P2683" t="n">
        <v>8</v>
      </c>
      <c r="Q2683" t="n">
        <v>3</v>
      </c>
      <c r="R2683" t="n">
        <v>2022.9</v>
      </c>
      <c r="S2683" t="b">
        <v>0</v>
      </c>
      <c r="T2683" t="n">
        <v>652516</v>
      </c>
      <c r="U2683" t="n">
        <v>10</v>
      </c>
      <c r="V2683" t="n">
        <v>0.0269</v>
      </c>
      <c r="W2683" t="n">
        <v>2.38</v>
      </c>
      <c r="X2683" t="n">
        <v>65.04000000000001</v>
      </c>
      <c r="Y2683">
        <f>VLOOKUP(D2683,$AB$2:$AC$7,2,FALSE)</f>
        <v/>
      </c>
      <c r="Z2683">
        <f>IF(A2683&lt;Y2683,"Yes","No")</f>
        <v/>
      </c>
    </row>
    <row r="2684">
      <c r="A2684" t="n">
        <v>2024</v>
      </c>
      <c r="B2684" t="inlineStr">
        <is>
          <t>Q3</t>
        </is>
      </c>
      <c r="C2684" t="inlineStr">
        <is>
          <t>South America</t>
        </is>
      </c>
      <c r="D2684" t="inlineStr">
        <is>
          <t>Model S</t>
        </is>
      </c>
      <c r="E2684" t="n">
        <v>2463</v>
      </c>
      <c r="F2684" t="n">
        <v>53647.01</v>
      </c>
      <c r="G2684" t="n">
        <v>51</v>
      </c>
      <c r="H2684" t="inlineStr">
        <is>
          <t>Standard</t>
        </is>
      </c>
      <c r="I2684" t="inlineStr">
        <is>
          <t>AWD</t>
        </is>
      </c>
      <c r="J2684" t="inlineStr">
        <is>
          <t>Green</t>
        </is>
      </c>
      <c r="K2684" t="n">
        <v>597</v>
      </c>
      <c r="L2684" t="n">
        <v>40</v>
      </c>
      <c r="M2684" t="n">
        <v>16.35</v>
      </c>
      <c r="N2684" t="n">
        <v>3090.78</v>
      </c>
      <c r="O2684" t="n">
        <v>3.59</v>
      </c>
      <c r="P2684" t="n">
        <v>6</v>
      </c>
      <c r="Q2684" t="n">
        <v>0</v>
      </c>
      <c r="R2684" t="n">
        <v>2024.3</v>
      </c>
      <c r="S2684" t="b">
        <v>1</v>
      </c>
      <c r="T2684" t="n">
        <v>4522231</v>
      </c>
      <c r="U2684" t="n">
        <v>12</v>
      </c>
      <c r="V2684" t="n">
        <v>0.0134</v>
      </c>
      <c r="W2684" t="n">
        <v>1.33</v>
      </c>
      <c r="X2684" t="n">
        <v>84.23</v>
      </c>
      <c r="Y2684">
        <f>VLOOKUP(D2684,$AB$2:$AC$7,2,FALSE)</f>
        <v/>
      </c>
      <c r="Z2684">
        <f>IF(A2684&lt;Y2684,"Yes","No")</f>
        <v/>
      </c>
    </row>
    <row r="2685">
      <c r="A2685" t="n">
        <v>2019</v>
      </c>
      <c r="B2685" t="inlineStr">
        <is>
          <t>Q1</t>
        </is>
      </c>
      <c r="C2685" t="inlineStr">
        <is>
          <t>South America</t>
        </is>
      </c>
      <c r="D2685" t="inlineStr">
        <is>
          <t>Model Y</t>
        </is>
      </c>
      <c r="E2685" t="n">
        <v>959</v>
      </c>
      <c r="F2685" t="n">
        <v>51976.67</v>
      </c>
      <c r="G2685" t="n">
        <v>14</v>
      </c>
      <c r="H2685" t="inlineStr">
        <is>
          <t>Performance</t>
        </is>
      </c>
      <c r="I2685" t="inlineStr">
        <is>
          <t>RWD</t>
        </is>
      </c>
      <c r="J2685" t="inlineStr">
        <is>
          <t>Blue</t>
        </is>
      </c>
      <c r="K2685" t="n">
        <v>450</v>
      </c>
      <c r="L2685" t="n">
        <v>39</v>
      </c>
      <c r="M2685" t="n">
        <v>24.79</v>
      </c>
      <c r="N2685" t="n">
        <v>776.75</v>
      </c>
      <c r="O2685" t="n">
        <v>3.59</v>
      </c>
      <c r="P2685" t="n">
        <v>6</v>
      </c>
      <c r="Q2685" t="n">
        <v>3</v>
      </c>
      <c r="R2685" t="n">
        <v>2020.12</v>
      </c>
      <c r="S2685" t="b">
        <v>1</v>
      </c>
      <c r="T2685" t="n">
        <v>3713857</v>
      </c>
      <c r="U2685" t="n">
        <v>7</v>
      </c>
      <c r="V2685" t="n">
        <v>0.0612</v>
      </c>
      <c r="W2685" t="n">
        <v>1.25</v>
      </c>
      <c r="X2685" t="n">
        <v>65.59999999999999</v>
      </c>
      <c r="Y2685">
        <f>VLOOKUP(D2685,$AB$2:$AC$7,2,FALSE)</f>
        <v/>
      </c>
      <c r="Z2685">
        <f>IF(A2685&lt;Y2685,"Yes","No")</f>
        <v/>
      </c>
    </row>
    <row r="2686">
      <c r="A2686" t="n">
        <v>2019</v>
      </c>
      <c r="B2686" t="inlineStr">
        <is>
          <t>Q1</t>
        </is>
      </c>
      <c r="C2686" t="inlineStr">
        <is>
          <t>Australia</t>
        </is>
      </c>
      <c r="D2686" t="inlineStr">
        <is>
          <t>Semi</t>
        </is>
      </c>
      <c r="E2686" t="n">
        <v>1580</v>
      </c>
      <c r="F2686" t="n">
        <v>102105.98</v>
      </c>
      <c r="G2686" t="n">
        <v>30</v>
      </c>
      <c r="H2686" t="inlineStr">
        <is>
          <t>Performance</t>
        </is>
      </c>
      <c r="I2686" t="inlineStr">
        <is>
          <t>AWD</t>
        </is>
      </c>
      <c r="J2686" t="inlineStr">
        <is>
          <t>Silver</t>
        </is>
      </c>
      <c r="K2686" t="n">
        <v>350</v>
      </c>
      <c r="L2686" t="n">
        <v>74</v>
      </c>
      <c r="M2686" t="n">
        <v>16.14</v>
      </c>
      <c r="N2686" t="n">
        <v>2150.26</v>
      </c>
      <c r="O2686" t="n">
        <v>4.36</v>
      </c>
      <c r="P2686" t="n">
        <v>4</v>
      </c>
      <c r="Q2686" t="n">
        <v>0</v>
      </c>
      <c r="R2686" t="n">
        <v>2023.3</v>
      </c>
      <c r="S2686" t="b">
        <v>1</v>
      </c>
      <c r="T2686" t="n">
        <v>2011812</v>
      </c>
      <c r="U2686" t="n">
        <v>9</v>
      </c>
      <c r="V2686" t="n">
        <v>0.0146</v>
      </c>
      <c r="W2686" t="n">
        <v>1.9</v>
      </c>
      <c r="X2686" t="n">
        <v>81.72</v>
      </c>
      <c r="Y2686">
        <f>VLOOKUP(D2686,$AB$2:$AC$7,2,FALSE)</f>
        <v/>
      </c>
      <c r="Z2686">
        <f>IF(A2686&lt;Y2686,"Yes","No")</f>
        <v/>
      </c>
    </row>
    <row r="2687">
      <c r="A2687" t="n">
        <v>2018</v>
      </c>
      <c r="B2687" t="inlineStr">
        <is>
          <t>Q4</t>
        </is>
      </c>
      <c r="C2687" t="inlineStr">
        <is>
          <t>North America</t>
        </is>
      </c>
      <c r="D2687" t="inlineStr">
        <is>
          <t>Model Y</t>
        </is>
      </c>
      <c r="E2687" t="n">
        <v>3941</v>
      </c>
      <c r="F2687" t="n">
        <v>50375.83</v>
      </c>
      <c r="G2687" t="n">
        <v>31</v>
      </c>
      <c r="H2687" t="inlineStr">
        <is>
          <t>Standard</t>
        </is>
      </c>
      <c r="I2687" t="inlineStr">
        <is>
          <t>AWD</t>
        </is>
      </c>
      <c r="J2687" t="inlineStr">
        <is>
          <t>Black</t>
        </is>
      </c>
      <c r="K2687" t="n">
        <v>499</v>
      </c>
      <c r="L2687" t="n">
        <v>35</v>
      </c>
      <c r="M2687" t="n">
        <v>13.45</v>
      </c>
      <c r="N2687" t="n">
        <v>3275.97</v>
      </c>
      <c r="O2687" t="n">
        <v>3.74</v>
      </c>
      <c r="P2687" t="n">
        <v>4</v>
      </c>
      <c r="Q2687" t="n">
        <v>1</v>
      </c>
      <c r="R2687" t="n">
        <v>2020.9</v>
      </c>
      <c r="S2687" t="b">
        <v>1</v>
      </c>
      <c r="T2687" t="n">
        <v>1665694</v>
      </c>
      <c r="U2687" t="n">
        <v>2</v>
      </c>
      <c r="V2687" t="n">
        <v>0.0788</v>
      </c>
      <c r="W2687" t="n">
        <v>2.43</v>
      </c>
      <c r="X2687" t="n">
        <v>77.36</v>
      </c>
      <c r="Y2687">
        <f>VLOOKUP(D2687,$AB$2:$AC$7,2,FALSE)</f>
        <v/>
      </c>
      <c r="Z2687">
        <f>IF(A2687&lt;Y2687,"Yes","No")</f>
        <v/>
      </c>
    </row>
    <row r="2688">
      <c r="A2688" t="n">
        <v>2016</v>
      </c>
      <c r="B2688" t="inlineStr">
        <is>
          <t>Q2</t>
        </is>
      </c>
      <c r="C2688" t="inlineStr">
        <is>
          <t>North America</t>
        </is>
      </c>
      <c r="D2688" t="inlineStr">
        <is>
          <t>Cybertruck</t>
        </is>
      </c>
      <c r="E2688" t="n">
        <v>1997</v>
      </c>
      <c r="F2688" t="n">
        <v>80552.71000000001</v>
      </c>
      <c r="G2688" t="n">
        <v>53</v>
      </c>
      <c r="H2688" t="inlineStr">
        <is>
          <t>Long Range</t>
        </is>
      </c>
      <c r="I2688" t="inlineStr">
        <is>
          <t>AWD</t>
        </is>
      </c>
      <c r="J2688" t="inlineStr">
        <is>
          <t>White</t>
        </is>
      </c>
      <c r="K2688" t="n">
        <v>476</v>
      </c>
      <c r="L2688" t="n">
        <v>35</v>
      </c>
      <c r="M2688" t="n">
        <v>21.13</v>
      </c>
      <c r="N2688" t="n">
        <v>3821.47</v>
      </c>
      <c r="O2688" t="n">
        <v>4.27</v>
      </c>
      <c r="P2688" t="n">
        <v>5</v>
      </c>
      <c r="Q2688" t="n">
        <v>1</v>
      </c>
      <c r="R2688" t="n">
        <v>2020.8</v>
      </c>
      <c r="S2688" t="b">
        <v>1</v>
      </c>
      <c r="T2688" t="n">
        <v>768348</v>
      </c>
      <c r="U2688" t="n">
        <v>5</v>
      </c>
      <c r="V2688" t="n">
        <v>0.0629</v>
      </c>
      <c r="W2688" t="n">
        <v>0.79</v>
      </c>
      <c r="X2688" t="n">
        <v>76.23</v>
      </c>
      <c r="Y2688">
        <f>VLOOKUP(D2688,$AB$2:$AC$7,2,FALSE)</f>
        <v/>
      </c>
      <c r="Z2688">
        <f>IF(A2688&lt;Y2688,"Yes","No")</f>
        <v/>
      </c>
    </row>
    <row r="2689">
      <c r="A2689" t="n">
        <v>2019</v>
      </c>
      <c r="B2689" t="inlineStr">
        <is>
          <t>Q2</t>
        </is>
      </c>
      <c r="C2689" t="inlineStr">
        <is>
          <t>South America</t>
        </is>
      </c>
      <c r="D2689" t="inlineStr">
        <is>
          <t>Model Y</t>
        </is>
      </c>
      <c r="E2689" t="n">
        <v>3829</v>
      </c>
      <c r="F2689" t="n">
        <v>41191.92</v>
      </c>
      <c r="G2689" t="n">
        <v>58</v>
      </c>
      <c r="H2689" t="inlineStr">
        <is>
          <t>Performance</t>
        </is>
      </c>
      <c r="I2689" t="inlineStr">
        <is>
          <t>AWD</t>
        </is>
      </c>
      <c r="J2689" t="inlineStr">
        <is>
          <t>White</t>
        </is>
      </c>
      <c r="K2689" t="n">
        <v>422</v>
      </c>
      <c r="L2689" t="n">
        <v>84</v>
      </c>
      <c r="M2689" t="n">
        <v>15.79</v>
      </c>
      <c r="N2689" t="n">
        <v>5506.34</v>
      </c>
      <c r="O2689" t="n">
        <v>4.1</v>
      </c>
      <c r="P2689" t="n">
        <v>4</v>
      </c>
      <c r="Q2689" t="n">
        <v>0</v>
      </c>
      <c r="R2689" t="n">
        <v>2020.12</v>
      </c>
      <c r="S2689" t="b">
        <v>0</v>
      </c>
      <c r="T2689" t="n">
        <v>3949518</v>
      </c>
      <c r="U2689" t="n">
        <v>11</v>
      </c>
      <c r="V2689" t="n">
        <v>0.0484</v>
      </c>
      <c r="W2689" t="n">
        <v>0.8100000000000001</v>
      </c>
      <c r="X2689" t="n">
        <v>73.81999999999999</v>
      </c>
      <c r="Y2689">
        <f>VLOOKUP(D2689,$AB$2:$AC$7,2,FALSE)</f>
        <v/>
      </c>
      <c r="Z2689">
        <f>IF(A2689&lt;Y2689,"Yes","No")</f>
        <v/>
      </c>
    </row>
    <row r="2690">
      <c r="A2690" t="n">
        <v>2019</v>
      </c>
      <c r="B2690" t="inlineStr">
        <is>
          <t>Q1</t>
        </is>
      </c>
      <c r="C2690" t="inlineStr">
        <is>
          <t>South America</t>
        </is>
      </c>
      <c r="D2690" t="inlineStr">
        <is>
          <t>Model Y</t>
        </is>
      </c>
      <c r="E2690" t="n">
        <v>4390</v>
      </c>
      <c r="F2690" t="n">
        <v>101549.67</v>
      </c>
      <c r="G2690" t="n">
        <v>9</v>
      </c>
      <c r="H2690" t="inlineStr">
        <is>
          <t>Long Range</t>
        </is>
      </c>
      <c r="I2690" t="inlineStr">
        <is>
          <t>AWD</t>
        </is>
      </c>
      <c r="J2690" t="inlineStr">
        <is>
          <t>Silver</t>
        </is>
      </c>
      <c r="K2690" t="n">
        <v>666</v>
      </c>
      <c r="L2690" t="n">
        <v>34</v>
      </c>
      <c r="M2690" t="n">
        <v>15.26</v>
      </c>
      <c r="N2690" t="n">
        <v>6791.07</v>
      </c>
      <c r="O2690" t="n">
        <v>4.78</v>
      </c>
      <c r="P2690" t="n">
        <v>4</v>
      </c>
      <c r="Q2690" t="n">
        <v>1</v>
      </c>
      <c r="R2690" t="n">
        <v>2020.12</v>
      </c>
      <c r="S2690" t="b">
        <v>0</v>
      </c>
      <c r="T2690" t="n">
        <v>2290716</v>
      </c>
      <c r="U2690" t="n">
        <v>6</v>
      </c>
      <c r="V2690" t="n">
        <v>0.0583</v>
      </c>
      <c r="W2690" t="n">
        <v>1.79</v>
      </c>
      <c r="X2690" t="n">
        <v>84.26000000000001</v>
      </c>
      <c r="Y2690">
        <f>VLOOKUP(D2690,$AB$2:$AC$7,2,FALSE)</f>
        <v/>
      </c>
      <c r="Z2690">
        <f>IF(A2690&lt;Y2690,"Yes","No")</f>
        <v/>
      </c>
    </row>
    <row r="2691">
      <c r="A2691" t="n">
        <v>2013</v>
      </c>
      <c r="B2691" t="inlineStr">
        <is>
          <t>Q3</t>
        </is>
      </c>
      <c r="C2691" t="inlineStr">
        <is>
          <t>Asia</t>
        </is>
      </c>
      <c r="D2691" t="inlineStr">
        <is>
          <t>Model X</t>
        </is>
      </c>
      <c r="E2691" t="n">
        <v>1446</v>
      </c>
      <c r="F2691" t="n">
        <v>92043.35000000001</v>
      </c>
      <c r="G2691" t="n">
        <v>13</v>
      </c>
      <c r="H2691" t="inlineStr">
        <is>
          <t>Long Range</t>
        </is>
      </c>
      <c r="I2691" t="inlineStr">
        <is>
          <t>RWD</t>
        </is>
      </c>
      <c r="J2691" t="inlineStr">
        <is>
          <t>Red</t>
        </is>
      </c>
      <c r="K2691" t="n">
        <v>439</v>
      </c>
      <c r="L2691" t="n">
        <v>53</v>
      </c>
      <c r="M2691" t="n">
        <v>21.61</v>
      </c>
      <c r="N2691" t="n">
        <v>2610.25</v>
      </c>
      <c r="O2691" t="n">
        <v>4.93</v>
      </c>
      <c r="P2691" t="n">
        <v>6</v>
      </c>
      <c r="Q2691" t="n">
        <v>0</v>
      </c>
      <c r="R2691" t="n">
        <v>2020.9</v>
      </c>
      <c r="S2691" t="b">
        <v>1</v>
      </c>
      <c r="T2691" t="n">
        <v>967621</v>
      </c>
      <c r="U2691" t="n">
        <v>9</v>
      </c>
      <c r="V2691" t="n">
        <v>0.0186</v>
      </c>
      <c r="W2691" t="n">
        <v>0.5</v>
      </c>
      <c r="X2691" t="n">
        <v>75.7</v>
      </c>
      <c r="Y2691">
        <f>VLOOKUP(D2691,$AB$2:$AC$7,2,FALSE)</f>
        <v/>
      </c>
      <c r="Z2691">
        <f>IF(A2691&lt;Y2691,"Yes","No")</f>
        <v/>
      </c>
    </row>
    <row r="2692">
      <c r="A2692" t="n">
        <v>2019</v>
      </c>
      <c r="B2692" t="inlineStr">
        <is>
          <t>Q3</t>
        </is>
      </c>
      <c r="C2692" t="inlineStr">
        <is>
          <t>South America</t>
        </is>
      </c>
      <c r="D2692" t="inlineStr">
        <is>
          <t>Model X</t>
        </is>
      </c>
      <c r="E2692" t="n">
        <v>2043</v>
      </c>
      <c r="F2692" t="n">
        <v>41816.45</v>
      </c>
      <c r="G2692" t="n">
        <v>38</v>
      </c>
      <c r="H2692" t="inlineStr">
        <is>
          <t>Performance</t>
        </is>
      </c>
      <c r="I2692" t="inlineStr">
        <is>
          <t>RWD</t>
        </is>
      </c>
      <c r="J2692" t="inlineStr">
        <is>
          <t>White</t>
        </is>
      </c>
      <c r="K2692" t="n">
        <v>695</v>
      </c>
      <c r="L2692" t="n">
        <v>82</v>
      </c>
      <c r="M2692" t="n">
        <v>17.76</v>
      </c>
      <c r="N2692" t="n">
        <v>1066.92</v>
      </c>
      <c r="O2692" t="n">
        <v>4.62</v>
      </c>
      <c r="P2692" t="n">
        <v>5</v>
      </c>
      <c r="Q2692" t="n">
        <v>2</v>
      </c>
      <c r="R2692" t="n">
        <v>2022.8</v>
      </c>
      <c r="S2692" t="b">
        <v>0</v>
      </c>
      <c r="T2692" t="n">
        <v>4281089</v>
      </c>
      <c r="U2692" t="n">
        <v>7</v>
      </c>
      <c r="V2692" t="n">
        <v>0.0313</v>
      </c>
      <c r="W2692" t="n">
        <v>1.52</v>
      </c>
      <c r="X2692" t="n">
        <v>89.63</v>
      </c>
      <c r="Y2692">
        <f>VLOOKUP(D2692,$AB$2:$AC$7,2,FALSE)</f>
        <v/>
      </c>
      <c r="Z2692">
        <f>IF(A2692&lt;Y2692,"Yes","No")</f>
        <v/>
      </c>
    </row>
    <row r="2693">
      <c r="A2693" t="n">
        <v>2013</v>
      </c>
      <c r="B2693" t="inlineStr">
        <is>
          <t>Q4</t>
        </is>
      </c>
      <c r="C2693" t="inlineStr">
        <is>
          <t>Australia</t>
        </is>
      </c>
      <c r="D2693" t="inlineStr">
        <is>
          <t>Cybertruck</t>
        </is>
      </c>
      <c r="E2693" t="n">
        <v>1890</v>
      </c>
      <c r="F2693" t="n">
        <v>66328.94</v>
      </c>
      <c r="G2693" t="n">
        <v>8</v>
      </c>
      <c r="H2693" t="inlineStr">
        <is>
          <t>Long Range</t>
        </is>
      </c>
      <c r="I2693" t="inlineStr">
        <is>
          <t>RWD</t>
        </is>
      </c>
      <c r="J2693" t="inlineStr">
        <is>
          <t>Silver</t>
        </is>
      </c>
      <c r="K2693" t="n">
        <v>390</v>
      </c>
      <c r="L2693" t="n">
        <v>81</v>
      </c>
      <c r="M2693" t="n">
        <v>23.12</v>
      </c>
      <c r="N2693" t="n">
        <v>1368.25</v>
      </c>
      <c r="O2693" t="n">
        <v>4.77</v>
      </c>
      <c r="P2693" t="n">
        <v>4</v>
      </c>
      <c r="Q2693" t="n">
        <v>3</v>
      </c>
      <c r="R2693" t="n">
        <v>2021.2</v>
      </c>
      <c r="S2693" t="b">
        <v>0</v>
      </c>
      <c r="T2693" t="n">
        <v>2242865</v>
      </c>
      <c r="U2693" t="n">
        <v>6</v>
      </c>
      <c r="V2693" t="n">
        <v>0.0479</v>
      </c>
      <c r="W2693" t="n">
        <v>2.04</v>
      </c>
      <c r="X2693" t="n">
        <v>66.05</v>
      </c>
      <c r="Y2693">
        <f>VLOOKUP(D2693,$AB$2:$AC$7,2,FALSE)</f>
        <v/>
      </c>
      <c r="Z2693">
        <f>IF(A2693&lt;Y2693,"Yes","No")</f>
        <v/>
      </c>
    </row>
    <row r="2694">
      <c r="A2694" t="n">
        <v>2018</v>
      </c>
      <c r="B2694" t="inlineStr">
        <is>
          <t>Q1</t>
        </is>
      </c>
      <c r="C2694" t="inlineStr">
        <is>
          <t>Asia</t>
        </is>
      </c>
      <c r="D2694" t="inlineStr">
        <is>
          <t>Semi</t>
        </is>
      </c>
      <c r="E2694" t="n">
        <v>650</v>
      </c>
      <c r="F2694" t="n">
        <v>68007.86</v>
      </c>
      <c r="G2694" t="n">
        <v>39</v>
      </c>
      <c r="H2694" t="inlineStr">
        <is>
          <t>Standard</t>
        </is>
      </c>
      <c r="I2694" t="inlineStr">
        <is>
          <t>AWD</t>
        </is>
      </c>
      <c r="J2694" t="inlineStr">
        <is>
          <t>Blue</t>
        </is>
      </c>
      <c r="K2694" t="n">
        <v>374</v>
      </c>
      <c r="L2694" t="n">
        <v>70</v>
      </c>
      <c r="M2694" t="n">
        <v>16.25</v>
      </c>
      <c r="N2694" t="n">
        <v>686.59</v>
      </c>
      <c r="O2694" t="n">
        <v>3.67</v>
      </c>
      <c r="P2694" t="n">
        <v>8</v>
      </c>
      <c r="Q2694" t="n">
        <v>2</v>
      </c>
      <c r="R2694" t="n">
        <v>2024.3</v>
      </c>
      <c r="S2694" t="b">
        <v>1</v>
      </c>
      <c r="T2694" t="n">
        <v>309521</v>
      </c>
      <c r="U2694" t="n">
        <v>8</v>
      </c>
      <c r="V2694" t="n">
        <v>0.0725</v>
      </c>
      <c r="W2694" t="n">
        <v>1.35</v>
      </c>
      <c r="X2694" t="n">
        <v>85.5</v>
      </c>
      <c r="Y2694">
        <f>VLOOKUP(D2694,$AB$2:$AC$7,2,FALSE)</f>
        <v/>
      </c>
      <c r="Z2694">
        <f>IF(A2694&lt;Y2694,"Yes","No")</f>
        <v/>
      </c>
    </row>
    <row r="2695">
      <c r="A2695" t="n">
        <v>2021</v>
      </c>
      <c r="B2695" t="inlineStr">
        <is>
          <t>Q1</t>
        </is>
      </c>
      <c r="C2695" t="inlineStr">
        <is>
          <t>North America</t>
        </is>
      </c>
      <c r="D2695" t="inlineStr">
        <is>
          <t>Model Y</t>
        </is>
      </c>
      <c r="E2695" t="n">
        <v>2275</v>
      </c>
      <c r="F2695" t="n">
        <v>101450.33</v>
      </c>
      <c r="G2695" t="n">
        <v>55</v>
      </c>
      <c r="H2695" t="inlineStr">
        <is>
          <t>Long Range</t>
        </is>
      </c>
      <c r="I2695" t="inlineStr">
        <is>
          <t>AWD</t>
        </is>
      </c>
      <c r="J2695" t="inlineStr">
        <is>
          <t>White</t>
        </is>
      </c>
      <c r="K2695" t="n">
        <v>432</v>
      </c>
      <c r="L2695" t="n">
        <v>47</v>
      </c>
      <c r="M2695" t="n">
        <v>23.3</v>
      </c>
      <c r="N2695" t="n">
        <v>4974.51</v>
      </c>
      <c r="O2695" t="n">
        <v>4.88</v>
      </c>
      <c r="P2695" t="n">
        <v>4</v>
      </c>
      <c r="Q2695" t="n">
        <v>1</v>
      </c>
      <c r="R2695" t="n">
        <v>2020.7</v>
      </c>
      <c r="S2695" t="b">
        <v>0</v>
      </c>
      <c r="T2695" t="n">
        <v>4190365</v>
      </c>
      <c r="U2695" t="n">
        <v>5</v>
      </c>
      <c r="V2695" t="n">
        <v>0.07190000000000001</v>
      </c>
      <c r="W2695" t="n">
        <v>0.55</v>
      </c>
      <c r="X2695" t="n">
        <v>75.87</v>
      </c>
      <c r="Y2695">
        <f>VLOOKUP(D2695,$AB$2:$AC$7,2,FALSE)</f>
        <v/>
      </c>
      <c r="Z2695">
        <f>IF(A2695&lt;Y2695,"Yes","No")</f>
        <v/>
      </c>
    </row>
    <row r="2696">
      <c r="A2696" t="n">
        <v>2017</v>
      </c>
      <c r="B2696" t="inlineStr">
        <is>
          <t>Q2</t>
        </is>
      </c>
      <c r="C2696" t="inlineStr">
        <is>
          <t>Asia</t>
        </is>
      </c>
      <c r="D2696" t="inlineStr">
        <is>
          <t>Cybertruck</t>
        </is>
      </c>
      <c r="E2696" t="n">
        <v>4671</v>
      </c>
      <c r="F2696" t="n">
        <v>82596.19</v>
      </c>
      <c r="G2696" t="n">
        <v>10</v>
      </c>
      <c r="H2696" t="inlineStr">
        <is>
          <t>Performance</t>
        </is>
      </c>
      <c r="I2696" t="inlineStr">
        <is>
          <t>RWD</t>
        </is>
      </c>
      <c r="J2696" t="inlineStr">
        <is>
          <t>Black</t>
        </is>
      </c>
      <c r="K2696" t="n">
        <v>518</v>
      </c>
      <c r="L2696" t="n">
        <v>72</v>
      </c>
      <c r="M2696" t="n">
        <v>20.23</v>
      </c>
      <c r="N2696" t="n">
        <v>10727.08</v>
      </c>
      <c r="O2696" t="n">
        <v>4.74</v>
      </c>
      <c r="P2696" t="n">
        <v>6</v>
      </c>
      <c r="Q2696" t="n">
        <v>0</v>
      </c>
      <c r="R2696" t="n">
        <v>2021.4</v>
      </c>
      <c r="S2696" t="b">
        <v>1</v>
      </c>
      <c r="T2696" t="n">
        <v>680330</v>
      </c>
      <c r="U2696" t="n">
        <v>8</v>
      </c>
      <c r="V2696" t="n">
        <v>0.0769</v>
      </c>
      <c r="W2696" t="n">
        <v>1.25</v>
      </c>
      <c r="X2696" t="n">
        <v>68.05</v>
      </c>
      <c r="Y2696">
        <f>VLOOKUP(D2696,$AB$2:$AC$7,2,FALSE)</f>
        <v/>
      </c>
      <c r="Z2696">
        <f>IF(A2696&lt;Y2696,"Yes","No")</f>
        <v/>
      </c>
    </row>
    <row r="2697">
      <c r="A2697" t="n">
        <v>2014</v>
      </c>
      <c r="B2697" t="inlineStr">
        <is>
          <t>Q2</t>
        </is>
      </c>
      <c r="C2697" t="inlineStr">
        <is>
          <t>Europe</t>
        </is>
      </c>
      <c r="D2697" t="inlineStr">
        <is>
          <t>Model X</t>
        </is>
      </c>
      <c r="E2697" t="n">
        <v>3452</v>
      </c>
      <c r="F2697" t="n">
        <v>83191.53999999999</v>
      </c>
      <c r="G2697" t="n">
        <v>22</v>
      </c>
      <c r="H2697" t="inlineStr">
        <is>
          <t>Long Range</t>
        </is>
      </c>
      <c r="I2697" t="inlineStr">
        <is>
          <t>AWD</t>
        </is>
      </c>
      <c r="J2697" t="inlineStr">
        <is>
          <t>Blue</t>
        </is>
      </c>
      <c r="K2697" t="n">
        <v>665</v>
      </c>
      <c r="L2697" t="n">
        <v>61</v>
      </c>
      <c r="M2697" t="n">
        <v>19.62</v>
      </c>
      <c r="N2697" t="n">
        <v>7194.32</v>
      </c>
      <c r="O2697" t="n">
        <v>4.49</v>
      </c>
      <c r="P2697" t="n">
        <v>8</v>
      </c>
      <c r="Q2697" t="n">
        <v>3</v>
      </c>
      <c r="R2697" t="n">
        <v>2023.3</v>
      </c>
      <c r="S2697" t="b">
        <v>1</v>
      </c>
      <c r="T2697" t="n">
        <v>2683846</v>
      </c>
      <c r="U2697" t="n">
        <v>5</v>
      </c>
      <c r="V2697" t="n">
        <v>0.09320000000000001</v>
      </c>
      <c r="W2697" t="n">
        <v>2.49</v>
      </c>
      <c r="X2697" t="n">
        <v>85.68000000000001</v>
      </c>
      <c r="Y2697">
        <f>VLOOKUP(D2697,$AB$2:$AC$7,2,FALSE)</f>
        <v/>
      </c>
      <c r="Z2697">
        <f>IF(A2697&lt;Y2697,"Yes","No")</f>
        <v/>
      </c>
    </row>
    <row r="2698">
      <c r="A2698" t="n">
        <v>2020</v>
      </c>
      <c r="B2698" t="inlineStr">
        <is>
          <t>Q3</t>
        </is>
      </c>
      <c r="C2698" t="inlineStr">
        <is>
          <t>Europe</t>
        </is>
      </c>
      <c r="D2698" t="inlineStr">
        <is>
          <t>Model Y</t>
        </is>
      </c>
      <c r="E2698" t="n">
        <v>960</v>
      </c>
      <c r="F2698" t="n">
        <v>97671.96000000001</v>
      </c>
      <c r="G2698" t="n">
        <v>46</v>
      </c>
      <c r="H2698" t="inlineStr">
        <is>
          <t>Performance</t>
        </is>
      </c>
      <c r="I2698" t="inlineStr">
        <is>
          <t>RWD</t>
        </is>
      </c>
      <c r="J2698" t="inlineStr">
        <is>
          <t>White</t>
        </is>
      </c>
      <c r="K2698" t="n">
        <v>563</v>
      </c>
      <c r="L2698" t="n">
        <v>48</v>
      </c>
      <c r="M2698" t="n">
        <v>24.15</v>
      </c>
      <c r="N2698" t="n">
        <v>1170</v>
      </c>
      <c r="O2698" t="n">
        <v>3.83</v>
      </c>
      <c r="P2698" t="n">
        <v>5</v>
      </c>
      <c r="Q2698" t="n">
        <v>2</v>
      </c>
      <c r="R2698" t="n">
        <v>2020.4</v>
      </c>
      <c r="S2698" t="b">
        <v>0</v>
      </c>
      <c r="T2698" t="n">
        <v>4184770</v>
      </c>
      <c r="U2698" t="n">
        <v>8</v>
      </c>
      <c r="V2698" t="n">
        <v>0.09420000000000001</v>
      </c>
      <c r="W2698" t="n">
        <v>1.3</v>
      </c>
      <c r="X2698" t="n">
        <v>82.23999999999999</v>
      </c>
      <c r="Y2698">
        <f>VLOOKUP(D2698,$AB$2:$AC$7,2,FALSE)</f>
        <v/>
      </c>
      <c r="Z2698">
        <f>IF(A2698&lt;Y2698,"Yes","No")</f>
        <v/>
      </c>
    </row>
    <row r="2699">
      <c r="A2699" t="n">
        <v>2023</v>
      </c>
      <c r="B2699" t="inlineStr">
        <is>
          <t>Q3</t>
        </is>
      </c>
      <c r="C2699" t="inlineStr">
        <is>
          <t>Asia</t>
        </is>
      </c>
      <c r="D2699" t="inlineStr">
        <is>
          <t>Model S</t>
        </is>
      </c>
      <c r="E2699" t="n">
        <v>3472</v>
      </c>
      <c r="F2699" t="n">
        <v>68409.91</v>
      </c>
      <c r="G2699" t="n">
        <v>38</v>
      </c>
      <c r="H2699" t="inlineStr">
        <is>
          <t>Performance</t>
        </is>
      </c>
      <c r="I2699" t="inlineStr">
        <is>
          <t>RWD</t>
        </is>
      </c>
      <c r="J2699" t="inlineStr">
        <is>
          <t>Black</t>
        </is>
      </c>
      <c r="K2699" t="n">
        <v>524</v>
      </c>
      <c r="L2699" t="n">
        <v>43</v>
      </c>
      <c r="M2699" t="n">
        <v>14.94</v>
      </c>
      <c r="N2699" t="n">
        <v>3047.19</v>
      </c>
      <c r="O2699" t="n">
        <v>4.37</v>
      </c>
      <c r="P2699" t="n">
        <v>4</v>
      </c>
      <c r="Q2699" t="n">
        <v>0</v>
      </c>
      <c r="R2699" t="n">
        <v>2020.2</v>
      </c>
      <c r="S2699" t="b">
        <v>0</v>
      </c>
      <c r="T2699" t="n">
        <v>1566800</v>
      </c>
      <c r="U2699" t="n">
        <v>3</v>
      </c>
      <c r="V2699" t="n">
        <v>0.06859999999999999</v>
      </c>
      <c r="W2699" t="n">
        <v>1.64</v>
      </c>
      <c r="X2699" t="n">
        <v>81.81</v>
      </c>
      <c r="Y2699">
        <f>VLOOKUP(D2699,$AB$2:$AC$7,2,FALSE)</f>
        <v/>
      </c>
      <c r="Z2699">
        <f>IF(A2699&lt;Y2699,"Yes","No")</f>
        <v/>
      </c>
    </row>
    <row r="2700">
      <c r="A2700" t="n">
        <v>2023</v>
      </c>
      <c r="B2700" t="inlineStr">
        <is>
          <t>Q1</t>
        </is>
      </c>
      <c r="C2700" t="inlineStr">
        <is>
          <t>Europe</t>
        </is>
      </c>
      <c r="D2700" t="inlineStr">
        <is>
          <t>Model S</t>
        </is>
      </c>
      <c r="E2700" t="n">
        <v>289</v>
      </c>
      <c r="F2700" t="n">
        <v>103875.64</v>
      </c>
      <c r="G2700" t="n">
        <v>27</v>
      </c>
      <c r="H2700" t="inlineStr">
        <is>
          <t>Performance</t>
        </is>
      </c>
      <c r="I2700" t="inlineStr">
        <is>
          <t>RWD</t>
        </is>
      </c>
      <c r="J2700" t="inlineStr">
        <is>
          <t>Blue</t>
        </is>
      </c>
      <c r="K2700" t="n">
        <v>434</v>
      </c>
      <c r="L2700" t="n">
        <v>72</v>
      </c>
      <c r="M2700" t="n">
        <v>15.44</v>
      </c>
      <c r="N2700" t="n">
        <v>392.36</v>
      </c>
      <c r="O2700" t="n">
        <v>3.68</v>
      </c>
      <c r="P2700" t="n">
        <v>4</v>
      </c>
      <c r="Q2700" t="n">
        <v>0</v>
      </c>
      <c r="R2700" t="n">
        <v>2024.7</v>
      </c>
      <c r="S2700" t="b">
        <v>1</v>
      </c>
      <c r="T2700" t="n">
        <v>4978599</v>
      </c>
      <c r="U2700" t="n">
        <v>3</v>
      </c>
      <c r="V2700" t="n">
        <v>0.0896</v>
      </c>
      <c r="W2700" t="n">
        <v>0.99</v>
      </c>
      <c r="X2700" t="n">
        <v>84.84</v>
      </c>
      <c r="Y2700">
        <f>VLOOKUP(D2700,$AB$2:$AC$7,2,FALSE)</f>
        <v/>
      </c>
      <c r="Z2700">
        <f>IF(A2700&lt;Y2700,"Yes","No")</f>
        <v/>
      </c>
    </row>
    <row r="2701">
      <c r="A2701" t="n">
        <v>2023</v>
      </c>
      <c r="B2701" t="inlineStr">
        <is>
          <t>Q4</t>
        </is>
      </c>
      <c r="C2701" t="inlineStr">
        <is>
          <t>Asia</t>
        </is>
      </c>
      <c r="D2701" t="inlineStr">
        <is>
          <t>Model S</t>
        </is>
      </c>
      <c r="E2701" t="n">
        <v>3434</v>
      </c>
      <c r="F2701" t="n">
        <v>85373.42</v>
      </c>
      <c r="G2701" t="n">
        <v>60</v>
      </c>
      <c r="H2701" t="inlineStr">
        <is>
          <t>Performance</t>
        </is>
      </c>
      <c r="I2701" t="inlineStr">
        <is>
          <t>AWD</t>
        </is>
      </c>
      <c r="J2701" t="inlineStr">
        <is>
          <t>White</t>
        </is>
      </c>
      <c r="K2701" t="n">
        <v>388</v>
      </c>
      <c r="L2701" t="n">
        <v>62</v>
      </c>
      <c r="M2701" t="n">
        <v>22.83</v>
      </c>
      <c r="N2701" t="n">
        <v>2035.78</v>
      </c>
      <c r="O2701" t="n">
        <v>4.47</v>
      </c>
      <c r="P2701" t="n">
        <v>8</v>
      </c>
      <c r="Q2701" t="n">
        <v>1</v>
      </c>
      <c r="R2701" t="n">
        <v>2022.1</v>
      </c>
      <c r="S2701" t="b">
        <v>1</v>
      </c>
      <c r="T2701" t="n">
        <v>1114555</v>
      </c>
      <c r="U2701" t="n">
        <v>10</v>
      </c>
      <c r="V2701" t="n">
        <v>0.08069999999999999</v>
      </c>
      <c r="W2701" t="n">
        <v>1.1</v>
      </c>
      <c r="X2701" t="n">
        <v>73.8</v>
      </c>
      <c r="Y2701">
        <f>VLOOKUP(D2701,$AB$2:$AC$7,2,FALSE)</f>
        <v/>
      </c>
      <c r="Z2701">
        <f>IF(A2701&lt;Y2701,"Yes","No")</f>
        <v/>
      </c>
    </row>
    <row r="2702">
      <c r="A2702" t="n">
        <v>2016</v>
      </c>
      <c r="B2702" t="inlineStr">
        <is>
          <t>Q1</t>
        </is>
      </c>
      <c r="C2702" t="inlineStr">
        <is>
          <t>Australia</t>
        </is>
      </c>
      <c r="D2702" t="inlineStr">
        <is>
          <t>Model 3</t>
        </is>
      </c>
      <c r="E2702" t="n">
        <v>1545</v>
      </c>
      <c r="F2702" t="n">
        <v>49025.76</v>
      </c>
      <c r="G2702" t="n">
        <v>33</v>
      </c>
      <c r="H2702" t="inlineStr">
        <is>
          <t>Long Range</t>
        </is>
      </c>
      <c r="I2702" t="inlineStr">
        <is>
          <t>RWD</t>
        </is>
      </c>
      <c r="J2702" t="inlineStr">
        <is>
          <t>Blue</t>
        </is>
      </c>
      <c r="K2702" t="n">
        <v>464</v>
      </c>
      <c r="L2702" t="n">
        <v>82</v>
      </c>
      <c r="M2702" t="n">
        <v>24.48</v>
      </c>
      <c r="N2702" t="n">
        <v>2077.65</v>
      </c>
      <c r="O2702" t="n">
        <v>4.74</v>
      </c>
      <c r="P2702" t="n">
        <v>4</v>
      </c>
      <c r="Q2702" t="n">
        <v>1</v>
      </c>
      <c r="R2702" t="n">
        <v>2021.6</v>
      </c>
      <c r="S2702" t="b">
        <v>1</v>
      </c>
      <c r="T2702" t="n">
        <v>878027</v>
      </c>
      <c r="U2702" t="n">
        <v>9</v>
      </c>
      <c r="V2702" t="n">
        <v>0.0668</v>
      </c>
      <c r="W2702" t="n">
        <v>1.82</v>
      </c>
      <c r="X2702" t="n">
        <v>89.98999999999999</v>
      </c>
      <c r="Y2702">
        <f>VLOOKUP(D2702,$AB$2:$AC$7,2,FALSE)</f>
        <v/>
      </c>
      <c r="Z2702">
        <f>IF(A2702&lt;Y2702,"Yes","No")</f>
        <v/>
      </c>
    </row>
    <row r="2703">
      <c r="A2703" t="n">
        <v>2013</v>
      </c>
      <c r="B2703" t="inlineStr">
        <is>
          <t>Q1</t>
        </is>
      </c>
      <c r="C2703" t="inlineStr">
        <is>
          <t>South America</t>
        </is>
      </c>
      <c r="D2703" t="inlineStr">
        <is>
          <t>Model 3</t>
        </is>
      </c>
      <c r="E2703" t="n">
        <v>4429</v>
      </c>
      <c r="F2703" t="n">
        <v>83783.86</v>
      </c>
      <c r="G2703" t="n">
        <v>15</v>
      </c>
      <c r="H2703" t="inlineStr">
        <is>
          <t>Standard</t>
        </is>
      </c>
      <c r="I2703" t="inlineStr">
        <is>
          <t>RWD</t>
        </is>
      </c>
      <c r="J2703" t="inlineStr">
        <is>
          <t>Red</t>
        </is>
      </c>
      <c r="K2703" t="n">
        <v>360</v>
      </c>
      <c r="L2703" t="n">
        <v>39</v>
      </c>
      <c r="M2703" t="n">
        <v>18.44</v>
      </c>
      <c r="N2703" t="n">
        <v>7621.71</v>
      </c>
      <c r="O2703" t="n">
        <v>4.03</v>
      </c>
      <c r="P2703" t="n">
        <v>4</v>
      </c>
      <c r="Q2703" t="n">
        <v>2</v>
      </c>
      <c r="R2703" t="n">
        <v>2023.11</v>
      </c>
      <c r="S2703" t="b">
        <v>0</v>
      </c>
      <c r="T2703" t="n">
        <v>530174</v>
      </c>
      <c r="U2703" t="n">
        <v>7</v>
      </c>
      <c r="V2703" t="n">
        <v>0.0439</v>
      </c>
      <c r="W2703" t="n">
        <v>0.99</v>
      </c>
      <c r="X2703" t="n">
        <v>87.08</v>
      </c>
      <c r="Y2703">
        <f>VLOOKUP(D2703,$AB$2:$AC$7,2,FALSE)</f>
        <v/>
      </c>
      <c r="Z2703">
        <f>IF(A2703&lt;Y2703,"Yes","No")</f>
        <v/>
      </c>
    </row>
    <row r="2704">
      <c r="A2704" t="n">
        <v>2012</v>
      </c>
      <c r="B2704" t="inlineStr">
        <is>
          <t>Q3</t>
        </is>
      </c>
      <c r="C2704" t="inlineStr">
        <is>
          <t>Australia</t>
        </is>
      </c>
      <c r="D2704" t="inlineStr">
        <is>
          <t>Cybertruck</t>
        </is>
      </c>
      <c r="E2704" t="n">
        <v>3739</v>
      </c>
      <c r="F2704" t="n">
        <v>69337.95</v>
      </c>
      <c r="G2704" t="n">
        <v>32</v>
      </c>
      <c r="H2704" t="inlineStr">
        <is>
          <t>Performance</t>
        </is>
      </c>
      <c r="I2704" t="inlineStr">
        <is>
          <t>RWD</t>
        </is>
      </c>
      <c r="J2704" t="inlineStr">
        <is>
          <t>Green</t>
        </is>
      </c>
      <c r="K2704" t="n">
        <v>486</v>
      </c>
      <c r="L2704" t="n">
        <v>42</v>
      </c>
      <c r="M2704" t="n">
        <v>16.13</v>
      </c>
      <c r="N2704" t="n">
        <v>6679.2</v>
      </c>
      <c r="O2704" t="n">
        <v>4.7</v>
      </c>
      <c r="P2704" t="n">
        <v>6</v>
      </c>
      <c r="Q2704" t="n">
        <v>2</v>
      </c>
      <c r="R2704" t="n">
        <v>2024.3</v>
      </c>
      <c r="S2704" t="b">
        <v>0</v>
      </c>
      <c r="T2704" t="n">
        <v>2270068</v>
      </c>
      <c r="U2704" t="n">
        <v>8</v>
      </c>
      <c r="V2704" t="n">
        <v>0.0856</v>
      </c>
      <c r="W2704" t="n">
        <v>2.43</v>
      </c>
      <c r="X2704" t="n">
        <v>85.43000000000001</v>
      </c>
      <c r="Y2704">
        <f>VLOOKUP(D2704,$AB$2:$AC$7,2,FALSE)</f>
        <v/>
      </c>
      <c r="Z2704">
        <f>IF(A2704&lt;Y2704,"Yes","No")</f>
        <v/>
      </c>
    </row>
    <row r="2705">
      <c r="A2705" t="n">
        <v>2015</v>
      </c>
      <c r="B2705" t="inlineStr">
        <is>
          <t>Q2</t>
        </is>
      </c>
      <c r="C2705" t="inlineStr">
        <is>
          <t>Europe</t>
        </is>
      </c>
      <c r="D2705" t="inlineStr">
        <is>
          <t>Model S</t>
        </is>
      </c>
      <c r="E2705" t="n">
        <v>392</v>
      </c>
      <c r="F2705" t="n">
        <v>53931.78</v>
      </c>
      <c r="G2705" t="n">
        <v>0</v>
      </c>
      <c r="H2705" t="inlineStr">
        <is>
          <t>Long Range</t>
        </is>
      </c>
      <c r="I2705" t="inlineStr">
        <is>
          <t>RWD</t>
        </is>
      </c>
      <c r="J2705" t="inlineStr">
        <is>
          <t>Red</t>
        </is>
      </c>
      <c r="K2705" t="n">
        <v>545</v>
      </c>
      <c r="L2705" t="n">
        <v>72</v>
      </c>
      <c r="M2705" t="n">
        <v>17.86</v>
      </c>
      <c r="N2705" t="n">
        <v>887.09</v>
      </c>
      <c r="O2705" t="n">
        <v>3.85</v>
      </c>
      <c r="P2705" t="n">
        <v>5</v>
      </c>
      <c r="Q2705" t="n">
        <v>2</v>
      </c>
      <c r="R2705" t="n">
        <v>2021.12</v>
      </c>
      <c r="S2705" t="b">
        <v>1</v>
      </c>
      <c r="T2705" t="n">
        <v>1113952</v>
      </c>
      <c r="U2705" t="n">
        <v>4</v>
      </c>
      <c r="V2705" t="n">
        <v>0.067</v>
      </c>
      <c r="W2705" t="n">
        <v>2.11</v>
      </c>
      <c r="X2705" t="n">
        <v>84.11</v>
      </c>
      <c r="Y2705">
        <f>VLOOKUP(D2705,$AB$2:$AC$7,2,FALSE)</f>
        <v/>
      </c>
      <c r="Z2705">
        <f>IF(A2705&lt;Y2705,"Yes","No")</f>
        <v/>
      </c>
    </row>
    <row r="2706">
      <c r="A2706" t="n">
        <v>2021</v>
      </c>
      <c r="B2706" t="inlineStr">
        <is>
          <t>Q3</t>
        </is>
      </c>
      <c r="C2706" t="inlineStr">
        <is>
          <t>North America</t>
        </is>
      </c>
      <c r="D2706" t="inlineStr">
        <is>
          <t>Model S</t>
        </is>
      </c>
      <c r="E2706" t="n">
        <v>939</v>
      </c>
      <c r="F2706" t="n">
        <v>42630.52</v>
      </c>
      <c r="G2706" t="n">
        <v>37</v>
      </c>
      <c r="H2706" t="inlineStr">
        <is>
          <t>Long Range</t>
        </is>
      </c>
      <c r="I2706" t="inlineStr">
        <is>
          <t>AWD</t>
        </is>
      </c>
      <c r="J2706" t="inlineStr">
        <is>
          <t>Red</t>
        </is>
      </c>
      <c r="K2706" t="n">
        <v>599</v>
      </c>
      <c r="L2706" t="n">
        <v>72</v>
      </c>
      <c r="M2706" t="n">
        <v>21.67</v>
      </c>
      <c r="N2706" t="n">
        <v>661.26</v>
      </c>
      <c r="O2706" t="n">
        <v>4.24</v>
      </c>
      <c r="P2706" t="n">
        <v>6</v>
      </c>
      <c r="Q2706" t="n">
        <v>0</v>
      </c>
      <c r="R2706" t="n">
        <v>2022.7</v>
      </c>
      <c r="S2706" t="b">
        <v>0</v>
      </c>
      <c r="T2706" t="n">
        <v>3590528</v>
      </c>
      <c r="U2706" t="n">
        <v>8</v>
      </c>
      <c r="V2706" t="n">
        <v>0.06859999999999999</v>
      </c>
      <c r="W2706" t="n">
        <v>1.4</v>
      </c>
      <c r="X2706" t="n">
        <v>74.81</v>
      </c>
      <c r="Y2706">
        <f>VLOOKUP(D2706,$AB$2:$AC$7,2,FALSE)</f>
        <v/>
      </c>
      <c r="Z2706">
        <f>IF(A2706&lt;Y2706,"Yes","No")</f>
        <v/>
      </c>
    </row>
    <row r="2707">
      <c r="A2707" t="n">
        <v>2022</v>
      </c>
      <c r="B2707" t="inlineStr">
        <is>
          <t>Q3</t>
        </is>
      </c>
      <c r="C2707" t="inlineStr">
        <is>
          <t>Europe</t>
        </is>
      </c>
      <c r="D2707" t="inlineStr">
        <is>
          <t>Semi</t>
        </is>
      </c>
      <c r="E2707" t="n">
        <v>3939</v>
      </c>
      <c r="F2707" t="n">
        <v>51586.54</v>
      </c>
      <c r="G2707" t="n">
        <v>59</v>
      </c>
      <c r="H2707" t="inlineStr">
        <is>
          <t>Long Range</t>
        </is>
      </c>
      <c r="I2707" t="inlineStr">
        <is>
          <t>RWD</t>
        </is>
      </c>
      <c r="J2707" t="inlineStr">
        <is>
          <t>Red</t>
        </is>
      </c>
      <c r="K2707" t="n">
        <v>480</v>
      </c>
      <c r="L2707" t="n">
        <v>45</v>
      </c>
      <c r="M2707" t="n">
        <v>17.48</v>
      </c>
      <c r="N2707" t="n">
        <v>3855.46</v>
      </c>
      <c r="O2707" t="n">
        <v>3.98</v>
      </c>
      <c r="P2707" t="n">
        <v>6</v>
      </c>
      <c r="Q2707" t="n">
        <v>3</v>
      </c>
      <c r="R2707" t="n">
        <v>2021.3</v>
      </c>
      <c r="S2707" t="b">
        <v>1</v>
      </c>
      <c r="T2707" t="n">
        <v>4591475</v>
      </c>
      <c r="U2707" t="n">
        <v>6</v>
      </c>
      <c r="V2707" t="n">
        <v>0.0512</v>
      </c>
      <c r="W2707" t="n">
        <v>2.35</v>
      </c>
      <c r="X2707" t="n">
        <v>71.61</v>
      </c>
      <c r="Y2707">
        <f>VLOOKUP(D2707,$AB$2:$AC$7,2,FALSE)</f>
        <v/>
      </c>
      <c r="Z2707">
        <f>IF(A2707&lt;Y2707,"Yes","No")</f>
        <v/>
      </c>
    </row>
    <row r="2708">
      <c r="A2708" t="n">
        <v>2012</v>
      </c>
      <c r="B2708" t="inlineStr">
        <is>
          <t>Q4</t>
        </is>
      </c>
      <c r="C2708" t="inlineStr">
        <is>
          <t>Asia</t>
        </is>
      </c>
      <c r="D2708" t="inlineStr">
        <is>
          <t>Cybertruck</t>
        </is>
      </c>
      <c r="E2708" t="n">
        <v>61</v>
      </c>
      <c r="F2708" t="n">
        <v>83921.61</v>
      </c>
      <c r="G2708" t="n">
        <v>58</v>
      </c>
      <c r="H2708" t="inlineStr">
        <is>
          <t>Standard</t>
        </is>
      </c>
      <c r="I2708" t="inlineStr">
        <is>
          <t>AWD</t>
        </is>
      </c>
      <c r="J2708" t="inlineStr">
        <is>
          <t>Blue</t>
        </is>
      </c>
      <c r="K2708" t="n">
        <v>405</v>
      </c>
      <c r="L2708" t="n">
        <v>68</v>
      </c>
      <c r="M2708" t="n">
        <v>15.72</v>
      </c>
      <c r="N2708" t="n">
        <v>98.2</v>
      </c>
      <c r="O2708" t="n">
        <v>4.05</v>
      </c>
      <c r="P2708" t="n">
        <v>6</v>
      </c>
      <c r="Q2708" t="n">
        <v>0</v>
      </c>
      <c r="R2708" t="n">
        <v>2024.6</v>
      </c>
      <c r="S2708" t="b">
        <v>0</v>
      </c>
      <c r="T2708" t="n">
        <v>575783</v>
      </c>
      <c r="U2708" t="n">
        <v>2</v>
      </c>
      <c r="V2708" t="n">
        <v>0.038</v>
      </c>
      <c r="W2708" t="n">
        <v>1.52</v>
      </c>
      <c r="X2708" t="n">
        <v>78.16</v>
      </c>
      <c r="Y2708">
        <f>VLOOKUP(D2708,$AB$2:$AC$7,2,FALSE)</f>
        <v/>
      </c>
      <c r="Z2708">
        <f>IF(A2708&lt;Y2708,"Yes","No")</f>
        <v/>
      </c>
    </row>
    <row r="2709">
      <c r="A2709" t="n">
        <v>2018</v>
      </c>
      <c r="B2709" t="inlineStr">
        <is>
          <t>Q3</t>
        </is>
      </c>
      <c r="C2709" t="inlineStr">
        <is>
          <t>Australia</t>
        </is>
      </c>
      <c r="D2709" t="inlineStr">
        <is>
          <t>Model S</t>
        </is>
      </c>
      <c r="E2709" t="n">
        <v>4572</v>
      </c>
      <c r="F2709" t="n">
        <v>56251.7</v>
      </c>
      <c r="G2709" t="n">
        <v>36</v>
      </c>
      <c r="H2709" t="inlineStr">
        <is>
          <t>Long Range</t>
        </is>
      </c>
      <c r="I2709" t="inlineStr">
        <is>
          <t>RWD</t>
        </is>
      </c>
      <c r="J2709" t="inlineStr">
        <is>
          <t>Green</t>
        </is>
      </c>
      <c r="K2709" t="n">
        <v>489</v>
      </c>
      <c r="L2709" t="n">
        <v>68</v>
      </c>
      <c r="M2709" t="n">
        <v>23.3</v>
      </c>
      <c r="N2709" t="n">
        <v>10570.93</v>
      </c>
      <c r="O2709" t="n">
        <v>4.62</v>
      </c>
      <c r="P2709" t="n">
        <v>8</v>
      </c>
      <c r="Q2709" t="n">
        <v>3</v>
      </c>
      <c r="R2709" t="n">
        <v>2022.6</v>
      </c>
      <c r="S2709" t="b">
        <v>0</v>
      </c>
      <c r="T2709" t="n">
        <v>657816</v>
      </c>
      <c r="U2709" t="n">
        <v>4</v>
      </c>
      <c r="V2709" t="n">
        <v>0.0321</v>
      </c>
      <c r="W2709" t="n">
        <v>0.53</v>
      </c>
      <c r="X2709" t="n">
        <v>89.51000000000001</v>
      </c>
      <c r="Y2709">
        <f>VLOOKUP(D2709,$AB$2:$AC$7,2,FALSE)</f>
        <v/>
      </c>
      <c r="Z2709">
        <f>IF(A2709&lt;Y2709,"Yes","No")</f>
        <v/>
      </c>
    </row>
    <row r="2710">
      <c r="A2710" t="n">
        <v>2024</v>
      </c>
      <c r="B2710" t="inlineStr">
        <is>
          <t>Q3</t>
        </is>
      </c>
      <c r="C2710" t="inlineStr">
        <is>
          <t>Europe</t>
        </is>
      </c>
      <c r="D2710" t="inlineStr">
        <is>
          <t>Model 3</t>
        </is>
      </c>
      <c r="E2710" t="n">
        <v>265</v>
      </c>
      <c r="F2710" t="n">
        <v>109996.98</v>
      </c>
      <c r="G2710" t="n">
        <v>1</v>
      </c>
      <c r="H2710" t="inlineStr">
        <is>
          <t>Performance</t>
        </is>
      </c>
      <c r="I2710" t="inlineStr">
        <is>
          <t>AWD</t>
        </is>
      </c>
      <c r="J2710" t="inlineStr">
        <is>
          <t>White</t>
        </is>
      </c>
      <c r="K2710" t="n">
        <v>363</v>
      </c>
      <c r="L2710" t="n">
        <v>60</v>
      </c>
      <c r="M2710" t="n">
        <v>18.17</v>
      </c>
      <c r="N2710" t="n">
        <v>447.1</v>
      </c>
      <c r="O2710" t="n">
        <v>4.72</v>
      </c>
      <c r="P2710" t="n">
        <v>5</v>
      </c>
      <c r="Q2710" t="n">
        <v>0</v>
      </c>
      <c r="R2710" t="n">
        <v>2020.3</v>
      </c>
      <c r="S2710" t="b">
        <v>1</v>
      </c>
      <c r="T2710" t="n">
        <v>3950478</v>
      </c>
      <c r="U2710" t="n">
        <v>4</v>
      </c>
      <c r="V2710" t="n">
        <v>0.0799</v>
      </c>
      <c r="W2710" t="n">
        <v>0.58</v>
      </c>
      <c r="X2710" t="n">
        <v>69.02</v>
      </c>
      <c r="Y2710">
        <f>VLOOKUP(D2710,$AB$2:$AC$7,2,FALSE)</f>
        <v/>
      </c>
      <c r="Z2710">
        <f>IF(A2710&lt;Y2710,"Yes","No")</f>
        <v/>
      </c>
    </row>
    <row r="2711">
      <c r="A2711" t="n">
        <v>2016</v>
      </c>
      <c r="B2711" t="inlineStr">
        <is>
          <t>Q2</t>
        </is>
      </c>
      <c r="C2711" t="inlineStr">
        <is>
          <t>Europe</t>
        </is>
      </c>
      <c r="D2711" t="inlineStr">
        <is>
          <t>Model S</t>
        </is>
      </c>
      <c r="E2711" t="n">
        <v>4291</v>
      </c>
      <c r="F2711" t="n">
        <v>113554.77</v>
      </c>
      <c r="G2711" t="n">
        <v>19</v>
      </c>
      <c r="H2711" t="inlineStr">
        <is>
          <t>Standard</t>
        </is>
      </c>
      <c r="I2711" t="inlineStr">
        <is>
          <t>RWD</t>
        </is>
      </c>
      <c r="J2711" t="inlineStr">
        <is>
          <t>Blue</t>
        </is>
      </c>
      <c r="K2711" t="n">
        <v>583</v>
      </c>
      <c r="L2711" t="n">
        <v>76</v>
      </c>
      <c r="M2711" t="n">
        <v>19.14</v>
      </c>
      <c r="N2711" t="n">
        <v>3956.35</v>
      </c>
      <c r="O2711" t="n">
        <v>3.67</v>
      </c>
      <c r="P2711" t="n">
        <v>5</v>
      </c>
      <c r="Q2711" t="n">
        <v>3</v>
      </c>
      <c r="R2711" t="n">
        <v>2021.4</v>
      </c>
      <c r="S2711" t="b">
        <v>1</v>
      </c>
      <c r="T2711" t="n">
        <v>3933265</v>
      </c>
      <c r="U2711" t="n">
        <v>5</v>
      </c>
      <c r="V2711" t="n">
        <v>0.0384</v>
      </c>
      <c r="W2711" t="n">
        <v>0.7</v>
      </c>
      <c r="X2711" t="n">
        <v>66.36</v>
      </c>
      <c r="Y2711">
        <f>VLOOKUP(D2711,$AB$2:$AC$7,2,FALSE)</f>
        <v/>
      </c>
      <c r="Z2711">
        <f>IF(A2711&lt;Y2711,"Yes","No")</f>
        <v/>
      </c>
    </row>
    <row r="2712">
      <c r="A2712" t="n">
        <v>2023</v>
      </c>
      <c r="B2712" t="inlineStr">
        <is>
          <t>Q1</t>
        </is>
      </c>
      <c r="C2712" t="inlineStr">
        <is>
          <t>South America</t>
        </is>
      </c>
      <c r="D2712" t="inlineStr">
        <is>
          <t>Model Y</t>
        </is>
      </c>
      <c r="E2712" t="n">
        <v>3870</v>
      </c>
      <c r="F2712" t="n">
        <v>56594.91</v>
      </c>
      <c r="G2712" t="n">
        <v>31</v>
      </c>
      <c r="H2712" t="inlineStr">
        <is>
          <t>Performance</t>
        </is>
      </c>
      <c r="I2712" t="inlineStr">
        <is>
          <t>RWD</t>
        </is>
      </c>
      <c r="J2712" t="inlineStr">
        <is>
          <t>Black</t>
        </is>
      </c>
      <c r="K2712" t="n">
        <v>699</v>
      </c>
      <c r="L2712" t="n">
        <v>53</v>
      </c>
      <c r="M2712" t="n">
        <v>23.89</v>
      </c>
      <c r="N2712" t="n">
        <v>3197.07</v>
      </c>
      <c r="O2712" t="n">
        <v>4.3</v>
      </c>
      <c r="P2712" t="n">
        <v>5</v>
      </c>
      <c r="Q2712" t="n">
        <v>2</v>
      </c>
      <c r="R2712" t="n">
        <v>2022.11</v>
      </c>
      <c r="S2712" t="b">
        <v>0</v>
      </c>
      <c r="T2712" t="n">
        <v>1105991</v>
      </c>
      <c r="U2712" t="n">
        <v>7</v>
      </c>
      <c r="V2712" t="n">
        <v>0.0343</v>
      </c>
      <c r="W2712" t="n">
        <v>2.44</v>
      </c>
      <c r="X2712" t="n">
        <v>67.44</v>
      </c>
      <c r="Y2712">
        <f>VLOOKUP(D2712,$AB$2:$AC$7,2,FALSE)</f>
        <v/>
      </c>
      <c r="Z2712">
        <f>IF(A2712&lt;Y2712,"Yes","No")</f>
        <v/>
      </c>
    </row>
    <row r="2713">
      <c r="A2713" t="n">
        <v>2012</v>
      </c>
      <c r="B2713" t="inlineStr">
        <is>
          <t>Q3</t>
        </is>
      </c>
      <c r="C2713" t="inlineStr">
        <is>
          <t>Europe</t>
        </is>
      </c>
      <c r="D2713" t="inlineStr">
        <is>
          <t>Cybertruck</t>
        </is>
      </c>
      <c r="E2713" t="n">
        <v>4089</v>
      </c>
      <c r="F2713" t="n">
        <v>45808.19</v>
      </c>
      <c r="G2713" t="n">
        <v>18</v>
      </c>
      <c r="H2713" t="inlineStr">
        <is>
          <t>Standard</t>
        </is>
      </c>
      <c r="I2713" t="inlineStr">
        <is>
          <t>AWD</t>
        </is>
      </c>
      <c r="J2713" t="inlineStr">
        <is>
          <t>Silver</t>
        </is>
      </c>
      <c r="K2713" t="n">
        <v>612</v>
      </c>
      <c r="L2713" t="n">
        <v>48</v>
      </c>
      <c r="M2713" t="n">
        <v>19.7</v>
      </c>
      <c r="N2713" t="n">
        <v>5351.55</v>
      </c>
      <c r="O2713" t="n">
        <v>3.55</v>
      </c>
      <c r="P2713" t="n">
        <v>6</v>
      </c>
      <c r="Q2713" t="n">
        <v>0</v>
      </c>
      <c r="R2713" t="n">
        <v>2022.5</v>
      </c>
      <c r="S2713" t="b">
        <v>1</v>
      </c>
      <c r="T2713" t="n">
        <v>3143307</v>
      </c>
      <c r="U2713" t="n">
        <v>2</v>
      </c>
      <c r="V2713" t="n">
        <v>0.0611</v>
      </c>
      <c r="W2713" t="n">
        <v>1.85</v>
      </c>
      <c r="X2713" t="n">
        <v>77.37</v>
      </c>
      <c r="Y2713">
        <f>VLOOKUP(D2713,$AB$2:$AC$7,2,FALSE)</f>
        <v/>
      </c>
      <c r="Z2713">
        <f>IF(A2713&lt;Y2713,"Yes","No")</f>
        <v/>
      </c>
    </row>
    <row r="2714">
      <c r="A2714" t="n">
        <v>2015</v>
      </c>
      <c r="B2714" t="inlineStr">
        <is>
          <t>Q4</t>
        </is>
      </c>
      <c r="C2714" t="inlineStr">
        <is>
          <t>Asia</t>
        </is>
      </c>
      <c r="D2714" t="inlineStr">
        <is>
          <t>Semi</t>
        </is>
      </c>
      <c r="E2714" t="n">
        <v>4029</v>
      </c>
      <c r="F2714" t="n">
        <v>83787.78</v>
      </c>
      <c r="G2714" t="n">
        <v>3</v>
      </c>
      <c r="H2714" t="inlineStr">
        <is>
          <t>Standard</t>
        </is>
      </c>
      <c r="I2714" t="inlineStr">
        <is>
          <t>RWD</t>
        </is>
      </c>
      <c r="J2714" t="inlineStr">
        <is>
          <t>White</t>
        </is>
      </c>
      <c r="K2714" t="n">
        <v>358</v>
      </c>
      <c r="L2714" t="n">
        <v>63</v>
      </c>
      <c r="M2714" t="n">
        <v>19.55</v>
      </c>
      <c r="N2714" t="n">
        <v>9008.24</v>
      </c>
      <c r="O2714" t="n">
        <v>3.8</v>
      </c>
      <c r="P2714" t="n">
        <v>6</v>
      </c>
      <c r="Q2714" t="n">
        <v>2</v>
      </c>
      <c r="R2714" t="n">
        <v>2022.5</v>
      </c>
      <c r="S2714" t="b">
        <v>0</v>
      </c>
      <c r="T2714" t="n">
        <v>156602</v>
      </c>
      <c r="U2714" t="n">
        <v>12</v>
      </c>
      <c r="V2714" t="n">
        <v>0.0389</v>
      </c>
      <c r="W2714" t="n">
        <v>1.91</v>
      </c>
      <c r="X2714" t="n">
        <v>79.36</v>
      </c>
      <c r="Y2714">
        <f>VLOOKUP(D2714,$AB$2:$AC$7,2,FALSE)</f>
        <v/>
      </c>
      <c r="Z2714">
        <f>IF(A2714&lt;Y2714,"Yes","No")</f>
        <v/>
      </c>
    </row>
    <row r="2715">
      <c r="A2715" t="n">
        <v>2021</v>
      </c>
      <c r="B2715" t="inlineStr">
        <is>
          <t>Q4</t>
        </is>
      </c>
      <c r="C2715" t="inlineStr">
        <is>
          <t>Asia</t>
        </is>
      </c>
      <c r="D2715" t="inlineStr">
        <is>
          <t>Model 3</t>
        </is>
      </c>
      <c r="E2715" t="n">
        <v>4003</v>
      </c>
      <c r="F2715" t="n">
        <v>38902.75</v>
      </c>
      <c r="G2715" t="n">
        <v>55</v>
      </c>
      <c r="H2715" t="inlineStr">
        <is>
          <t>Long Range</t>
        </is>
      </c>
      <c r="I2715" t="inlineStr">
        <is>
          <t>RWD</t>
        </is>
      </c>
      <c r="J2715" t="inlineStr">
        <is>
          <t>Blue</t>
        </is>
      </c>
      <c r="K2715" t="n">
        <v>607</v>
      </c>
      <c r="L2715" t="n">
        <v>86</v>
      </c>
      <c r="M2715" t="n">
        <v>13.74</v>
      </c>
      <c r="N2715" t="n">
        <v>6427.03</v>
      </c>
      <c r="O2715" t="n">
        <v>4.92</v>
      </c>
      <c r="P2715" t="n">
        <v>8</v>
      </c>
      <c r="Q2715" t="n">
        <v>1</v>
      </c>
      <c r="R2715" t="n">
        <v>2022.1</v>
      </c>
      <c r="S2715" t="b">
        <v>0</v>
      </c>
      <c r="T2715" t="n">
        <v>920159</v>
      </c>
      <c r="U2715" t="n">
        <v>10</v>
      </c>
      <c r="V2715" t="n">
        <v>0.0313</v>
      </c>
      <c r="W2715" t="n">
        <v>1.12</v>
      </c>
      <c r="X2715" t="n">
        <v>60.9</v>
      </c>
      <c r="Y2715">
        <f>VLOOKUP(D2715,$AB$2:$AC$7,2,FALSE)</f>
        <v/>
      </c>
      <c r="Z2715">
        <f>IF(A2715&lt;Y2715,"Yes","No")</f>
        <v/>
      </c>
    </row>
    <row r="2716">
      <c r="A2716" t="n">
        <v>2019</v>
      </c>
      <c r="B2716" t="inlineStr">
        <is>
          <t>Q3</t>
        </is>
      </c>
      <c r="C2716" t="inlineStr">
        <is>
          <t>Asia</t>
        </is>
      </c>
      <c r="D2716" t="inlineStr">
        <is>
          <t>Model X</t>
        </is>
      </c>
      <c r="E2716" t="n">
        <v>4067</v>
      </c>
      <c r="F2716" t="n">
        <v>92506.98</v>
      </c>
      <c r="G2716" t="n">
        <v>7</v>
      </c>
      <c r="H2716" t="inlineStr">
        <is>
          <t>Long Range</t>
        </is>
      </c>
      <c r="I2716" t="inlineStr">
        <is>
          <t>AWD</t>
        </is>
      </c>
      <c r="J2716" t="inlineStr">
        <is>
          <t>Silver</t>
        </is>
      </c>
      <c r="K2716" t="n">
        <v>523</v>
      </c>
      <c r="L2716" t="n">
        <v>31</v>
      </c>
      <c r="M2716" t="n">
        <v>15.88</v>
      </c>
      <c r="N2716" t="n">
        <v>3670.18</v>
      </c>
      <c r="O2716" t="n">
        <v>4.36</v>
      </c>
      <c r="P2716" t="n">
        <v>8</v>
      </c>
      <c r="Q2716" t="n">
        <v>1</v>
      </c>
      <c r="R2716" t="n">
        <v>2022.1</v>
      </c>
      <c r="S2716" t="b">
        <v>1</v>
      </c>
      <c r="T2716" t="n">
        <v>960823</v>
      </c>
      <c r="U2716" t="n">
        <v>3</v>
      </c>
      <c r="V2716" t="n">
        <v>0.0126</v>
      </c>
      <c r="W2716" t="n">
        <v>1.19</v>
      </c>
      <c r="X2716" t="n">
        <v>82.56999999999999</v>
      </c>
      <c r="Y2716">
        <f>VLOOKUP(D2716,$AB$2:$AC$7,2,FALSE)</f>
        <v/>
      </c>
      <c r="Z2716">
        <f>IF(A2716&lt;Y2716,"Yes","No")</f>
        <v/>
      </c>
    </row>
    <row r="2717">
      <c r="A2717" t="n">
        <v>2020</v>
      </c>
      <c r="B2717" t="inlineStr">
        <is>
          <t>Q1</t>
        </is>
      </c>
      <c r="C2717" t="inlineStr">
        <is>
          <t>Asia</t>
        </is>
      </c>
      <c r="D2717" t="inlineStr">
        <is>
          <t>Model Y</t>
        </is>
      </c>
      <c r="E2717" t="n">
        <v>265</v>
      </c>
      <c r="F2717" t="n">
        <v>68542.60000000001</v>
      </c>
      <c r="G2717" t="n">
        <v>12</v>
      </c>
      <c r="H2717" t="inlineStr">
        <is>
          <t>Long Range</t>
        </is>
      </c>
      <c r="I2717" t="inlineStr">
        <is>
          <t>AWD</t>
        </is>
      </c>
      <c r="J2717" t="inlineStr">
        <is>
          <t>Red</t>
        </is>
      </c>
      <c r="K2717" t="n">
        <v>667</v>
      </c>
      <c r="L2717" t="n">
        <v>57</v>
      </c>
      <c r="M2717" t="n">
        <v>17.93</v>
      </c>
      <c r="N2717" t="n">
        <v>364.12</v>
      </c>
      <c r="O2717" t="n">
        <v>4.89</v>
      </c>
      <c r="P2717" t="n">
        <v>6</v>
      </c>
      <c r="Q2717" t="n">
        <v>0</v>
      </c>
      <c r="R2717" t="n">
        <v>2023.7</v>
      </c>
      <c r="S2717" t="b">
        <v>1</v>
      </c>
      <c r="T2717" t="n">
        <v>3235573</v>
      </c>
      <c r="U2717" t="n">
        <v>7</v>
      </c>
      <c r="V2717" t="n">
        <v>0.0544</v>
      </c>
      <c r="W2717" t="n">
        <v>2.43</v>
      </c>
      <c r="X2717" t="n">
        <v>85.48999999999999</v>
      </c>
      <c r="Y2717">
        <f>VLOOKUP(D2717,$AB$2:$AC$7,2,FALSE)</f>
        <v/>
      </c>
      <c r="Z2717">
        <f>IF(A2717&lt;Y2717,"Yes","No")</f>
        <v/>
      </c>
    </row>
    <row r="2718">
      <c r="A2718" t="n">
        <v>2021</v>
      </c>
      <c r="B2718" t="inlineStr">
        <is>
          <t>Q1</t>
        </is>
      </c>
      <c r="C2718" t="inlineStr">
        <is>
          <t>Asia</t>
        </is>
      </c>
      <c r="D2718" t="inlineStr">
        <is>
          <t>Model X</t>
        </is>
      </c>
      <c r="E2718" t="n">
        <v>2806</v>
      </c>
      <c r="F2718" t="n">
        <v>89198.74000000001</v>
      </c>
      <c r="G2718" t="n">
        <v>12</v>
      </c>
      <c r="H2718" t="inlineStr">
        <is>
          <t>Long Range</t>
        </is>
      </c>
      <c r="I2718" t="inlineStr">
        <is>
          <t>AWD</t>
        </is>
      </c>
      <c r="J2718" t="inlineStr">
        <is>
          <t>Black</t>
        </is>
      </c>
      <c r="K2718" t="n">
        <v>448</v>
      </c>
      <c r="L2718" t="n">
        <v>35</v>
      </c>
      <c r="M2718" t="n">
        <v>20.21</v>
      </c>
      <c r="N2718" t="n">
        <v>4921.18</v>
      </c>
      <c r="O2718" t="n">
        <v>4.68</v>
      </c>
      <c r="P2718" t="n">
        <v>4</v>
      </c>
      <c r="Q2718" t="n">
        <v>1</v>
      </c>
      <c r="R2718" t="n">
        <v>2020.12</v>
      </c>
      <c r="S2718" t="b">
        <v>1</v>
      </c>
      <c r="T2718" t="n">
        <v>4758314</v>
      </c>
      <c r="U2718" t="n">
        <v>3</v>
      </c>
      <c r="V2718" t="n">
        <v>0.0206</v>
      </c>
      <c r="W2718" t="n">
        <v>2.43</v>
      </c>
      <c r="X2718" t="n">
        <v>61.22</v>
      </c>
      <c r="Y2718">
        <f>VLOOKUP(D2718,$AB$2:$AC$7,2,FALSE)</f>
        <v/>
      </c>
      <c r="Z2718">
        <f>IF(A2718&lt;Y2718,"Yes","No")</f>
        <v/>
      </c>
    </row>
    <row r="2719">
      <c r="A2719" t="n">
        <v>2020</v>
      </c>
      <c r="B2719" t="inlineStr">
        <is>
          <t>Q4</t>
        </is>
      </c>
      <c r="C2719" t="inlineStr">
        <is>
          <t>Australia</t>
        </is>
      </c>
      <c r="D2719" t="inlineStr">
        <is>
          <t>Model 3</t>
        </is>
      </c>
      <c r="E2719" t="n">
        <v>4540</v>
      </c>
      <c r="F2719" t="n">
        <v>37218.09</v>
      </c>
      <c r="G2719" t="n">
        <v>2</v>
      </c>
      <c r="H2719" t="inlineStr">
        <is>
          <t>Long Range</t>
        </is>
      </c>
      <c r="I2719" t="inlineStr">
        <is>
          <t>RWD</t>
        </is>
      </c>
      <c r="J2719" t="inlineStr">
        <is>
          <t>Silver</t>
        </is>
      </c>
      <c r="K2719" t="n">
        <v>657</v>
      </c>
      <c r="L2719" t="n">
        <v>80</v>
      </c>
      <c r="M2719" t="n">
        <v>22.86</v>
      </c>
      <c r="N2719" t="n">
        <v>3124.11</v>
      </c>
      <c r="O2719" t="n">
        <v>4.36</v>
      </c>
      <c r="P2719" t="n">
        <v>8</v>
      </c>
      <c r="Q2719" t="n">
        <v>3</v>
      </c>
      <c r="R2719" t="n">
        <v>2020.12</v>
      </c>
      <c r="S2719" t="b">
        <v>0</v>
      </c>
      <c r="T2719" t="n">
        <v>3334371</v>
      </c>
      <c r="U2719" t="n">
        <v>8</v>
      </c>
      <c r="V2719" t="n">
        <v>0.0558</v>
      </c>
      <c r="W2719" t="n">
        <v>1.51</v>
      </c>
      <c r="X2719" t="n">
        <v>87.93000000000001</v>
      </c>
      <c r="Y2719">
        <f>VLOOKUP(D2719,$AB$2:$AC$7,2,FALSE)</f>
        <v/>
      </c>
      <c r="Z2719">
        <f>IF(A2719&lt;Y2719,"Yes","No")</f>
        <v/>
      </c>
    </row>
    <row r="2720">
      <c r="A2720" t="n">
        <v>2015</v>
      </c>
      <c r="B2720" t="inlineStr">
        <is>
          <t>Q1</t>
        </is>
      </c>
      <c r="C2720" t="inlineStr">
        <is>
          <t>Australia</t>
        </is>
      </c>
      <c r="D2720" t="inlineStr">
        <is>
          <t>Model X</t>
        </is>
      </c>
      <c r="E2720" t="n">
        <v>316</v>
      </c>
      <c r="F2720" t="n">
        <v>85779.75</v>
      </c>
      <c r="G2720" t="n">
        <v>13</v>
      </c>
      <c r="H2720" t="inlineStr">
        <is>
          <t>Standard</t>
        </is>
      </c>
      <c r="I2720" t="inlineStr">
        <is>
          <t>AWD</t>
        </is>
      </c>
      <c r="J2720" t="inlineStr">
        <is>
          <t>Green</t>
        </is>
      </c>
      <c r="K2720" t="n">
        <v>442</v>
      </c>
      <c r="L2720" t="n">
        <v>61</v>
      </c>
      <c r="M2720" t="n">
        <v>14.68</v>
      </c>
      <c r="N2720" t="n">
        <v>343.44</v>
      </c>
      <c r="O2720" t="n">
        <v>4.62</v>
      </c>
      <c r="P2720" t="n">
        <v>4</v>
      </c>
      <c r="Q2720" t="n">
        <v>2</v>
      </c>
      <c r="R2720" t="n">
        <v>2020.6</v>
      </c>
      <c r="S2720" t="b">
        <v>0</v>
      </c>
      <c r="T2720" t="n">
        <v>1771351</v>
      </c>
      <c r="U2720" t="n">
        <v>11</v>
      </c>
      <c r="V2720" t="n">
        <v>0.0307</v>
      </c>
      <c r="W2720" t="n">
        <v>1.25</v>
      </c>
      <c r="X2720" t="n">
        <v>78.65000000000001</v>
      </c>
      <c r="Y2720">
        <f>VLOOKUP(D2720,$AB$2:$AC$7,2,FALSE)</f>
        <v/>
      </c>
      <c r="Z2720">
        <f>IF(A2720&lt;Y2720,"Yes","No")</f>
        <v/>
      </c>
    </row>
    <row r="2721">
      <c r="A2721" t="n">
        <v>2021</v>
      </c>
      <c r="B2721" t="inlineStr">
        <is>
          <t>Q3</t>
        </is>
      </c>
      <c r="C2721" t="inlineStr">
        <is>
          <t>Australia</t>
        </is>
      </c>
      <c r="D2721" t="inlineStr">
        <is>
          <t>Semi</t>
        </is>
      </c>
      <c r="E2721" t="n">
        <v>2058</v>
      </c>
      <c r="F2721" t="n">
        <v>78796.57000000001</v>
      </c>
      <c r="G2721" t="n">
        <v>18</v>
      </c>
      <c r="H2721" t="inlineStr">
        <is>
          <t>Standard</t>
        </is>
      </c>
      <c r="I2721" t="inlineStr">
        <is>
          <t>RWD</t>
        </is>
      </c>
      <c r="J2721" t="inlineStr">
        <is>
          <t>Black</t>
        </is>
      </c>
      <c r="K2721" t="n">
        <v>599</v>
      </c>
      <c r="L2721" t="n">
        <v>41</v>
      </c>
      <c r="M2721" t="n">
        <v>24.76</v>
      </c>
      <c r="N2721" t="n">
        <v>3999.35</v>
      </c>
      <c r="O2721" t="n">
        <v>3.52</v>
      </c>
      <c r="P2721" t="n">
        <v>6</v>
      </c>
      <c r="Q2721" t="n">
        <v>1</v>
      </c>
      <c r="R2721" t="n">
        <v>2022.9</v>
      </c>
      <c r="S2721" t="b">
        <v>0</v>
      </c>
      <c r="T2721" t="n">
        <v>4890378</v>
      </c>
      <c r="U2721" t="n">
        <v>8</v>
      </c>
      <c r="V2721" t="n">
        <v>0.0238</v>
      </c>
      <c r="W2721" t="n">
        <v>0.54</v>
      </c>
      <c r="X2721" t="n">
        <v>66.13</v>
      </c>
      <c r="Y2721">
        <f>VLOOKUP(D2721,$AB$2:$AC$7,2,FALSE)</f>
        <v/>
      </c>
      <c r="Z2721">
        <f>IF(A2721&lt;Y2721,"Yes","No")</f>
        <v/>
      </c>
    </row>
    <row r="2722">
      <c r="A2722" t="n">
        <v>2015</v>
      </c>
      <c r="B2722" t="inlineStr">
        <is>
          <t>Q1</t>
        </is>
      </c>
      <c r="C2722" t="inlineStr">
        <is>
          <t>Europe</t>
        </is>
      </c>
      <c r="D2722" t="inlineStr">
        <is>
          <t>Model S</t>
        </is>
      </c>
      <c r="E2722" t="n">
        <v>964</v>
      </c>
      <c r="F2722" t="n">
        <v>112591.7</v>
      </c>
      <c r="G2722" t="n">
        <v>38</v>
      </c>
      <c r="H2722" t="inlineStr">
        <is>
          <t>Standard</t>
        </is>
      </c>
      <c r="I2722" t="inlineStr">
        <is>
          <t>RWD</t>
        </is>
      </c>
      <c r="J2722" t="inlineStr">
        <is>
          <t>Green</t>
        </is>
      </c>
      <c r="K2722" t="n">
        <v>624</v>
      </c>
      <c r="L2722" t="n">
        <v>87</v>
      </c>
      <c r="M2722" t="n">
        <v>23.35</v>
      </c>
      <c r="N2722" t="n">
        <v>598.72</v>
      </c>
      <c r="O2722" t="n">
        <v>3.67</v>
      </c>
      <c r="P2722" t="n">
        <v>5</v>
      </c>
      <c r="Q2722" t="n">
        <v>2</v>
      </c>
      <c r="R2722" t="n">
        <v>2022.12</v>
      </c>
      <c r="S2722" t="b">
        <v>0</v>
      </c>
      <c r="T2722" t="n">
        <v>3149006</v>
      </c>
      <c r="U2722" t="n">
        <v>7</v>
      </c>
      <c r="V2722" t="n">
        <v>0.0144</v>
      </c>
      <c r="W2722" t="n">
        <v>0.6899999999999999</v>
      </c>
      <c r="X2722" t="n">
        <v>76.31999999999999</v>
      </c>
      <c r="Y2722">
        <f>VLOOKUP(D2722,$AB$2:$AC$7,2,FALSE)</f>
        <v/>
      </c>
      <c r="Z2722">
        <f>IF(A2722&lt;Y2722,"Yes","No")</f>
        <v/>
      </c>
    </row>
    <row r="2723">
      <c r="A2723" t="n">
        <v>2023</v>
      </c>
      <c r="B2723" t="inlineStr">
        <is>
          <t>Q4</t>
        </is>
      </c>
      <c r="C2723" t="inlineStr">
        <is>
          <t>Australia</t>
        </is>
      </c>
      <c r="D2723" t="inlineStr">
        <is>
          <t>Model S</t>
        </is>
      </c>
      <c r="E2723" t="n">
        <v>2514</v>
      </c>
      <c r="F2723" t="n">
        <v>48533.55</v>
      </c>
      <c r="G2723" t="n">
        <v>50</v>
      </c>
      <c r="H2723" t="inlineStr">
        <is>
          <t>Long Range</t>
        </is>
      </c>
      <c r="I2723" t="inlineStr">
        <is>
          <t>AWD</t>
        </is>
      </c>
      <c r="J2723" t="inlineStr">
        <is>
          <t>White</t>
        </is>
      </c>
      <c r="K2723" t="n">
        <v>506</v>
      </c>
      <c r="L2723" t="n">
        <v>44</v>
      </c>
      <c r="M2723" t="n">
        <v>17.94</v>
      </c>
      <c r="N2723" t="n">
        <v>3657.75</v>
      </c>
      <c r="O2723" t="n">
        <v>4.56</v>
      </c>
      <c r="P2723" t="n">
        <v>6</v>
      </c>
      <c r="Q2723" t="n">
        <v>0</v>
      </c>
      <c r="R2723" t="n">
        <v>2020.1</v>
      </c>
      <c r="S2723" t="b">
        <v>1</v>
      </c>
      <c r="T2723" t="n">
        <v>547601</v>
      </c>
      <c r="U2723" t="n">
        <v>12</v>
      </c>
      <c r="V2723" t="n">
        <v>0.08989999999999999</v>
      </c>
      <c r="W2723" t="n">
        <v>1.79</v>
      </c>
      <c r="X2723" t="n">
        <v>71.79000000000001</v>
      </c>
      <c r="Y2723">
        <f>VLOOKUP(D2723,$AB$2:$AC$7,2,FALSE)</f>
        <v/>
      </c>
      <c r="Z2723">
        <f>IF(A2723&lt;Y2723,"Yes","No")</f>
        <v/>
      </c>
    </row>
    <row r="2724">
      <c r="A2724" t="n">
        <v>2016</v>
      </c>
      <c r="B2724" t="inlineStr">
        <is>
          <t>Q1</t>
        </is>
      </c>
      <c r="C2724" t="inlineStr">
        <is>
          <t>Europe</t>
        </is>
      </c>
      <c r="D2724" t="inlineStr">
        <is>
          <t>Model X</t>
        </is>
      </c>
      <c r="E2724" t="n">
        <v>4875</v>
      </c>
      <c r="F2724" t="n">
        <v>75508.03</v>
      </c>
      <c r="G2724" t="n">
        <v>54</v>
      </c>
      <c r="H2724" t="inlineStr">
        <is>
          <t>Performance</t>
        </is>
      </c>
      <c r="I2724" t="inlineStr">
        <is>
          <t>RWD</t>
        </is>
      </c>
      <c r="J2724" t="inlineStr">
        <is>
          <t>Blue</t>
        </is>
      </c>
      <c r="K2724" t="n">
        <v>486</v>
      </c>
      <c r="L2724" t="n">
        <v>38</v>
      </c>
      <c r="M2724" t="n">
        <v>17.46</v>
      </c>
      <c r="N2724" t="n">
        <v>7231.15</v>
      </c>
      <c r="O2724" t="n">
        <v>4.62</v>
      </c>
      <c r="P2724" t="n">
        <v>4</v>
      </c>
      <c r="Q2724" t="n">
        <v>3</v>
      </c>
      <c r="R2724" t="n">
        <v>2023.1</v>
      </c>
      <c r="S2724" t="b">
        <v>1</v>
      </c>
      <c r="T2724" t="n">
        <v>156062</v>
      </c>
      <c r="U2724" t="n">
        <v>7</v>
      </c>
      <c r="V2724" t="n">
        <v>0.0798</v>
      </c>
      <c r="W2724" t="n">
        <v>1.38</v>
      </c>
      <c r="X2724" t="n">
        <v>89.73999999999999</v>
      </c>
      <c r="Y2724">
        <f>VLOOKUP(D2724,$AB$2:$AC$7,2,FALSE)</f>
        <v/>
      </c>
      <c r="Z2724">
        <f>IF(A2724&lt;Y2724,"Yes","No")</f>
        <v/>
      </c>
    </row>
    <row r="2725">
      <c r="A2725" t="n">
        <v>2018</v>
      </c>
      <c r="B2725" t="inlineStr">
        <is>
          <t>Q3</t>
        </is>
      </c>
      <c r="C2725" t="inlineStr">
        <is>
          <t>Australia</t>
        </is>
      </c>
      <c r="D2725" t="inlineStr">
        <is>
          <t>Model 3</t>
        </is>
      </c>
      <c r="E2725" t="n">
        <v>1756</v>
      </c>
      <c r="F2725" t="n">
        <v>77216.00999999999</v>
      </c>
      <c r="G2725" t="n">
        <v>16</v>
      </c>
      <c r="H2725" t="inlineStr">
        <is>
          <t>Standard</t>
        </is>
      </c>
      <c r="I2725" t="inlineStr">
        <is>
          <t>RWD</t>
        </is>
      </c>
      <c r="J2725" t="inlineStr">
        <is>
          <t>Silver</t>
        </is>
      </c>
      <c r="K2725" t="n">
        <v>633</v>
      </c>
      <c r="L2725" t="n">
        <v>68</v>
      </c>
      <c r="M2725" t="n">
        <v>13.89</v>
      </c>
      <c r="N2725" t="n">
        <v>1090.57</v>
      </c>
      <c r="O2725" t="n">
        <v>4.64</v>
      </c>
      <c r="P2725" t="n">
        <v>4</v>
      </c>
      <c r="Q2725" t="n">
        <v>0</v>
      </c>
      <c r="R2725" t="n">
        <v>2021.5</v>
      </c>
      <c r="S2725" t="b">
        <v>1</v>
      </c>
      <c r="T2725" t="n">
        <v>286093</v>
      </c>
      <c r="U2725" t="n">
        <v>3</v>
      </c>
      <c r="V2725" t="n">
        <v>0.0823</v>
      </c>
      <c r="W2725" t="n">
        <v>1.4</v>
      </c>
      <c r="X2725" t="n">
        <v>71.27</v>
      </c>
      <c r="Y2725">
        <f>VLOOKUP(D2725,$AB$2:$AC$7,2,FALSE)</f>
        <v/>
      </c>
      <c r="Z2725">
        <f>IF(A2725&lt;Y2725,"Yes","No")</f>
        <v/>
      </c>
    </row>
    <row r="2726">
      <c r="A2726" t="n">
        <v>2012</v>
      </c>
      <c r="B2726" t="inlineStr">
        <is>
          <t>Q4</t>
        </is>
      </c>
      <c r="C2726" t="inlineStr">
        <is>
          <t>Australia</t>
        </is>
      </c>
      <c r="D2726" t="inlineStr">
        <is>
          <t>Model 3</t>
        </is>
      </c>
      <c r="E2726" t="n">
        <v>3107</v>
      </c>
      <c r="F2726" t="n">
        <v>91933.23</v>
      </c>
      <c r="G2726" t="n">
        <v>23</v>
      </c>
      <c r="H2726" t="inlineStr">
        <is>
          <t>Long Range</t>
        </is>
      </c>
      <c r="I2726" t="inlineStr">
        <is>
          <t>RWD</t>
        </is>
      </c>
      <c r="J2726" t="inlineStr">
        <is>
          <t>White</t>
        </is>
      </c>
      <c r="K2726" t="n">
        <v>502</v>
      </c>
      <c r="L2726" t="n">
        <v>37</v>
      </c>
      <c r="M2726" t="n">
        <v>14.17</v>
      </c>
      <c r="N2726" t="n">
        <v>6101.44</v>
      </c>
      <c r="O2726" t="n">
        <v>3.97</v>
      </c>
      <c r="P2726" t="n">
        <v>6</v>
      </c>
      <c r="Q2726" t="n">
        <v>1</v>
      </c>
      <c r="R2726" t="n">
        <v>2020.8</v>
      </c>
      <c r="S2726" t="b">
        <v>1</v>
      </c>
      <c r="T2726" t="n">
        <v>4179425</v>
      </c>
      <c r="U2726" t="n">
        <v>6</v>
      </c>
      <c r="V2726" t="n">
        <v>0.07920000000000001</v>
      </c>
      <c r="W2726" t="n">
        <v>2.5</v>
      </c>
      <c r="X2726" t="n">
        <v>64.45999999999999</v>
      </c>
      <c r="Y2726">
        <f>VLOOKUP(D2726,$AB$2:$AC$7,2,FALSE)</f>
        <v/>
      </c>
      <c r="Z2726">
        <f>IF(A2726&lt;Y2726,"Yes","No")</f>
        <v/>
      </c>
    </row>
    <row r="2727">
      <c r="A2727" t="n">
        <v>2023</v>
      </c>
      <c r="B2727" t="inlineStr">
        <is>
          <t>Q3</t>
        </is>
      </c>
      <c r="C2727" t="inlineStr">
        <is>
          <t>North America</t>
        </is>
      </c>
      <c r="D2727" t="inlineStr">
        <is>
          <t>Semi</t>
        </is>
      </c>
      <c r="E2727" t="n">
        <v>2403</v>
      </c>
      <c r="F2727" t="n">
        <v>118521.69</v>
      </c>
      <c r="G2727" t="n">
        <v>30</v>
      </c>
      <c r="H2727" t="inlineStr">
        <is>
          <t>Performance</t>
        </is>
      </c>
      <c r="I2727" t="inlineStr">
        <is>
          <t>AWD</t>
        </is>
      </c>
      <c r="J2727" t="inlineStr">
        <is>
          <t>Black</t>
        </is>
      </c>
      <c r="K2727" t="n">
        <v>571</v>
      </c>
      <c r="L2727" t="n">
        <v>60</v>
      </c>
      <c r="M2727" t="n">
        <v>14.33</v>
      </c>
      <c r="N2727" t="n">
        <v>1538.37</v>
      </c>
      <c r="O2727" t="n">
        <v>4.13</v>
      </c>
      <c r="P2727" t="n">
        <v>6</v>
      </c>
      <c r="Q2727" t="n">
        <v>0</v>
      </c>
      <c r="R2727" t="n">
        <v>2021.7</v>
      </c>
      <c r="S2727" t="b">
        <v>1</v>
      </c>
      <c r="T2727" t="n">
        <v>4555270</v>
      </c>
      <c r="U2727" t="n">
        <v>4</v>
      </c>
      <c r="V2727" t="n">
        <v>0.0506</v>
      </c>
      <c r="W2727" t="n">
        <v>1.69</v>
      </c>
      <c r="X2727" t="n">
        <v>62.6</v>
      </c>
      <c r="Y2727">
        <f>VLOOKUP(D2727,$AB$2:$AC$7,2,FALSE)</f>
        <v/>
      </c>
      <c r="Z2727">
        <f>IF(A2727&lt;Y2727,"Yes","No")</f>
        <v/>
      </c>
    </row>
    <row r="2728">
      <c r="A2728" t="n">
        <v>2017</v>
      </c>
      <c r="B2728" t="inlineStr">
        <is>
          <t>Q3</t>
        </is>
      </c>
      <c r="C2728" t="inlineStr">
        <is>
          <t>North America</t>
        </is>
      </c>
      <c r="D2728" t="inlineStr">
        <is>
          <t>Cybertruck</t>
        </is>
      </c>
      <c r="E2728" t="n">
        <v>3864</v>
      </c>
      <c r="F2728" t="n">
        <v>55336.33</v>
      </c>
      <c r="G2728" t="n">
        <v>48</v>
      </c>
      <c r="H2728" t="inlineStr">
        <is>
          <t>Standard</t>
        </is>
      </c>
      <c r="I2728" t="inlineStr">
        <is>
          <t>AWD</t>
        </is>
      </c>
      <c r="J2728" t="inlineStr">
        <is>
          <t>Red</t>
        </is>
      </c>
      <c r="K2728" t="n">
        <v>658</v>
      </c>
      <c r="L2728" t="n">
        <v>89</v>
      </c>
      <c r="M2728" t="n">
        <v>19.26</v>
      </c>
      <c r="N2728" t="n">
        <v>2290.89</v>
      </c>
      <c r="O2728" t="n">
        <v>4.78</v>
      </c>
      <c r="P2728" t="n">
        <v>5</v>
      </c>
      <c r="Q2728" t="n">
        <v>2</v>
      </c>
      <c r="R2728" t="n">
        <v>2021.1</v>
      </c>
      <c r="S2728" t="b">
        <v>0</v>
      </c>
      <c r="T2728" t="n">
        <v>1407422</v>
      </c>
      <c r="U2728" t="n">
        <v>9</v>
      </c>
      <c r="V2728" t="n">
        <v>0.0154</v>
      </c>
      <c r="W2728" t="n">
        <v>1.73</v>
      </c>
      <c r="X2728" t="n">
        <v>78.81</v>
      </c>
      <c r="Y2728">
        <f>VLOOKUP(D2728,$AB$2:$AC$7,2,FALSE)</f>
        <v/>
      </c>
      <c r="Z2728">
        <f>IF(A2728&lt;Y2728,"Yes","No")</f>
        <v/>
      </c>
    </row>
    <row r="2729">
      <c r="A2729" t="n">
        <v>2015</v>
      </c>
      <c r="B2729" t="inlineStr">
        <is>
          <t>Q3</t>
        </is>
      </c>
      <c r="C2729" t="inlineStr">
        <is>
          <t>Asia</t>
        </is>
      </c>
      <c r="D2729" t="inlineStr">
        <is>
          <t>Model X</t>
        </is>
      </c>
      <c r="E2729" t="n">
        <v>3243</v>
      </c>
      <c r="F2729" t="n">
        <v>109712.63</v>
      </c>
      <c r="G2729" t="n">
        <v>51</v>
      </c>
      <c r="H2729" t="inlineStr">
        <is>
          <t>Performance</t>
        </is>
      </c>
      <c r="I2729" t="inlineStr">
        <is>
          <t>RWD</t>
        </is>
      </c>
      <c r="J2729" t="inlineStr">
        <is>
          <t>Blue</t>
        </is>
      </c>
      <c r="K2729" t="n">
        <v>483</v>
      </c>
      <c r="L2729" t="n">
        <v>60</v>
      </c>
      <c r="M2729" t="n">
        <v>16.09</v>
      </c>
      <c r="N2729" t="n">
        <v>4433.39</v>
      </c>
      <c r="O2729" t="n">
        <v>4.01</v>
      </c>
      <c r="P2729" t="n">
        <v>4</v>
      </c>
      <c r="Q2729" t="n">
        <v>1</v>
      </c>
      <c r="R2729" t="n">
        <v>2020.2</v>
      </c>
      <c r="S2729" t="b">
        <v>1</v>
      </c>
      <c r="T2729" t="n">
        <v>690043</v>
      </c>
      <c r="U2729" t="n">
        <v>7</v>
      </c>
      <c r="V2729" t="n">
        <v>0.0214</v>
      </c>
      <c r="W2729" t="n">
        <v>0.83</v>
      </c>
      <c r="X2729" t="n">
        <v>62.22</v>
      </c>
      <c r="Y2729">
        <f>VLOOKUP(D2729,$AB$2:$AC$7,2,FALSE)</f>
        <v/>
      </c>
      <c r="Z2729">
        <f>IF(A2729&lt;Y2729,"Yes","No")</f>
        <v/>
      </c>
    </row>
    <row r="2730">
      <c r="A2730" t="n">
        <v>2022</v>
      </c>
      <c r="B2730" t="inlineStr">
        <is>
          <t>Q1</t>
        </is>
      </c>
      <c r="C2730" t="inlineStr">
        <is>
          <t>Asia</t>
        </is>
      </c>
      <c r="D2730" t="inlineStr">
        <is>
          <t>Cybertruck</t>
        </is>
      </c>
      <c r="E2730" t="n">
        <v>2961</v>
      </c>
      <c r="F2730" t="n">
        <v>114701.65</v>
      </c>
      <c r="G2730" t="n">
        <v>34</v>
      </c>
      <c r="H2730" t="inlineStr">
        <is>
          <t>Standard</t>
        </is>
      </c>
      <c r="I2730" t="inlineStr">
        <is>
          <t>AWD</t>
        </is>
      </c>
      <c r="J2730" t="inlineStr">
        <is>
          <t>Black</t>
        </is>
      </c>
      <c r="K2730" t="n">
        <v>567</v>
      </c>
      <c r="L2730" t="n">
        <v>81</v>
      </c>
      <c r="M2730" t="n">
        <v>24.7</v>
      </c>
      <c r="N2730" t="n">
        <v>4802.13</v>
      </c>
      <c r="O2730" t="n">
        <v>4.12</v>
      </c>
      <c r="P2730" t="n">
        <v>4</v>
      </c>
      <c r="Q2730" t="n">
        <v>1</v>
      </c>
      <c r="R2730" t="n">
        <v>2021.3</v>
      </c>
      <c r="S2730" t="b">
        <v>1</v>
      </c>
      <c r="T2730" t="n">
        <v>3215840</v>
      </c>
      <c r="U2730" t="n">
        <v>3</v>
      </c>
      <c r="V2730" t="n">
        <v>0.0164</v>
      </c>
      <c r="W2730" t="n">
        <v>1.81</v>
      </c>
      <c r="X2730" t="n">
        <v>69.86</v>
      </c>
      <c r="Y2730">
        <f>VLOOKUP(D2730,$AB$2:$AC$7,2,FALSE)</f>
        <v/>
      </c>
      <c r="Z2730">
        <f>IF(A2730&lt;Y2730,"Yes","No")</f>
        <v/>
      </c>
    </row>
    <row r="2731">
      <c r="A2731" t="n">
        <v>2014</v>
      </c>
      <c r="B2731" t="inlineStr">
        <is>
          <t>Q2</t>
        </is>
      </c>
      <c r="C2731" t="inlineStr">
        <is>
          <t>Asia</t>
        </is>
      </c>
      <c r="D2731" t="inlineStr">
        <is>
          <t>Semi</t>
        </is>
      </c>
      <c r="E2731" t="n">
        <v>2216</v>
      </c>
      <c r="F2731" t="n">
        <v>83906.98</v>
      </c>
      <c r="G2731" t="n">
        <v>50</v>
      </c>
      <c r="H2731" t="inlineStr">
        <is>
          <t>Long Range</t>
        </is>
      </c>
      <c r="I2731" t="inlineStr">
        <is>
          <t>RWD</t>
        </is>
      </c>
      <c r="J2731" t="inlineStr">
        <is>
          <t>Blue</t>
        </is>
      </c>
      <c r="K2731" t="n">
        <v>359</v>
      </c>
      <c r="L2731" t="n">
        <v>43</v>
      </c>
      <c r="M2731" t="n">
        <v>13.96</v>
      </c>
      <c r="N2731" t="n">
        <v>2890.23</v>
      </c>
      <c r="O2731" t="n">
        <v>4.49</v>
      </c>
      <c r="P2731" t="n">
        <v>4</v>
      </c>
      <c r="Q2731" t="n">
        <v>0</v>
      </c>
      <c r="R2731" t="n">
        <v>2021.3</v>
      </c>
      <c r="S2731" t="b">
        <v>0</v>
      </c>
      <c r="T2731" t="n">
        <v>4041169</v>
      </c>
      <c r="U2731" t="n">
        <v>2</v>
      </c>
      <c r="V2731" t="n">
        <v>0.08649999999999999</v>
      </c>
      <c r="W2731" t="n">
        <v>0.88</v>
      </c>
      <c r="X2731" t="n">
        <v>75.33</v>
      </c>
      <c r="Y2731">
        <f>VLOOKUP(D2731,$AB$2:$AC$7,2,FALSE)</f>
        <v/>
      </c>
      <c r="Z2731">
        <f>IF(A2731&lt;Y2731,"Yes","No")</f>
        <v/>
      </c>
    </row>
    <row r="2732">
      <c r="A2732" t="n">
        <v>2016</v>
      </c>
      <c r="B2732" t="inlineStr">
        <is>
          <t>Q1</t>
        </is>
      </c>
      <c r="C2732" t="inlineStr">
        <is>
          <t>Asia</t>
        </is>
      </c>
      <c r="D2732" t="inlineStr">
        <is>
          <t>Model 3</t>
        </is>
      </c>
      <c r="E2732" t="n">
        <v>1875</v>
      </c>
      <c r="F2732" t="n">
        <v>72309.75</v>
      </c>
      <c r="G2732" t="n">
        <v>28</v>
      </c>
      <c r="H2732" t="inlineStr">
        <is>
          <t>Long Range</t>
        </is>
      </c>
      <c r="I2732" t="inlineStr">
        <is>
          <t>RWD</t>
        </is>
      </c>
      <c r="J2732" t="inlineStr">
        <is>
          <t>Green</t>
        </is>
      </c>
      <c r="K2732" t="n">
        <v>490</v>
      </c>
      <c r="L2732" t="n">
        <v>83</v>
      </c>
      <c r="M2732" t="n">
        <v>22.1</v>
      </c>
      <c r="N2732" t="n">
        <v>4174.82</v>
      </c>
      <c r="O2732" t="n">
        <v>3.68</v>
      </c>
      <c r="P2732" t="n">
        <v>8</v>
      </c>
      <c r="Q2732" t="n">
        <v>1</v>
      </c>
      <c r="R2732" t="n">
        <v>2021.1</v>
      </c>
      <c r="S2732" t="b">
        <v>1</v>
      </c>
      <c r="T2732" t="n">
        <v>3509766</v>
      </c>
      <c r="U2732" t="n">
        <v>7</v>
      </c>
      <c r="V2732" t="n">
        <v>0.0728</v>
      </c>
      <c r="W2732" t="n">
        <v>1.02</v>
      </c>
      <c r="X2732" t="n">
        <v>75.23</v>
      </c>
      <c r="Y2732">
        <f>VLOOKUP(D2732,$AB$2:$AC$7,2,FALSE)</f>
        <v/>
      </c>
      <c r="Z2732">
        <f>IF(A2732&lt;Y2732,"Yes","No")</f>
        <v/>
      </c>
    </row>
    <row r="2733">
      <c r="A2733" t="n">
        <v>2018</v>
      </c>
      <c r="B2733" t="inlineStr">
        <is>
          <t>Q3</t>
        </is>
      </c>
      <c r="C2733" t="inlineStr">
        <is>
          <t>Australia</t>
        </is>
      </c>
      <c r="D2733" t="inlineStr">
        <is>
          <t>Cybertruck</t>
        </is>
      </c>
      <c r="E2733" t="n">
        <v>790</v>
      </c>
      <c r="F2733" t="n">
        <v>116464.74</v>
      </c>
      <c r="G2733" t="n">
        <v>23</v>
      </c>
      <c r="H2733" t="inlineStr">
        <is>
          <t>Performance</t>
        </is>
      </c>
      <c r="I2733" t="inlineStr">
        <is>
          <t>AWD</t>
        </is>
      </c>
      <c r="J2733" t="inlineStr">
        <is>
          <t>Blue</t>
        </is>
      </c>
      <c r="K2733" t="n">
        <v>550</v>
      </c>
      <c r="L2733" t="n">
        <v>89</v>
      </c>
      <c r="M2733" t="n">
        <v>24.67</v>
      </c>
      <c r="N2733" t="n">
        <v>1805.71</v>
      </c>
      <c r="O2733" t="n">
        <v>4.03</v>
      </c>
      <c r="P2733" t="n">
        <v>4</v>
      </c>
      <c r="Q2733" t="n">
        <v>3</v>
      </c>
      <c r="R2733" t="n">
        <v>2021.9</v>
      </c>
      <c r="S2733" t="b">
        <v>0</v>
      </c>
      <c r="T2733" t="n">
        <v>2201791</v>
      </c>
      <c r="U2733" t="n">
        <v>4</v>
      </c>
      <c r="V2733" t="n">
        <v>0.0169</v>
      </c>
      <c r="W2733" t="n">
        <v>0.93</v>
      </c>
      <c r="X2733" t="n">
        <v>61.59</v>
      </c>
      <c r="Y2733">
        <f>VLOOKUP(D2733,$AB$2:$AC$7,2,FALSE)</f>
        <v/>
      </c>
      <c r="Z2733">
        <f>IF(A2733&lt;Y2733,"Yes","No")</f>
        <v/>
      </c>
    </row>
    <row r="2734">
      <c r="A2734" t="n">
        <v>2013</v>
      </c>
      <c r="B2734" t="inlineStr">
        <is>
          <t>Q4</t>
        </is>
      </c>
      <c r="C2734" t="inlineStr">
        <is>
          <t>North America</t>
        </is>
      </c>
      <c r="D2734" t="inlineStr">
        <is>
          <t>Model X</t>
        </is>
      </c>
      <c r="E2734" t="n">
        <v>4012</v>
      </c>
      <c r="F2734" t="n">
        <v>112449.86</v>
      </c>
      <c r="G2734" t="n">
        <v>10</v>
      </c>
      <c r="H2734" t="inlineStr">
        <is>
          <t>Standard</t>
        </is>
      </c>
      <c r="I2734" t="inlineStr">
        <is>
          <t>AWD</t>
        </is>
      </c>
      <c r="J2734" t="inlineStr">
        <is>
          <t>Silver</t>
        </is>
      </c>
      <c r="K2734" t="n">
        <v>495</v>
      </c>
      <c r="L2734" t="n">
        <v>51</v>
      </c>
      <c r="M2734" t="n">
        <v>15.41</v>
      </c>
      <c r="N2734" t="n">
        <v>2798.85</v>
      </c>
      <c r="O2734" t="n">
        <v>4.11</v>
      </c>
      <c r="P2734" t="n">
        <v>6</v>
      </c>
      <c r="Q2734" t="n">
        <v>0</v>
      </c>
      <c r="R2734" t="n">
        <v>2023.5</v>
      </c>
      <c r="S2734" t="b">
        <v>0</v>
      </c>
      <c r="T2734" t="n">
        <v>926142</v>
      </c>
      <c r="U2734" t="n">
        <v>10</v>
      </c>
      <c r="V2734" t="n">
        <v>0.0696</v>
      </c>
      <c r="W2734" t="n">
        <v>2.06</v>
      </c>
      <c r="X2734" t="n">
        <v>68.04000000000001</v>
      </c>
      <c r="Y2734">
        <f>VLOOKUP(D2734,$AB$2:$AC$7,2,FALSE)</f>
        <v/>
      </c>
      <c r="Z2734">
        <f>IF(A2734&lt;Y2734,"Yes","No")</f>
        <v/>
      </c>
    </row>
    <row r="2735">
      <c r="A2735" t="n">
        <v>2012</v>
      </c>
      <c r="B2735" t="inlineStr">
        <is>
          <t>Q1</t>
        </is>
      </c>
      <c r="C2735" t="inlineStr">
        <is>
          <t>South America</t>
        </is>
      </c>
      <c r="D2735" t="inlineStr">
        <is>
          <t>Model X</t>
        </is>
      </c>
      <c r="E2735" t="n">
        <v>1891</v>
      </c>
      <c r="F2735" t="n">
        <v>79006.89</v>
      </c>
      <c r="G2735" t="n">
        <v>51</v>
      </c>
      <c r="H2735" t="inlineStr">
        <is>
          <t>Standard</t>
        </is>
      </c>
      <c r="I2735" t="inlineStr">
        <is>
          <t>RWD</t>
        </is>
      </c>
      <c r="J2735" t="inlineStr">
        <is>
          <t>Black</t>
        </is>
      </c>
      <c r="K2735" t="n">
        <v>359</v>
      </c>
      <c r="L2735" t="n">
        <v>79</v>
      </c>
      <c r="M2735" t="n">
        <v>24.8</v>
      </c>
      <c r="N2735" t="n">
        <v>2708.65</v>
      </c>
      <c r="O2735" t="n">
        <v>4.42</v>
      </c>
      <c r="P2735" t="n">
        <v>4</v>
      </c>
      <c r="Q2735" t="n">
        <v>0</v>
      </c>
      <c r="R2735" t="n">
        <v>2024.8</v>
      </c>
      <c r="S2735" t="b">
        <v>0</v>
      </c>
      <c r="T2735" t="n">
        <v>2861040</v>
      </c>
      <c r="U2735" t="n">
        <v>11</v>
      </c>
      <c r="V2735" t="n">
        <v>0.0726</v>
      </c>
      <c r="W2735" t="n">
        <v>0.95</v>
      </c>
      <c r="X2735" t="n">
        <v>63.16</v>
      </c>
      <c r="Y2735">
        <f>VLOOKUP(D2735,$AB$2:$AC$7,2,FALSE)</f>
        <v/>
      </c>
      <c r="Z2735">
        <f>IF(A2735&lt;Y2735,"Yes","No")</f>
        <v/>
      </c>
    </row>
    <row r="2736">
      <c r="A2736" t="n">
        <v>2019</v>
      </c>
      <c r="B2736" t="inlineStr">
        <is>
          <t>Q1</t>
        </is>
      </c>
      <c r="C2736" t="inlineStr">
        <is>
          <t>South America</t>
        </is>
      </c>
      <c r="D2736" t="inlineStr">
        <is>
          <t>Model Y</t>
        </is>
      </c>
      <c r="E2736" t="n">
        <v>4304</v>
      </c>
      <c r="F2736" t="n">
        <v>97993.37</v>
      </c>
      <c r="G2736" t="n">
        <v>21</v>
      </c>
      <c r="H2736" t="inlineStr">
        <is>
          <t>Long Range</t>
        </is>
      </c>
      <c r="I2736" t="inlineStr">
        <is>
          <t>RWD</t>
        </is>
      </c>
      <c r="J2736" t="inlineStr">
        <is>
          <t>Green</t>
        </is>
      </c>
      <c r="K2736" t="n">
        <v>649</v>
      </c>
      <c r="L2736" t="n">
        <v>89</v>
      </c>
      <c r="M2736" t="n">
        <v>21.17</v>
      </c>
      <c r="N2736" t="n">
        <v>5786.91</v>
      </c>
      <c r="O2736" t="n">
        <v>4.23</v>
      </c>
      <c r="P2736" t="n">
        <v>8</v>
      </c>
      <c r="Q2736" t="n">
        <v>2</v>
      </c>
      <c r="R2736" t="n">
        <v>2023.8</v>
      </c>
      <c r="S2736" t="b">
        <v>1</v>
      </c>
      <c r="T2736" t="n">
        <v>4925887</v>
      </c>
      <c r="U2736" t="n">
        <v>10</v>
      </c>
      <c r="V2736" t="n">
        <v>0.09089999999999999</v>
      </c>
      <c r="W2736" t="n">
        <v>1.36</v>
      </c>
      <c r="X2736" t="n">
        <v>84.36</v>
      </c>
      <c r="Y2736">
        <f>VLOOKUP(D2736,$AB$2:$AC$7,2,FALSE)</f>
        <v/>
      </c>
      <c r="Z2736">
        <f>IF(A2736&lt;Y2736,"Yes","No")</f>
        <v/>
      </c>
    </row>
    <row r="2737">
      <c r="A2737" t="n">
        <v>2020</v>
      </c>
      <c r="B2737" t="inlineStr">
        <is>
          <t>Q3</t>
        </is>
      </c>
      <c r="C2737" t="inlineStr">
        <is>
          <t>North America</t>
        </is>
      </c>
      <c r="D2737" t="inlineStr">
        <is>
          <t>Semi</t>
        </is>
      </c>
      <c r="E2737" t="n">
        <v>3535</v>
      </c>
      <c r="F2737" t="n">
        <v>81785.31</v>
      </c>
      <c r="G2737" t="n">
        <v>1</v>
      </c>
      <c r="H2737" t="inlineStr">
        <is>
          <t>Standard</t>
        </is>
      </c>
      <c r="I2737" t="inlineStr">
        <is>
          <t>RWD</t>
        </is>
      </c>
      <c r="J2737" t="inlineStr">
        <is>
          <t>Black</t>
        </is>
      </c>
      <c r="K2737" t="n">
        <v>685</v>
      </c>
      <c r="L2737" t="n">
        <v>63</v>
      </c>
      <c r="M2737" t="n">
        <v>17.39</v>
      </c>
      <c r="N2737" t="n">
        <v>6094.07</v>
      </c>
      <c r="O2737" t="n">
        <v>4.71</v>
      </c>
      <c r="P2737" t="n">
        <v>4</v>
      </c>
      <c r="Q2737" t="n">
        <v>2</v>
      </c>
      <c r="R2737" t="n">
        <v>2022.12</v>
      </c>
      <c r="S2737" t="b">
        <v>1</v>
      </c>
      <c r="T2737" t="n">
        <v>3184494</v>
      </c>
      <c r="U2737" t="n">
        <v>2</v>
      </c>
      <c r="V2737" t="n">
        <v>0.0459</v>
      </c>
      <c r="W2737" t="n">
        <v>2.07</v>
      </c>
      <c r="X2737" t="n">
        <v>76.73</v>
      </c>
      <c r="Y2737">
        <f>VLOOKUP(D2737,$AB$2:$AC$7,2,FALSE)</f>
        <v/>
      </c>
      <c r="Z2737">
        <f>IF(A2737&lt;Y2737,"Yes","No")</f>
        <v/>
      </c>
    </row>
    <row r="2738">
      <c r="A2738" t="n">
        <v>2013</v>
      </c>
      <c r="B2738" t="inlineStr">
        <is>
          <t>Q1</t>
        </is>
      </c>
      <c r="C2738" t="inlineStr">
        <is>
          <t>South America</t>
        </is>
      </c>
      <c r="D2738" t="inlineStr">
        <is>
          <t>Cybertruck</t>
        </is>
      </c>
      <c r="E2738" t="n">
        <v>796</v>
      </c>
      <c r="F2738" t="n">
        <v>41840.71</v>
      </c>
      <c r="G2738" t="n">
        <v>43</v>
      </c>
      <c r="H2738" t="inlineStr">
        <is>
          <t>Long Range</t>
        </is>
      </c>
      <c r="I2738" t="inlineStr">
        <is>
          <t>RWD</t>
        </is>
      </c>
      <c r="J2738" t="inlineStr">
        <is>
          <t>Black</t>
        </is>
      </c>
      <c r="K2738" t="n">
        <v>489</v>
      </c>
      <c r="L2738" t="n">
        <v>62</v>
      </c>
      <c r="M2738" t="n">
        <v>24.86</v>
      </c>
      <c r="N2738" t="n">
        <v>1288.72</v>
      </c>
      <c r="O2738" t="n">
        <v>3.98</v>
      </c>
      <c r="P2738" t="n">
        <v>6</v>
      </c>
      <c r="Q2738" t="n">
        <v>3</v>
      </c>
      <c r="R2738" t="n">
        <v>2023.8</v>
      </c>
      <c r="S2738" t="b">
        <v>0</v>
      </c>
      <c r="T2738" t="n">
        <v>3942186</v>
      </c>
      <c r="U2738" t="n">
        <v>12</v>
      </c>
      <c r="V2738" t="n">
        <v>0.019</v>
      </c>
      <c r="W2738" t="n">
        <v>2.4</v>
      </c>
      <c r="X2738" t="n">
        <v>77.14</v>
      </c>
      <c r="Y2738">
        <f>VLOOKUP(D2738,$AB$2:$AC$7,2,FALSE)</f>
        <v/>
      </c>
      <c r="Z2738">
        <f>IF(A2738&lt;Y2738,"Yes","No")</f>
        <v/>
      </c>
    </row>
    <row r="2739">
      <c r="A2739" t="n">
        <v>2016</v>
      </c>
      <c r="B2739" t="inlineStr">
        <is>
          <t>Q1</t>
        </is>
      </c>
      <c r="C2739" t="inlineStr">
        <is>
          <t>Europe</t>
        </is>
      </c>
      <c r="D2739" t="inlineStr">
        <is>
          <t>Model 3</t>
        </is>
      </c>
      <c r="E2739" t="n">
        <v>818</v>
      </c>
      <c r="F2739" t="n">
        <v>118957.69</v>
      </c>
      <c r="G2739" t="n">
        <v>12</v>
      </c>
      <c r="H2739" t="inlineStr">
        <is>
          <t>Performance</t>
        </is>
      </c>
      <c r="I2739" t="inlineStr">
        <is>
          <t>RWD</t>
        </is>
      </c>
      <c r="J2739" t="inlineStr">
        <is>
          <t>Black</t>
        </is>
      </c>
      <c r="K2739" t="n">
        <v>547</v>
      </c>
      <c r="L2739" t="n">
        <v>65</v>
      </c>
      <c r="M2739" t="n">
        <v>15.36</v>
      </c>
      <c r="N2739" t="n">
        <v>1479.09</v>
      </c>
      <c r="O2739" t="n">
        <v>4.51</v>
      </c>
      <c r="P2739" t="n">
        <v>6</v>
      </c>
      <c r="Q2739" t="n">
        <v>3</v>
      </c>
      <c r="R2739" t="n">
        <v>2020.4</v>
      </c>
      <c r="S2739" t="b">
        <v>0</v>
      </c>
      <c r="T2739" t="n">
        <v>3992157</v>
      </c>
      <c r="U2739" t="n">
        <v>2</v>
      </c>
      <c r="V2739" t="n">
        <v>0.0141</v>
      </c>
      <c r="W2739" t="n">
        <v>1.34</v>
      </c>
      <c r="X2739" t="n">
        <v>89.37</v>
      </c>
      <c r="Y2739">
        <f>VLOOKUP(D2739,$AB$2:$AC$7,2,FALSE)</f>
        <v/>
      </c>
      <c r="Z2739">
        <f>IF(A2739&lt;Y2739,"Yes","No")</f>
        <v/>
      </c>
    </row>
    <row r="2740">
      <c r="A2740" t="n">
        <v>2017</v>
      </c>
      <c r="B2740" t="inlineStr">
        <is>
          <t>Q1</t>
        </is>
      </c>
      <c r="C2740" t="inlineStr">
        <is>
          <t>Europe</t>
        </is>
      </c>
      <c r="D2740" t="inlineStr">
        <is>
          <t>Model 3</t>
        </is>
      </c>
      <c r="E2740" t="n">
        <v>2269</v>
      </c>
      <c r="F2740" t="n">
        <v>110184.87</v>
      </c>
      <c r="G2740" t="n">
        <v>60</v>
      </c>
      <c r="H2740" t="inlineStr">
        <is>
          <t>Standard</t>
        </is>
      </c>
      <c r="I2740" t="inlineStr">
        <is>
          <t>AWD</t>
        </is>
      </c>
      <c r="J2740" t="inlineStr">
        <is>
          <t>Black</t>
        </is>
      </c>
      <c r="K2740" t="n">
        <v>615</v>
      </c>
      <c r="L2740" t="n">
        <v>78</v>
      </c>
      <c r="M2740" t="n">
        <v>18.34</v>
      </c>
      <c r="N2740" t="n">
        <v>5373.89</v>
      </c>
      <c r="O2740" t="n">
        <v>4.42</v>
      </c>
      <c r="P2740" t="n">
        <v>5</v>
      </c>
      <c r="Q2740" t="n">
        <v>0</v>
      </c>
      <c r="R2740" t="n">
        <v>2021.9</v>
      </c>
      <c r="S2740" t="b">
        <v>1</v>
      </c>
      <c r="T2740" t="n">
        <v>2578783</v>
      </c>
      <c r="U2740" t="n">
        <v>9</v>
      </c>
      <c r="V2740" t="n">
        <v>0.0453</v>
      </c>
      <c r="W2740" t="n">
        <v>2.15</v>
      </c>
      <c r="X2740" t="n">
        <v>68.25</v>
      </c>
      <c r="Y2740">
        <f>VLOOKUP(D2740,$AB$2:$AC$7,2,FALSE)</f>
        <v/>
      </c>
      <c r="Z2740">
        <f>IF(A2740&lt;Y2740,"Yes","No")</f>
        <v/>
      </c>
    </row>
    <row r="2741">
      <c r="A2741" t="n">
        <v>2021</v>
      </c>
      <c r="B2741" t="inlineStr">
        <is>
          <t>Q4</t>
        </is>
      </c>
      <c r="C2741" t="inlineStr">
        <is>
          <t>Europe</t>
        </is>
      </c>
      <c r="D2741" t="inlineStr">
        <is>
          <t>Semi</t>
        </is>
      </c>
      <c r="E2741" t="n">
        <v>3511</v>
      </c>
      <c r="F2741" t="n">
        <v>47258</v>
      </c>
      <c r="G2741" t="n">
        <v>36</v>
      </c>
      <c r="H2741" t="inlineStr">
        <is>
          <t>Standard</t>
        </is>
      </c>
      <c r="I2741" t="inlineStr">
        <is>
          <t>AWD</t>
        </is>
      </c>
      <c r="J2741" t="inlineStr">
        <is>
          <t>White</t>
        </is>
      </c>
      <c r="K2741" t="n">
        <v>640</v>
      </c>
      <c r="L2741" t="n">
        <v>80</v>
      </c>
      <c r="M2741" t="n">
        <v>24.96</v>
      </c>
      <c r="N2741" t="n">
        <v>4262.01</v>
      </c>
      <c r="O2741" t="n">
        <v>4.16</v>
      </c>
      <c r="P2741" t="n">
        <v>5</v>
      </c>
      <c r="Q2741" t="n">
        <v>0</v>
      </c>
      <c r="R2741" t="n">
        <v>2020.12</v>
      </c>
      <c r="S2741" t="b">
        <v>0</v>
      </c>
      <c r="T2741" t="n">
        <v>1771681</v>
      </c>
      <c r="U2741" t="n">
        <v>4</v>
      </c>
      <c r="V2741" t="n">
        <v>0.07439999999999999</v>
      </c>
      <c r="W2741" t="n">
        <v>0.76</v>
      </c>
      <c r="X2741" t="n">
        <v>84.06</v>
      </c>
      <c r="Y2741">
        <f>VLOOKUP(D2741,$AB$2:$AC$7,2,FALSE)</f>
        <v/>
      </c>
      <c r="Z2741">
        <f>IF(A2741&lt;Y2741,"Yes","No")</f>
        <v/>
      </c>
    </row>
    <row r="2742">
      <c r="A2742" t="n">
        <v>2024</v>
      </c>
      <c r="B2742" t="inlineStr">
        <is>
          <t>Q1</t>
        </is>
      </c>
      <c r="C2742" t="inlineStr">
        <is>
          <t>Australia</t>
        </is>
      </c>
      <c r="D2742" t="inlineStr">
        <is>
          <t>Model Y</t>
        </is>
      </c>
      <c r="E2742" t="n">
        <v>3842</v>
      </c>
      <c r="F2742" t="n">
        <v>66331.14999999999</v>
      </c>
      <c r="G2742" t="n">
        <v>17</v>
      </c>
      <c r="H2742" t="inlineStr">
        <is>
          <t>Performance</t>
        </is>
      </c>
      <c r="I2742" t="inlineStr">
        <is>
          <t>AWD</t>
        </is>
      </c>
      <c r="J2742" t="inlineStr">
        <is>
          <t>White</t>
        </is>
      </c>
      <c r="K2742" t="n">
        <v>645</v>
      </c>
      <c r="L2742" t="n">
        <v>61</v>
      </c>
      <c r="M2742" t="n">
        <v>15.57</v>
      </c>
      <c r="N2742" t="n">
        <v>2048.13</v>
      </c>
      <c r="O2742" t="n">
        <v>4.19</v>
      </c>
      <c r="P2742" t="n">
        <v>5</v>
      </c>
      <c r="Q2742" t="n">
        <v>3</v>
      </c>
      <c r="R2742" t="n">
        <v>2022.6</v>
      </c>
      <c r="S2742" t="b">
        <v>1</v>
      </c>
      <c r="T2742" t="n">
        <v>4349768</v>
      </c>
      <c r="U2742" t="n">
        <v>10</v>
      </c>
      <c r="V2742" t="n">
        <v>0.0283</v>
      </c>
      <c r="W2742" t="n">
        <v>1.94</v>
      </c>
      <c r="X2742" t="n">
        <v>76.81999999999999</v>
      </c>
      <c r="Y2742">
        <f>VLOOKUP(D2742,$AB$2:$AC$7,2,FALSE)</f>
        <v/>
      </c>
      <c r="Z2742">
        <f>IF(A2742&lt;Y2742,"Yes","No")</f>
        <v/>
      </c>
    </row>
    <row r="2743">
      <c r="A2743" t="n">
        <v>2014</v>
      </c>
      <c r="B2743" t="inlineStr">
        <is>
          <t>Q3</t>
        </is>
      </c>
      <c r="C2743" t="inlineStr">
        <is>
          <t>South America</t>
        </is>
      </c>
      <c r="D2743" t="inlineStr">
        <is>
          <t>Model S</t>
        </is>
      </c>
      <c r="E2743" t="n">
        <v>3671</v>
      </c>
      <c r="F2743" t="n">
        <v>113467.74</v>
      </c>
      <c r="G2743" t="n">
        <v>3</v>
      </c>
      <c r="H2743" t="inlineStr">
        <is>
          <t>Long Range</t>
        </is>
      </c>
      <c r="I2743" t="inlineStr">
        <is>
          <t>RWD</t>
        </is>
      </c>
      <c r="J2743" t="inlineStr">
        <is>
          <t>Blue</t>
        </is>
      </c>
      <c r="K2743" t="n">
        <v>426</v>
      </c>
      <c r="L2743" t="n">
        <v>67</v>
      </c>
      <c r="M2743" t="n">
        <v>16.58</v>
      </c>
      <c r="N2743" t="n">
        <v>5109.63</v>
      </c>
      <c r="O2743" t="n">
        <v>4.43</v>
      </c>
      <c r="P2743" t="n">
        <v>4</v>
      </c>
      <c r="Q2743" t="n">
        <v>0</v>
      </c>
      <c r="R2743" t="n">
        <v>2023.4</v>
      </c>
      <c r="S2743" t="b">
        <v>0</v>
      </c>
      <c r="T2743" t="n">
        <v>4487475</v>
      </c>
      <c r="U2743" t="n">
        <v>2</v>
      </c>
      <c r="V2743" t="n">
        <v>0.0132</v>
      </c>
      <c r="W2743" t="n">
        <v>2.01</v>
      </c>
      <c r="X2743" t="n">
        <v>73.42</v>
      </c>
      <c r="Y2743">
        <f>VLOOKUP(D2743,$AB$2:$AC$7,2,FALSE)</f>
        <v/>
      </c>
      <c r="Z2743">
        <f>IF(A2743&lt;Y2743,"Yes","No")</f>
        <v/>
      </c>
    </row>
    <row r="2744">
      <c r="A2744" t="n">
        <v>2012</v>
      </c>
      <c r="B2744" t="inlineStr">
        <is>
          <t>Q2</t>
        </is>
      </c>
      <c r="C2744" t="inlineStr">
        <is>
          <t>South America</t>
        </is>
      </c>
      <c r="D2744" t="inlineStr">
        <is>
          <t>Cybertruck</t>
        </is>
      </c>
      <c r="E2744" t="n">
        <v>4610</v>
      </c>
      <c r="F2744" t="n">
        <v>95385.16</v>
      </c>
      <c r="G2744" t="n">
        <v>13</v>
      </c>
      <c r="H2744" t="inlineStr">
        <is>
          <t>Performance</t>
        </is>
      </c>
      <c r="I2744" t="inlineStr">
        <is>
          <t>RWD</t>
        </is>
      </c>
      <c r="J2744" t="inlineStr">
        <is>
          <t>Silver</t>
        </is>
      </c>
      <c r="K2744" t="n">
        <v>599</v>
      </c>
      <c r="L2744" t="n">
        <v>30</v>
      </c>
      <c r="M2744" t="n">
        <v>22.2</v>
      </c>
      <c r="N2744" t="n">
        <v>10984.71</v>
      </c>
      <c r="O2744" t="n">
        <v>4.16</v>
      </c>
      <c r="P2744" t="n">
        <v>4</v>
      </c>
      <c r="Q2744" t="n">
        <v>0</v>
      </c>
      <c r="R2744" t="n">
        <v>2022.11</v>
      </c>
      <c r="S2744" t="b">
        <v>1</v>
      </c>
      <c r="T2744" t="n">
        <v>2617978</v>
      </c>
      <c r="U2744" t="n">
        <v>12</v>
      </c>
      <c r="V2744" t="n">
        <v>0.0256</v>
      </c>
      <c r="W2744" t="n">
        <v>1.03</v>
      </c>
      <c r="X2744" t="n">
        <v>67.45999999999999</v>
      </c>
      <c r="Y2744">
        <f>VLOOKUP(D2744,$AB$2:$AC$7,2,FALSE)</f>
        <v/>
      </c>
      <c r="Z2744">
        <f>IF(A2744&lt;Y2744,"Yes","No")</f>
        <v/>
      </c>
    </row>
    <row r="2745">
      <c r="A2745" t="n">
        <v>2012</v>
      </c>
      <c r="B2745" t="inlineStr">
        <is>
          <t>Q2</t>
        </is>
      </c>
      <c r="C2745" t="inlineStr">
        <is>
          <t>South America</t>
        </is>
      </c>
      <c r="D2745" t="inlineStr">
        <is>
          <t>Cybertruck</t>
        </is>
      </c>
      <c r="E2745" t="n">
        <v>1828</v>
      </c>
      <c r="F2745" t="n">
        <v>103956.26</v>
      </c>
      <c r="G2745" t="n">
        <v>6</v>
      </c>
      <c r="H2745" t="inlineStr">
        <is>
          <t>Standard</t>
        </is>
      </c>
      <c r="I2745" t="inlineStr">
        <is>
          <t>AWD</t>
        </is>
      </c>
      <c r="J2745" t="inlineStr">
        <is>
          <t>Blue</t>
        </is>
      </c>
      <c r="K2745" t="n">
        <v>591</v>
      </c>
      <c r="L2745" t="n">
        <v>71</v>
      </c>
      <c r="M2745" t="n">
        <v>23.24</v>
      </c>
      <c r="N2745" t="n">
        <v>3900.42</v>
      </c>
      <c r="O2745" t="n">
        <v>3.55</v>
      </c>
      <c r="P2745" t="n">
        <v>5</v>
      </c>
      <c r="Q2745" t="n">
        <v>2</v>
      </c>
      <c r="R2745" t="n">
        <v>2022.3</v>
      </c>
      <c r="S2745" t="b">
        <v>0</v>
      </c>
      <c r="T2745" t="n">
        <v>300959</v>
      </c>
      <c r="U2745" t="n">
        <v>11</v>
      </c>
      <c r="V2745" t="n">
        <v>0.0563</v>
      </c>
      <c r="W2745" t="n">
        <v>0.72</v>
      </c>
      <c r="X2745" t="n">
        <v>85.88</v>
      </c>
      <c r="Y2745">
        <f>VLOOKUP(D2745,$AB$2:$AC$7,2,FALSE)</f>
        <v/>
      </c>
      <c r="Z2745">
        <f>IF(A2745&lt;Y2745,"Yes","No")</f>
        <v/>
      </c>
    </row>
    <row r="2746">
      <c r="A2746" t="n">
        <v>2013</v>
      </c>
      <c r="B2746" t="inlineStr">
        <is>
          <t>Q1</t>
        </is>
      </c>
      <c r="C2746" t="inlineStr">
        <is>
          <t>Europe</t>
        </is>
      </c>
      <c r="D2746" t="inlineStr">
        <is>
          <t>Model X</t>
        </is>
      </c>
      <c r="E2746" t="n">
        <v>1590</v>
      </c>
      <c r="F2746" t="n">
        <v>37493.54</v>
      </c>
      <c r="G2746" t="n">
        <v>29</v>
      </c>
      <c r="H2746" t="inlineStr">
        <is>
          <t>Standard</t>
        </is>
      </c>
      <c r="I2746" t="inlineStr">
        <is>
          <t>RWD</t>
        </is>
      </c>
      <c r="J2746" t="inlineStr">
        <is>
          <t>Silver</t>
        </is>
      </c>
      <c r="K2746" t="n">
        <v>631</v>
      </c>
      <c r="L2746" t="n">
        <v>71</v>
      </c>
      <c r="M2746" t="n">
        <v>15.61</v>
      </c>
      <c r="N2746" t="n">
        <v>928.26</v>
      </c>
      <c r="O2746" t="n">
        <v>4</v>
      </c>
      <c r="P2746" t="n">
        <v>6</v>
      </c>
      <c r="Q2746" t="n">
        <v>2</v>
      </c>
      <c r="R2746" t="n">
        <v>2020.9</v>
      </c>
      <c r="S2746" t="b">
        <v>1</v>
      </c>
      <c r="T2746" t="n">
        <v>4244570</v>
      </c>
      <c r="U2746" t="n">
        <v>12</v>
      </c>
      <c r="V2746" t="n">
        <v>0.0422</v>
      </c>
      <c r="W2746" t="n">
        <v>2.28</v>
      </c>
      <c r="X2746" t="n">
        <v>76.34</v>
      </c>
      <c r="Y2746">
        <f>VLOOKUP(D2746,$AB$2:$AC$7,2,FALSE)</f>
        <v/>
      </c>
      <c r="Z2746">
        <f>IF(A2746&lt;Y2746,"Yes","No")</f>
        <v/>
      </c>
    </row>
    <row r="2747">
      <c r="A2747" t="n">
        <v>2023</v>
      </c>
      <c r="B2747" t="inlineStr">
        <is>
          <t>Q4</t>
        </is>
      </c>
      <c r="C2747" t="inlineStr">
        <is>
          <t>South America</t>
        </is>
      </c>
      <c r="D2747" t="inlineStr">
        <is>
          <t>Model X</t>
        </is>
      </c>
      <c r="E2747" t="n">
        <v>4591</v>
      </c>
      <c r="F2747" t="n">
        <v>43229.38</v>
      </c>
      <c r="G2747" t="n">
        <v>31</v>
      </c>
      <c r="H2747" t="inlineStr">
        <is>
          <t>Long Range</t>
        </is>
      </c>
      <c r="I2747" t="inlineStr">
        <is>
          <t>RWD</t>
        </is>
      </c>
      <c r="J2747" t="inlineStr">
        <is>
          <t>Blue</t>
        </is>
      </c>
      <c r="K2747" t="n">
        <v>685</v>
      </c>
      <c r="L2747" t="n">
        <v>58</v>
      </c>
      <c r="M2747" t="n">
        <v>16.1</v>
      </c>
      <c r="N2747" t="n">
        <v>10376.22</v>
      </c>
      <c r="O2747" t="n">
        <v>3.76</v>
      </c>
      <c r="P2747" t="n">
        <v>5</v>
      </c>
      <c r="Q2747" t="n">
        <v>3</v>
      </c>
      <c r="R2747" t="n">
        <v>2022.3</v>
      </c>
      <c r="S2747" t="b">
        <v>0</v>
      </c>
      <c r="T2747" t="n">
        <v>169787</v>
      </c>
      <c r="U2747" t="n">
        <v>6</v>
      </c>
      <c r="V2747" t="n">
        <v>0.0467</v>
      </c>
      <c r="W2747" t="n">
        <v>2.42</v>
      </c>
      <c r="X2747" t="n">
        <v>62.81</v>
      </c>
      <c r="Y2747">
        <f>VLOOKUP(D2747,$AB$2:$AC$7,2,FALSE)</f>
        <v/>
      </c>
      <c r="Z2747">
        <f>IF(A2747&lt;Y2747,"Yes","No")</f>
        <v/>
      </c>
    </row>
    <row r="2748">
      <c r="A2748" t="n">
        <v>2023</v>
      </c>
      <c r="B2748" t="inlineStr">
        <is>
          <t>Q4</t>
        </is>
      </c>
      <c r="C2748" t="inlineStr">
        <is>
          <t>Asia</t>
        </is>
      </c>
      <c r="D2748" t="inlineStr">
        <is>
          <t>Model 3</t>
        </is>
      </c>
      <c r="E2748" t="n">
        <v>3219</v>
      </c>
      <c r="F2748" t="n">
        <v>65754.67999999999</v>
      </c>
      <c r="G2748" t="n">
        <v>52</v>
      </c>
      <c r="H2748" t="inlineStr">
        <is>
          <t>Performance</t>
        </is>
      </c>
      <c r="I2748" t="inlineStr">
        <is>
          <t>RWD</t>
        </is>
      </c>
      <c r="J2748" t="inlineStr">
        <is>
          <t>Red</t>
        </is>
      </c>
      <c r="K2748" t="n">
        <v>558</v>
      </c>
      <c r="L2748" t="n">
        <v>57</v>
      </c>
      <c r="M2748" t="n">
        <v>22.52</v>
      </c>
      <c r="N2748" t="n">
        <v>7482.9</v>
      </c>
      <c r="O2748" t="n">
        <v>3.9</v>
      </c>
      <c r="P2748" t="n">
        <v>4</v>
      </c>
      <c r="Q2748" t="n">
        <v>0</v>
      </c>
      <c r="R2748" t="n">
        <v>2020.7</v>
      </c>
      <c r="S2748" t="b">
        <v>1</v>
      </c>
      <c r="T2748" t="n">
        <v>943230</v>
      </c>
      <c r="U2748" t="n">
        <v>4</v>
      </c>
      <c r="V2748" t="n">
        <v>0.082</v>
      </c>
      <c r="W2748" t="n">
        <v>1.04</v>
      </c>
      <c r="X2748" t="n">
        <v>85.5</v>
      </c>
      <c r="Y2748">
        <f>VLOOKUP(D2748,$AB$2:$AC$7,2,FALSE)</f>
        <v/>
      </c>
      <c r="Z2748">
        <f>IF(A2748&lt;Y2748,"Yes","No")</f>
        <v/>
      </c>
    </row>
    <row r="2749">
      <c r="A2749" t="n">
        <v>2013</v>
      </c>
      <c r="B2749" t="inlineStr">
        <is>
          <t>Q1</t>
        </is>
      </c>
      <c r="C2749" t="inlineStr">
        <is>
          <t>North America</t>
        </is>
      </c>
      <c r="D2749" t="inlineStr">
        <is>
          <t>Semi</t>
        </is>
      </c>
      <c r="E2749" t="n">
        <v>3404</v>
      </c>
      <c r="F2749" t="n">
        <v>39486.25</v>
      </c>
      <c r="G2749" t="n">
        <v>25</v>
      </c>
      <c r="H2749" t="inlineStr">
        <is>
          <t>Standard</t>
        </is>
      </c>
      <c r="I2749" t="inlineStr">
        <is>
          <t>AWD</t>
        </is>
      </c>
      <c r="J2749" t="inlineStr">
        <is>
          <t>Red</t>
        </is>
      </c>
      <c r="K2749" t="n">
        <v>649</v>
      </c>
      <c r="L2749" t="n">
        <v>90</v>
      </c>
      <c r="M2749" t="n">
        <v>22.79</v>
      </c>
      <c r="N2749" t="n">
        <v>5857.72</v>
      </c>
      <c r="O2749" t="n">
        <v>4.87</v>
      </c>
      <c r="P2749" t="n">
        <v>5</v>
      </c>
      <c r="Q2749" t="n">
        <v>3</v>
      </c>
      <c r="R2749" t="n">
        <v>2021.2</v>
      </c>
      <c r="S2749" t="b">
        <v>0</v>
      </c>
      <c r="T2749" t="n">
        <v>4806044</v>
      </c>
      <c r="U2749" t="n">
        <v>6</v>
      </c>
      <c r="V2749" t="n">
        <v>0.0522</v>
      </c>
      <c r="W2749" t="n">
        <v>1.96</v>
      </c>
      <c r="X2749" t="n">
        <v>64.69</v>
      </c>
      <c r="Y2749">
        <f>VLOOKUP(D2749,$AB$2:$AC$7,2,FALSE)</f>
        <v/>
      </c>
      <c r="Z2749">
        <f>IF(A2749&lt;Y2749,"Yes","No")</f>
        <v/>
      </c>
    </row>
    <row r="2750">
      <c r="A2750" t="n">
        <v>2018</v>
      </c>
      <c r="B2750" t="inlineStr">
        <is>
          <t>Q2</t>
        </is>
      </c>
      <c r="C2750" t="inlineStr">
        <is>
          <t>North America</t>
        </is>
      </c>
      <c r="D2750" t="inlineStr">
        <is>
          <t>Model X</t>
        </is>
      </c>
      <c r="E2750" t="n">
        <v>605</v>
      </c>
      <c r="F2750" t="n">
        <v>103449.41</v>
      </c>
      <c r="G2750" t="n">
        <v>58</v>
      </c>
      <c r="H2750" t="inlineStr">
        <is>
          <t>Performance</t>
        </is>
      </c>
      <c r="I2750" t="inlineStr">
        <is>
          <t>AWD</t>
        </is>
      </c>
      <c r="J2750" t="inlineStr">
        <is>
          <t>White</t>
        </is>
      </c>
      <c r="K2750" t="n">
        <v>481</v>
      </c>
      <c r="L2750" t="n">
        <v>43</v>
      </c>
      <c r="M2750" t="n">
        <v>15.18</v>
      </c>
      <c r="N2750" t="n">
        <v>734.83</v>
      </c>
      <c r="O2750" t="n">
        <v>4.85</v>
      </c>
      <c r="P2750" t="n">
        <v>6</v>
      </c>
      <c r="Q2750" t="n">
        <v>0</v>
      </c>
      <c r="R2750" t="n">
        <v>2022.7</v>
      </c>
      <c r="S2750" t="b">
        <v>0</v>
      </c>
      <c r="T2750" t="n">
        <v>2494016</v>
      </c>
      <c r="U2750" t="n">
        <v>4</v>
      </c>
      <c r="V2750" t="n">
        <v>0.0954</v>
      </c>
      <c r="W2750" t="n">
        <v>2.12</v>
      </c>
      <c r="X2750" t="n">
        <v>82.34999999999999</v>
      </c>
      <c r="Y2750">
        <f>VLOOKUP(D2750,$AB$2:$AC$7,2,FALSE)</f>
        <v/>
      </c>
      <c r="Z2750">
        <f>IF(A2750&lt;Y2750,"Yes","No")</f>
        <v/>
      </c>
    </row>
    <row r="2751">
      <c r="A2751" t="n">
        <v>2023</v>
      </c>
      <c r="B2751" t="inlineStr">
        <is>
          <t>Q4</t>
        </is>
      </c>
      <c r="C2751" t="inlineStr">
        <is>
          <t>Europe</t>
        </is>
      </c>
      <c r="D2751" t="inlineStr">
        <is>
          <t>Model X</t>
        </is>
      </c>
      <c r="E2751" t="n">
        <v>3801</v>
      </c>
      <c r="F2751" t="n">
        <v>112132.72</v>
      </c>
      <c r="G2751" t="n">
        <v>8</v>
      </c>
      <c r="H2751" t="inlineStr">
        <is>
          <t>Long Range</t>
        </is>
      </c>
      <c r="I2751" t="inlineStr">
        <is>
          <t>AWD</t>
        </is>
      </c>
      <c r="J2751" t="inlineStr">
        <is>
          <t>Red</t>
        </is>
      </c>
      <c r="K2751" t="n">
        <v>618</v>
      </c>
      <c r="L2751" t="n">
        <v>85</v>
      </c>
      <c r="M2751" t="n">
        <v>19.67</v>
      </c>
      <c r="N2751" t="n">
        <v>5631.66</v>
      </c>
      <c r="O2751" t="n">
        <v>4.15</v>
      </c>
      <c r="P2751" t="n">
        <v>4</v>
      </c>
      <c r="Q2751" t="n">
        <v>2</v>
      </c>
      <c r="R2751" t="n">
        <v>2022.7</v>
      </c>
      <c r="S2751" t="b">
        <v>1</v>
      </c>
      <c r="T2751" t="n">
        <v>245392</v>
      </c>
      <c r="U2751" t="n">
        <v>5</v>
      </c>
      <c r="V2751" t="n">
        <v>0.0499</v>
      </c>
      <c r="W2751" t="n">
        <v>2.36</v>
      </c>
      <c r="X2751" t="n">
        <v>81.94</v>
      </c>
      <c r="Y2751">
        <f>VLOOKUP(D2751,$AB$2:$AC$7,2,FALSE)</f>
        <v/>
      </c>
      <c r="Z2751">
        <f>IF(A2751&lt;Y2751,"Yes","No")</f>
        <v/>
      </c>
    </row>
    <row r="2752">
      <c r="A2752" t="n">
        <v>2019</v>
      </c>
      <c r="B2752" t="inlineStr">
        <is>
          <t>Q1</t>
        </is>
      </c>
      <c r="C2752" t="inlineStr">
        <is>
          <t>South America</t>
        </is>
      </c>
      <c r="D2752" t="inlineStr">
        <is>
          <t>Cybertruck</t>
        </is>
      </c>
      <c r="E2752" t="n">
        <v>674</v>
      </c>
      <c r="F2752" t="n">
        <v>91694.48</v>
      </c>
      <c r="G2752" t="n">
        <v>43</v>
      </c>
      <c r="H2752" t="inlineStr">
        <is>
          <t>Long Range</t>
        </is>
      </c>
      <c r="I2752" t="inlineStr">
        <is>
          <t>AWD</t>
        </is>
      </c>
      <c r="J2752" t="inlineStr">
        <is>
          <t>White</t>
        </is>
      </c>
      <c r="K2752" t="n">
        <v>425</v>
      </c>
      <c r="L2752" t="n">
        <v>84</v>
      </c>
      <c r="M2752" t="n">
        <v>20.52</v>
      </c>
      <c r="N2752" t="n">
        <v>679.73</v>
      </c>
      <c r="O2752" t="n">
        <v>4.93</v>
      </c>
      <c r="P2752" t="n">
        <v>4</v>
      </c>
      <c r="Q2752" t="n">
        <v>2</v>
      </c>
      <c r="R2752" t="n">
        <v>2020.8</v>
      </c>
      <c r="S2752" t="b">
        <v>1</v>
      </c>
      <c r="T2752" t="n">
        <v>2037593</v>
      </c>
      <c r="U2752" t="n">
        <v>8</v>
      </c>
      <c r="V2752" t="n">
        <v>0.0697</v>
      </c>
      <c r="W2752" t="n">
        <v>2.14</v>
      </c>
      <c r="X2752" t="n">
        <v>77.93000000000001</v>
      </c>
      <c r="Y2752">
        <f>VLOOKUP(D2752,$AB$2:$AC$7,2,FALSE)</f>
        <v/>
      </c>
      <c r="Z2752">
        <f>IF(A2752&lt;Y2752,"Yes","No")</f>
        <v/>
      </c>
    </row>
    <row r="2753">
      <c r="A2753" t="n">
        <v>2021</v>
      </c>
      <c r="B2753" t="inlineStr">
        <is>
          <t>Q1</t>
        </is>
      </c>
      <c r="C2753" t="inlineStr">
        <is>
          <t>Australia</t>
        </is>
      </c>
      <c r="D2753" t="inlineStr">
        <is>
          <t>Model S</t>
        </is>
      </c>
      <c r="E2753" t="n">
        <v>1620</v>
      </c>
      <c r="F2753" t="n">
        <v>78997.31</v>
      </c>
      <c r="G2753" t="n">
        <v>14</v>
      </c>
      <c r="H2753" t="inlineStr">
        <is>
          <t>Performance</t>
        </is>
      </c>
      <c r="I2753" t="inlineStr">
        <is>
          <t>RWD</t>
        </is>
      </c>
      <c r="J2753" t="inlineStr">
        <is>
          <t>Black</t>
        </is>
      </c>
      <c r="K2753" t="n">
        <v>586</v>
      </c>
      <c r="L2753" t="n">
        <v>37</v>
      </c>
      <c r="M2753" t="n">
        <v>23.21</v>
      </c>
      <c r="N2753" t="n">
        <v>1523.47</v>
      </c>
      <c r="O2753" t="n">
        <v>3.9</v>
      </c>
      <c r="P2753" t="n">
        <v>6</v>
      </c>
      <c r="Q2753" t="n">
        <v>3</v>
      </c>
      <c r="R2753" t="n">
        <v>2020.7</v>
      </c>
      <c r="S2753" t="b">
        <v>0</v>
      </c>
      <c r="T2753" t="n">
        <v>4872205</v>
      </c>
      <c r="U2753" t="n">
        <v>4</v>
      </c>
      <c r="V2753" t="n">
        <v>0.0215</v>
      </c>
      <c r="W2753" t="n">
        <v>0.76</v>
      </c>
      <c r="X2753" t="n">
        <v>80.86</v>
      </c>
      <c r="Y2753">
        <f>VLOOKUP(D2753,$AB$2:$AC$7,2,FALSE)</f>
        <v/>
      </c>
      <c r="Z2753">
        <f>IF(A2753&lt;Y2753,"Yes","No")</f>
        <v/>
      </c>
    </row>
    <row r="2754">
      <c r="A2754" t="n">
        <v>2024</v>
      </c>
      <c r="B2754" t="inlineStr">
        <is>
          <t>Q1</t>
        </is>
      </c>
      <c r="C2754" t="inlineStr">
        <is>
          <t>Australia</t>
        </is>
      </c>
      <c r="D2754" t="inlineStr">
        <is>
          <t>Semi</t>
        </is>
      </c>
      <c r="E2754" t="n">
        <v>2432</v>
      </c>
      <c r="F2754" t="n">
        <v>39212.75</v>
      </c>
      <c r="G2754" t="n">
        <v>1</v>
      </c>
      <c r="H2754" t="inlineStr">
        <is>
          <t>Long Range</t>
        </is>
      </c>
      <c r="I2754" t="inlineStr">
        <is>
          <t>RWD</t>
        </is>
      </c>
      <c r="J2754" t="inlineStr">
        <is>
          <t>Black</t>
        </is>
      </c>
      <c r="K2754" t="n">
        <v>484</v>
      </c>
      <c r="L2754" t="n">
        <v>37</v>
      </c>
      <c r="M2754" t="n">
        <v>16.19</v>
      </c>
      <c r="N2754" t="n">
        <v>4315.18</v>
      </c>
      <c r="O2754" t="n">
        <v>4.68</v>
      </c>
      <c r="P2754" t="n">
        <v>6</v>
      </c>
      <c r="Q2754" t="n">
        <v>3</v>
      </c>
      <c r="R2754" t="n">
        <v>2022.7</v>
      </c>
      <c r="S2754" t="b">
        <v>0</v>
      </c>
      <c r="T2754" t="n">
        <v>1930449</v>
      </c>
      <c r="U2754" t="n">
        <v>11</v>
      </c>
      <c r="V2754" t="n">
        <v>0.0533</v>
      </c>
      <c r="W2754" t="n">
        <v>2.13</v>
      </c>
      <c r="X2754" t="n">
        <v>61.26</v>
      </c>
      <c r="Y2754">
        <f>VLOOKUP(D2754,$AB$2:$AC$7,2,FALSE)</f>
        <v/>
      </c>
      <c r="Z2754">
        <f>IF(A2754&lt;Y2754,"Yes","No")</f>
        <v/>
      </c>
    </row>
    <row r="2755">
      <c r="A2755" t="n">
        <v>2013</v>
      </c>
      <c r="B2755" t="inlineStr">
        <is>
          <t>Q2</t>
        </is>
      </c>
      <c r="C2755" t="inlineStr">
        <is>
          <t>North America</t>
        </is>
      </c>
      <c r="D2755" t="inlineStr">
        <is>
          <t>Model Y</t>
        </is>
      </c>
      <c r="E2755" t="n">
        <v>1748</v>
      </c>
      <c r="F2755" t="n">
        <v>55485.47</v>
      </c>
      <c r="G2755" t="n">
        <v>59</v>
      </c>
      <c r="H2755" t="inlineStr">
        <is>
          <t>Long Range</t>
        </is>
      </c>
      <c r="I2755" t="inlineStr">
        <is>
          <t>RWD</t>
        </is>
      </c>
      <c r="J2755" t="inlineStr">
        <is>
          <t>Green</t>
        </is>
      </c>
      <c r="K2755" t="n">
        <v>646</v>
      </c>
      <c r="L2755" t="n">
        <v>69</v>
      </c>
      <c r="M2755" t="n">
        <v>21.55</v>
      </c>
      <c r="N2755" t="n">
        <v>3040.14</v>
      </c>
      <c r="O2755" t="n">
        <v>4.4</v>
      </c>
      <c r="P2755" t="n">
        <v>6</v>
      </c>
      <c r="Q2755" t="n">
        <v>3</v>
      </c>
      <c r="R2755" t="n">
        <v>2023.6</v>
      </c>
      <c r="S2755" t="b">
        <v>0</v>
      </c>
      <c r="T2755" t="n">
        <v>2451471</v>
      </c>
      <c r="U2755" t="n">
        <v>8</v>
      </c>
      <c r="V2755" t="n">
        <v>0.0694</v>
      </c>
      <c r="W2755" t="n">
        <v>1.49</v>
      </c>
      <c r="X2755" t="n">
        <v>71.90000000000001</v>
      </c>
      <c r="Y2755">
        <f>VLOOKUP(D2755,$AB$2:$AC$7,2,FALSE)</f>
        <v/>
      </c>
      <c r="Z2755">
        <f>IF(A2755&lt;Y2755,"Yes","No")</f>
        <v/>
      </c>
    </row>
    <row r="2756">
      <c r="A2756" t="n">
        <v>2019</v>
      </c>
      <c r="B2756" t="inlineStr">
        <is>
          <t>Q3</t>
        </is>
      </c>
      <c r="C2756" t="inlineStr">
        <is>
          <t>South America</t>
        </is>
      </c>
      <c r="D2756" t="inlineStr">
        <is>
          <t>Semi</t>
        </is>
      </c>
      <c r="E2756" t="n">
        <v>810</v>
      </c>
      <c r="F2756" t="n">
        <v>53677.96</v>
      </c>
      <c r="G2756" t="n">
        <v>44</v>
      </c>
      <c r="H2756" t="inlineStr">
        <is>
          <t>Performance</t>
        </is>
      </c>
      <c r="I2756" t="inlineStr">
        <is>
          <t>AWD</t>
        </is>
      </c>
      <c r="J2756" t="inlineStr">
        <is>
          <t>Blue</t>
        </is>
      </c>
      <c r="K2756" t="n">
        <v>649</v>
      </c>
      <c r="L2756" t="n">
        <v>78</v>
      </c>
      <c r="M2756" t="n">
        <v>24.83</v>
      </c>
      <c r="N2756" t="n">
        <v>1581.67</v>
      </c>
      <c r="O2756" t="n">
        <v>3.92</v>
      </c>
      <c r="P2756" t="n">
        <v>4</v>
      </c>
      <c r="Q2756" t="n">
        <v>1</v>
      </c>
      <c r="R2756" t="n">
        <v>2021.5</v>
      </c>
      <c r="S2756" t="b">
        <v>1</v>
      </c>
      <c r="T2756" t="n">
        <v>1453978</v>
      </c>
      <c r="U2756" t="n">
        <v>3</v>
      </c>
      <c r="V2756" t="n">
        <v>0.0481</v>
      </c>
      <c r="W2756" t="n">
        <v>1.9</v>
      </c>
      <c r="X2756" t="n">
        <v>82.29000000000001</v>
      </c>
      <c r="Y2756">
        <f>VLOOKUP(D2756,$AB$2:$AC$7,2,FALSE)</f>
        <v/>
      </c>
      <c r="Z2756">
        <f>IF(A2756&lt;Y2756,"Yes","No")</f>
        <v/>
      </c>
    </row>
    <row r="2757">
      <c r="A2757" t="n">
        <v>2015</v>
      </c>
      <c r="B2757" t="inlineStr">
        <is>
          <t>Q2</t>
        </is>
      </c>
      <c r="C2757" t="inlineStr">
        <is>
          <t>Asia</t>
        </is>
      </c>
      <c r="D2757" t="inlineStr">
        <is>
          <t>Semi</t>
        </is>
      </c>
      <c r="E2757" t="n">
        <v>2400</v>
      </c>
      <c r="F2757" t="n">
        <v>93750.50999999999</v>
      </c>
      <c r="G2757" t="n">
        <v>8</v>
      </c>
      <c r="H2757" t="inlineStr">
        <is>
          <t>Standard</t>
        </is>
      </c>
      <c r="I2757" t="inlineStr">
        <is>
          <t>RWD</t>
        </is>
      </c>
      <c r="J2757" t="inlineStr">
        <is>
          <t>Blue</t>
        </is>
      </c>
      <c r="K2757" t="n">
        <v>398</v>
      </c>
      <c r="L2757" t="n">
        <v>30</v>
      </c>
      <c r="M2757" t="n">
        <v>13.2</v>
      </c>
      <c r="N2757" t="n">
        <v>3946.53</v>
      </c>
      <c r="O2757" t="n">
        <v>3.79</v>
      </c>
      <c r="P2757" t="n">
        <v>4</v>
      </c>
      <c r="Q2757" t="n">
        <v>0</v>
      </c>
      <c r="R2757" t="n">
        <v>2022.9</v>
      </c>
      <c r="S2757" t="b">
        <v>1</v>
      </c>
      <c r="T2757" t="n">
        <v>4802218</v>
      </c>
      <c r="U2757" t="n">
        <v>5</v>
      </c>
      <c r="V2757" t="n">
        <v>0.048</v>
      </c>
      <c r="W2757" t="n">
        <v>0.65</v>
      </c>
      <c r="X2757" t="n">
        <v>68.78</v>
      </c>
      <c r="Y2757">
        <f>VLOOKUP(D2757,$AB$2:$AC$7,2,FALSE)</f>
        <v/>
      </c>
      <c r="Z2757">
        <f>IF(A2757&lt;Y2757,"Yes","No")</f>
        <v/>
      </c>
    </row>
    <row r="2758">
      <c r="A2758" t="n">
        <v>2021</v>
      </c>
      <c r="B2758" t="inlineStr">
        <is>
          <t>Q1</t>
        </is>
      </c>
      <c r="C2758" t="inlineStr">
        <is>
          <t>Asia</t>
        </is>
      </c>
      <c r="D2758" t="inlineStr">
        <is>
          <t>Cybertruck</t>
        </is>
      </c>
      <c r="E2758" t="n">
        <v>751</v>
      </c>
      <c r="F2758" t="n">
        <v>80639.05</v>
      </c>
      <c r="G2758" t="n">
        <v>14</v>
      </c>
      <c r="H2758" t="inlineStr">
        <is>
          <t>Long Range</t>
        </is>
      </c>
      <c r="I2758" t="inlineStr">
        <is>
          <t>RWD</t>
        </is>
      </c>
      <c r="J2758" t="inlineStr">
        <is>
          <t>White</t>
        </is>
      </c>
      <c r="K2758" t="n">
        <v>454</v>
      </c>
      <c r="L2758" t="n">
        <v>69</v>
      </c>
      <c r="M2758" t="n">
        <v>18.49</v>
      </c>
      <c r="N2758" t="n">
        <v>1504.62</v>
      </c>
      <c r="O2758" t="n">
        <v>3.55</v>
      </c>
      <c r="P2758" t="n">
        <v>8</v>
      </c>
      <c r="Q2758" t="n">
        <v>1</v>
      </c>
      <c r="R2758" t="n">
        <v>2022.2</v>
      </c>
      <c r="S2758" t="b">
        <v>1</v>
      </c>
      <c r="T2758" t="n">
        <v>4654375</v>
      </c>
      <c r="U2758" t="n">
        <v>2</v>
      </c>
      <c r="V2758" t="n">
        <v>0.0548</v>
      </c>
      <c r="W2758" t="n">
        <v>0.57</v>
      </c>
      <c r="X2758" t="n">
        <v>87.05</v>
      </c>
      <c r="Y2758">
        <f>VLOOKUP(D2758,$AB$2:$AC$7,2,FALSE)</f>
        <v/>
      </c>
      <c r="Z2758">
        <f>IF(A2758&lt;Y2758,"Yes","No")</f>
        <v/>
      </c>
    </row>
    <row r="2759">
      <c r="A2759" t="n">
        <v>2017</v>
      </c>
      <c r="B2759" t="inlineStr">
        <is>
          <t>Q1</t>
        </is>
      </c>
      <c r="C2759" t="inlineStr">
        <is>
          <t>Europe</t>
        </is>
      </c>
      <c r="D2759" t="inlineStr">
        <is>
          <t>Model X</t>
        </is>
      </c>
      <c r="E2759" t="n">
        <v>2281</v>
      </c>
      <c r="F2759" t="n">
        <v>111745.31</v>
      </c>
      <c r="G2759" t="n">
        <v>23</v>
      </c>
      <c r="H2759" t="inlineStr">
        <is>
          <t>Standard</t>
        </is>
      </c>
      <c r="I2759" t="inlineStr">
        <is>
          <t>AWD</t>
        </is>
      </c>
      <c r="J2759" t="inlineStr">
        <is>
          <t>Blue</t>
        </is>
      </c>
      <c r="K2759" t="n">
        <v>490</v>
      </c>
      <c r="L2759" t="n">
        <v>32</v>
      </c>
      <c r="M2759" t="n">
        <v>14.51</v>
      </c>
      <c r="N2759" t="n">
        <v>4326.87</v>
      </c>
      <c r="O2759" t="n">
        <v>4.84</v>
      </c>
      <c r="P2759" t="n">
        <v>5</v>
      </c>
      <c r="Q2759" t="n">
        <v>1</v>
      </c>
      <c r="R2759" t="n">
        <v>2020.11</v>
      </c>
      <c r="S2759" t="b">
        <v>0</v>
      </c>
      <c r="T2759" t="n">
        <v>2795394</v>
      </c>
      <c r="U2759" t="n">
        <v>2</v>
      </c>
      <c r="V2759" t="n">
        <v>0.0949</v>
      </c>
      <c r="W2759" t="n">
        <v>2.48</v>
      </c>
      <c r="X2759" t="n">
        <v>62.99</v>
      </c>
      <c r="Y2759">
        <f>VLOOKUP(D2759,$AB$2:$AC$7,2,FALSE)</f>
        <v/>
      </c>
      <c r="Z2759">
        <f>IF(A2759&lt;Y2759,"Yes","No")</f>
        <v/>
      </c>
    </row>
    <row r="2760">
      <c r="A2760" t="n">
        <v>2024</v>
      </c>
      <c r="B2760" t="inlineStr">
        <is>
          <t>Q1</t>
        </is>
      </c>
      <c r="C2760" t="inlineStr">
        <is>
          <t>Asia</t>
        </is>
      </c>
      <c r="D2760" t="inlineStr">
        <is>
          <t>Model X</t>
        </is>
      </c>
      <c r="E2760" t="n">
        <v>4746</v>
      </c>
      <c r="F2760" t="n">
        <v>65326.8</v>
      </c>
      <c r="G2760" t="n">
        <v>39</v>
      </c>
      <c r="H2760" t="inlineStr">
        <is>
          <t>Performance</t>
        </is>
      </c>
      <c r="I2760" t="inlineStr">
        <is>
          <t>RWD</t>
        </is>
      </c>
      <c r="J2760" t="inlineStr">
        <is>
          <t>Silver</t>
        </is>
      </c>
      <c r="K2760" t="n">
        <v>438</v>
      </c>
      <c r="L2760" t="n">
        <v>88</v>
      </c>
      <c r="M2760" t="n">
        <v>16.22</v>
      </c>
      <c r="N2760" t="n">
        <v>8140.22</v>
      </c>
      <c r="O2760" t="n">
        <v>4.16</v>
      </c>
      <c r="P2760" t="n">
        <v>8</v>
      </c>
      <c r="Q2760" t="n">
        <v>3</v>
      </c>
      <c r="R2760" t="n">
        <v>2022.6</v>
      </c>
      <c r="S2760" t="b">
        <v>1</v>
      </c>
      <c r="T2760" t="n">
        <v>3279941</v>
      </c>
      <c r="U2760" t="n">
        <v>2</v>
      </c>
      <c r="V2760" t="n">
        <v>0.0206</v>
      </c>
      <c r="W2760" t="n">
        <v>0.67</v>
      </c>
      <c r="X2760" t="n">
        <v>79.38</v>
      </c>
      <c r="Y2760">
        <f>VLOOKUP(D2760,$AB$2:$AC$7,2,FALSE)</f>
        <v/>
      </c>
      <c r="Z2760">
        <f>IF(A2760&lt;Y2760,"Yes","No")</f>
        <v/>
      </c>
    </row>
    <row r="2761">
      <c r="A2761" t="n">
        <v>2024</v>
      </c>
      <c r="B2761" t="inlineStr">
        <is>
          <t>Q1</t>
        </is>
      </c>
      <c r="C2761" t="inlineStr">
        <is>
          <t>Europe</t>
        </is>
      </c>
      <c r="D2761" t="inlineStr">
        <is>
          <t>Model 3</t>
        </is>
      </c>
      <c r="E2761" t="n">
        <v>4538</v>
      </c>
      <c r="F2761" t="n">
        <v>38759.54</v>
      </c>
      <c r="G2761" t="n">
        <v>15</v>
      </c>
      <c r="H2761" t="inlineStr">
        <is>
          <t>Standard</t>
        </is>
      </c>
      <c r="I2761" t="inlineStr">
        <is>
          <t>RWD</t>
        </is>
      </c>
      <c r="J2761" t="inlineStr">
        <is>
          <t>Black</t>
        </is>
      </c>
      <c r="K2761" t="n">
        <v>625</v>
      </c>
      <c r="L2761" t="n">
        <v>42</v>
      </c>
      <c r="M2761" t="n">
        <v>17.76</v>
      </c>
      <c r="N2761" t="n">
        <v>10223.34</v>
      </c>
      <c r="O2761" t="n">
        <v>3.9</v>
      </c>
      <c r="P2761" t="n">
        <v>4</v>
      </c>
      <c r="Q2761" t="n">
        <v>3</v>
      </c>
      <c r="R2761" t="n">
        <v>2024.3</v>
      </c>
      <c r="S2761" t="b">
        <v>1</v>
      </c>
      <c r="T2761" t="n">
        <v>3609961</v>
      </c>
      <c r="U2761" t="n">
        <v>7</v>
      </c>
      <c r="V2761" t="n">
        <v>0.0166</v>
      </c>
      <c r="W2761" t="n">
        <v>2.17</v>
      </c>
      <c r="X2761" t="n">
        <v>89.61</v>
      </c>
      <c r="Y2761">
        <f>VLOOKUP(D2761,$AB$2:$AC$7,2,FALSE)</f>
        <v/>
      </c>
      <c r="Z2761">
        <f>IF(A2761&lt;Y2761,"Yes","No")</f>
        <v/>
      </c>
    </row>
    <row r="2762">
      <c r="A2762" t="n">
        <v>2013</v>
      </c>
      <c r="B2762" t="inlineStr">
        <is>
          <t>Q1</t>
        </is>
      </c>
      <c r="C2762" t="inlineStr">
        <is>
          <t>North America</t>
        </is>
      </c>
      <c r="D2762" t="inlineStr">
        <is>
          <t>Model X</t>
        </is>
      </c>
      <c r="E2762" t="n">
        <v>3395</v>
      </c>
      <c r="F2762" t="n">
        <v>82008.16</v>
      </c>
      <c r="G2762" t="n">
        <v>60</v>
      </c>
      <c r="H2762" t="inlineStr">
        <is>
          <t>Standard</t>
        </is>
      </c>
      <c r="I2762" t="inlineStr">
        <is>
          <t>RWD</t>
        </is>
      </c>
      <c r="J2762" t="inlineStr">
        <is>
          <t>Red</t>
        </is>
      </c>
      <c r="K2762" t="n">
        <v>410</v>
      </c>
      <c r="L2762" t="n">
        <v>61</v>
      </c>
      <c r="M2762" t="n">
        <v>15.81</v>
      </c>
      <c r="N2762" t="n">
        <v>1795.84</v>
      </c>
      <c r="O2762" t="n">
        <v>3.68</v>
      </c>
      <c r="P2762" t="n">
        <v>5</v>
      </c>
      <c r="Q2762" t="n">
        <v>2</v>
      </c>
      <c r="R2762" t="n">
        <v>2022.1</v>
      </c>
      <c r="S2762" t="b">
        <v>1</v>
      </c>
      <c r="T2762" t="n">
        <v>3141064</v>
      </c>
      <c r="U2762" t="n">
        <v>7</v>
      </c>
      <c r="V2762" t="n">
        <v>0.0664</v>
      </c>
      <c r="W2762" t="n">
        <v>1.7</v>
      </c>
      <c r="X2762" t="n">
        <v>87.81</v>
      </c>
      <c r="Y2762">
        <f>VLOOKUP(D2762,$AB$2:$AC$7,2,FALSE)</f>
        <v/>
      </c>
      <c r="Z2762">
        <f>IF(A2762&lt;Y2762,"Yes","No")</f>
        <v/>
      </c>
    </row>
    <row r="2763">
      <c r="A2763" t="n">
        <v>2015</v>
      </c>
      <c r="B2763" t="inlineStr">
        <is>
          <t>Q1</t>
        </is>
      </c>
      <c r="C2763" t="inlineStr">
        <is>
          <t>Europe</t>
        </is>
      </c>
      <c r="D2763" t="inlineStr">
        <is>
          <t>Semi</t>
        </is>
      </c>
      <c r="E2763" t="n">
        <v>928</v>
      </c>
      <c r="F2763" t="n">
        <v>47904.49</v>
      </c>
      <c r="G2763" t="n">
        <v>12</v>
      </c>
      <c r="H2763" t="inlineStr">
        <is>
          <t>Standard</t>
        </is>
      </c>
      <c r="I2763" t="inlineStr">
        <is>
          <t>AWD</t>
        </is>
      </c>
      <c r="J2763" t="inlineStr">
        <is>
          <t>White</t>
        </is>
      </c>
      <c r="K2763" t="n">
        <v>451</v>
      </c>
      <c r="L2763" t="n">
        <v>46</v>
      </c>
      <c r="M2763" t="n">
        <v>21.5</v>
      </c>
      <c r="N2763" t="n">
        <v>1171.49</v>
      </c>
      <c r="O2763" t="n">
        <v>4.55</v>
      </c>
      <c r="P2763" t="n">
        <v>5</v>
      </c>
      <c r="Q2763" t="n">
        <v>0</v>
      </c>
      <c r="R2763" t="n">
        <v>2021.12</v>
      </c>
      <c r="S2763" t="b">
        <v>0</v>
      </c>
      <c r="T2763" t="n">
        <v>1595979</v>
      </c>
      <c r="U2763" t="n">
        <v>3</v>
      </c>
      <c r="V2763" t="n">
        <v>0.0401</v>
      </c>
      <c r="W2763" t="n">
        <v>1.68</v>
      </c>
      <c r="X2763" t="n">
        <v>88.63</v>
      </c>
      <c r="Y2763">
        <f>VLOOKUP(D2763,$AB$2:$AC$7,2,FALSE)</f>
        <v/>
      </c>
      <c r="Z2763">
        <f>IF(A2763&lt;Y2763,"Yes","No")</f>
        <v/>
      </c>
    </row>
    <row r="2764">
      <c r="A2764" t="n">
        <v>2016</v>
      </c>
      <c r="B2764" t="inlineStr">
        <is>
          <t>Q1</t>
        </is>
      </c>
      <c r="C2764" t="inlineStr">
        <is>
          <t>Australia</t>
        </is>
      </c>
      <c r="D2764" t="inlineStr">
        <is>
          <t>Model S</t>
        </is>
      </c>
      <c r="E2764" t="n">
        <v>679</v>
      </c>
      <c r="F2764" t="n">
        <v>106364.36</v>
      </c>
      <c r="G2764" t="n">
        <v>18</v>
      </c>
      <c r="H2764" t="inlineStr">
        <is>
          <t>Long Range</t>
        </is>
      </c>
      <c r="I2764" t="inlineStr">
        <is>
          <t>AWD</t>
        </is>
      </c>
      <c r="J2764" t="inlineStr">
        <is>
          <t>Green</t>
        </is>
      </c>
      <c r="K2764" t="n">
        <v>417</v>
      </c>
      <c r="L2764" t="n">
        <v>30</v>
      </c>
      <c r="M2764" t="n">
        <v>17.12</v>
      </c>
      <c r="N2764" t="n">
        <v>1677.66</v>
      </c>
      <c r="O2764" t="n">
        <v>3.91</v>
      </c>
      <c r="P2764" t="n">
        <v>6</v>
      </c>
      <c r="Q2764" t="n">
        <v>2</v>
      </c>
      <c r="R2764" t="n">
        <v>2023.6</v>
      </c>
      <c r="S2764" t="b">
        <v>1</v>
      </c>
      <c r="T2764" t="n">
        <v>1778487</v>
      </c>
      <c r="U2764" t="n">
        <v>8</v>
      </c>
      <c r="V2764" t="n">
        <v>0.0917</v>
      </c>
      <c r="W2764" t="n">
        <v>0.5600000000000001</v>
      </c>
      <c r="X2764" t="n">
        <v>68.89</v>
      </c>
      <c r="Y2764">
        <f>VLOOKUP(D2764,$AB$2:$AC$7,2,FALSE)</f>
        <v/>
      </c>
      <c r="Z2764">
        <f>IF(A2764&lt;Y2764,"Yes","No")</f>
        <v/>
      </c>
    </row>
    <row r="2765">
      <c r="A2765" t="n">
        <v>2013</v>
      </c>
      <c r="B2765" t="inlineStr">
        <is>
          <t>Q2</t>
        </is>
      </c>
      <c r="C2765" t="inlineStr">
        <is>
          <t>Europe</t>
        </is>
      </c>
      <c r="D2765" t="inlineStr">
        <is>
          <t>Model X</t>
        </is>
      </c>
      <c r="E2765" t="n">
        <v>1979</v>
      </c>
      <c r="F2765" t="n">
        <v>52944.67</v>
      </c>
      <c r="G2765" t="n">
        <v>44</v>
      </c>
      <c r="H2765" t="inlineStr">
        <is>
          <t>Standard</t>
        </is>
      </c>
      <c r="I2765" t="inlineStr">
        <is>
          <t>RWD</t>
        </is>
      </c>
      <c r="J2765" t="inlineStr">
        <is>
          <t>Silver</t>
        </is>
      </c>
      <c r="K2765" t="n">
        <v>490</v>
      </c>
      <c r="L2765" t="n">
        <v>34</v>
      </c>
      <c r="M2765" t="n">
        <v>23.45</v>
      </c>
      <c r="N2765" t="n">
        <v>2375.37</v>
      </c>
      <c r="O2765" t="n">
        <v>4.25</v>
      </c>
      <c r="P2765" t="n">
        <v>4</v>
      </c>
      <c r="Q2765" t="n">
        <v>3</v>
      </c>
      <c r="R2765" t="n">
        <v>2022.7</v>
      </c>
      <c r="S2765" t="b">
        <v>0</v>
      </c>
      <c r="T2765" t="n">
        <v>4590367</v>
      </c>
      <c r="U2765" t="n">
        <v>4</v>
      </c>
      <c r="V2765" t="n">
        <v>0.0402</v>
      </c>
      <c r="W2765" t="n">
        <v>1.16</v>
      </c>
      <c r="X2765" t="n">
        <v>75.31999999999999</v>
      </c>
      <c r="Y2765">
        <f>VLOOKUP(D2765,$AB$2:$AC$7,2,FALSE)</f>
        <v/>
      </c>
      <c r="Z2765">
        <f>IF(A2765&lt;Y2765,"Yes","No")</f>
        <v/>
      </c>
    </row>
    <row r="2766">
      <c r="A2766" t="n">
        <v>2015</v>
      </c>
      <c r="B2766" t="inlineStr">
        <is>
          <t>Q4</t>
        </is>
      </c>
      <c r="C2766" t="inlineStr">
        <is>
          <t>South America</t>
        </is>
      </c>
      <c r="D2766" t="inlineStr">
        <is>
          <t>Semi</t>
        </is>
      </c>
      <c r="E2766" t="n">
        <v>3127</v>
      </c>
      <c r="F2766" t="n">
        <v>42498.67</v>
      </c>
      <c r="G2766" t="n">
        <v>12</v>
      </c>
      <c r="H2766" t="inlineStr">
        <is>
          <t>Performance</t>
        </is>
      </c>
      <c r="I2766" t="inlineStr">
        <is>
          <t>RWD</t>
        </is>
      </c>
      <c r="J2766" t="inlineStr">
        <is>
          <t>Silver</t>
        </is>
      </c>
      <c r="K2766" t="n">
        <v>599</v>
      </c>
      <c r="L2766" t="n">
        <v>69</v>
      </c>
      <c r="M2766" t="n">
        <v>13.03</v>
      </c>
      <c r="N2766" t="n">
        <v>3677.81</v>
      </c>
      <c r="O2766" t="n">
        <v>4.22</v>
      </c>
      <c r="P2766" t="n">
        <v>5</v>
      </c>
      <c r="Q2766" t="n">
        <v>0</v>
      </c>
      <c r="R2766" t="n">
        <v>2024.1</v>
      </c>
      <c r="S2766" t="b">
        <v>0</v>
      </c>
      <c r="T2766" t="n">
        <v>1167930</v>
      </c>
      <c r="U2766" t="n">
        <v>11</v>
      </c>
      <c r="V2766" t="n">
        <v>0.0325</v>
      </c>
      <c r="W2766" t="n">
        <v>1.87</v>
      </c>
      <c r="X2766" t="n">
        <v>75.87</v>
      </c>
      <c r="Y2766">
        <f>VLOOKUP(D2766,$AB$2:$AC$7,2,FALSE)</f>
        <v/>
      </c>
      <c r="Z2766">
        <f>IF(A2766&lt;Y2766,"Yes","No")</f>
        <v/>
      </c>
    </row>
    <row r="2767">
      <c r="A2767" t="n">
        <v>2018</v>
      </c>
      <c r="B2767" t="inlineStr">
        <is>
          <t>Q2</t>
        </is>
      </c>
      <c r="C2767" t="inlineStr">
        <is>
          <t>Australia</t>
        </is>
      </c>
      <c r="D2767" t="inlineStr">
        <is>
          <t>Model Y</t>
        </is>
      </c>
      <c r="E2767" t="n">
        <v>3358</v>
      </c>
      <c r="F2767" t="n">
        <v>72568.31</v>
      </c>
      <c r="G2767" t="n">
        <v>6</v>
      </c>
      <c r="H2767" t="inlineStr">
        <is>
          <t>Standard</t>
        </is>
      </c>
      <c r="I2767" t="inlineStr">
        <is>
          <t>RWD</t>
        </is>
      </c>
      <c r="J2767" t="inlineStr">
        <is>
          <t>Green</t>
        </is>
      </c>
      <c r="K2767" t="n">
        <v>441</v>
      </c>
      <c r="L2767" t="n">
        <v>74</v>
      </c>
      <c r="M2767" t="n">
        <v>19.23</v>
      </c>
      <c r="N2767" t="n">
        <v>3338.13</v>
      </c>
      <c r="O2767" t="n">
        <v>4.32</v>
      </c>
      <c r="P2767" t="n">
        <v>8</v>
      </c>
      <c r="Q2767" t="n">
        <v>2</v>
      </c>
      <c r="R2767" t="n">
        <v>2022.8</v>
      </c>
      <c r="S2767" t="b">
        <v>1</v>
      </c>
      <c r="T2767" t="n">
        <v>1089319</v>
      </c>
      <c r="U2767" t="n">
        <v>12</v>
      </c>
      <c r="V2767" t="n">
        <v>0.0172</v>
      </c>
      <c r="W2767" t="n">
        <v>0.67</v>
      </c>
      <c r="X2767" t="n">
        <v>65.91</v>
      </c>
      <c r="Y2767">
        <f>VLOOKUP(D2767,$AB$2:$AC$7,2,FALSE)</f>
        <v/>
      </c>
      <c r="Z2767">
        <f>IF(A2767&lt;Y2767,"Yes","No")</f>
        <v/>
      </c>
    </row>
    <row r="2768">
      <c r="A2768" t="n">
        <v>2023</v>
      </c>
      <c r="B2768" t="inlineStr">
        <is>
          <t>Q3</t>
        </is>
      </c>
      <c r="C2768" t="inlineStr">
        <is>
          <t>South America</t>
        </is>
      </c>
      <c r="D2768" t="inlineStr">
        <is>
          <t>Semi</t>
        </is>
      </c>
      <c r="E2768" t="n">
        <v>1613</v>
      </c>
      <c r="F2768" t="n">
        <v>111122.4</v>
      </c>
      <c r="G2768" t="n">
        <v>14</v>
      </c>
      <c r="H2768" t="inlineStr">
        <is>
          <t>Performance</t>
        </is>
      </c>
      <c r="I2768" t="inlineStr">
        <is>
          <t>RWD</t>
        </is>
      </c>
      <c r="J2768" t="inlineStr">
        <is>
          <t>Black</t>
        </is>
      </c>
      <c r="K2768" t="n">
        <v>577</v>
      </c>
      <c r="L2768" t="n">
        <v>40</v>
      </c>
      <c r="M2768" t="n">
        <v>19.14</v>
      </c>
      <c r="N2768" t="n">
        <v>3210.84</v>
      </c>
      <c r="O2768" t="n">
        <v>3.72</v>
      </c>
      <c r="P2768" t="n">
        <v>4</v>
      </c>
      <c r="Q2768" t="n">
        <v>2</v>
      </c>
      <c r="R2768" t="n">
        <v>2023.6</v>
      </c>
      <c r="S2768" t="b">
        <v>0</v>
      </c>
      <c r="T2768" t="n">
        <v>215250</v>
      </c>
      <c r="U2768" t="n">
        <v>6</v>
      </c>
      <c r="V2768" t="n">
        <v>0.0148</v>
      </c>
      <c r="W2768" t="n">
        <v>1.61</v>
      </c>
      <c r="X2768" t="n">
        <v>73.94</v>
      </c>
      <c r="Y2768">
        <f>VLOOKUP(D2768,$AB$2:$AC$7,2,FALSE)</f>
        <v/>
      </c>
      <c r="Z2768">
        <f>IF(A2768&lt;Y2768,"Yes","No")</f>
        <v/>
      </c>
    </row>
    <row r="2769">
      <c r="A2769" t="n">
        <v>2016</v>
      </c>
      <c r="B2769" t="inlineStr">
        <is>
          <t>Q4</t>
        </is>
      </c>
      <c r="C2769" t="inlineStr">
        <is>
          <t>Australia</t>
        </is>
      </c>
      <c r="D2769" t="inlineStr">
        <is>
          <t>Model S</t>
        </is>
      </c>
      <c r="E2769" t="n">
        <v>3200</v>
      </c>
      <c r="F2769" t="n">
        <v>58849.38</v>
      </c>
      <c r="G2769" t="n">
        <v>5</v>
      </c>
      <c r="H2769" t="inlineStr">
        <is>
          <t>Standard</t>
        </is>
      </c>
      <c r="I2769" t="inlineStr">
        <is>
          <t>AWD</t>
        </is>
      </c>
      <c r="J2769" t="inlineStr">
        <is>
          <t>White</t>
        </is>
      </c>
      <c r="K2769" t="n">
        <v>605</v>
      </c>
      <c r="L2769" t="n">
        <v>63</v>
      </c>
      <c r="M2769" t="n">
        <v>24.71</v>
      </c>
      <c r="N2769" t="n">
        <v>2614.2</v>
      </c>
      <c r="O2769" t="n">
        <v>4.77</v>
      </c>
      <c r="P2769" t="n">
        <v>5</v>
      </c>
      <c r="Q2769" t="n">
        <v>2</v>
      </c>
      <c r="R2769" t="n">
        <v>2022.3</v>
      </c>
      <c r="S2769" t="b">
        <v>1</v>
      </c>
      <c r="T2769" t="n">
        <v>2827219</v>
      </c>
      <c r="U2769" t="n">
        <v>2</v>
      </c>
      <c r="V2769" t="n">
        <v>0.0465</v>
      </c>
      <c r="W2769" t="n">
        <v>1.53</v>
      </c>
      <c r="X2769" t="n">
        <v>66.45999999999999</v>
      </c>
      <c r="Y2769">
        <f>VLOOKUP(D2769,$AB$2:$AC$7,2,FALSE)</f>
        <v/>
      </c>
      <c r="Z2769">
        <f>IF(A2769&lt;Y2769,"Yes","No")</f>
        <v/>
      </c>
    </row>
    <row r="2770">
      <c r="A2770" t="n">
        <v>2021</v>
      </c>
      <c r="B2770" t="inlineStr">
        <is>
          <t>Q2</t>
        </is>
      </c>
      <c r="C2770" t="inlineStr">
        <is>
          <t>South America</t>
        </is>
      </c>
      <c r="D2770" t="inlineStr">
        <is>
          <t>Model 3</t>
        </is>
      </c>
      <c r="E2770" t="n">
        <v>3239</v>
      </c>
      <c r="F2770" t="n">
        <v>37253.33</v>
      </c>
      <c r="G2770" t="n">
        <v>44</v>
      </c>
      <c r="H2770" t="inlineStr">
        <is>
          <t>Standard</t>
        </is>
      </c>
      <c r="I2770" t="inlineStr">
        <is>
          <t>RWD</t>
        </is>
      </c>
      <c r="J2770" t="inlineStr">
        <is>
          <t>Black</t>
        </is>
      </c>
      <c r="K2770" t="n">
        <v>627</v>
      </c>
      <c r="L2770" t="n">
        <v>75</v>
      </c>
      <c r="M2770" t="n">
        <v>14.77</v>
      </c>
      <c r="N2770" t="n">
        <v>5637.07</v>
      </c>
      <c r="O2770" t="n">
        <v>4.4</v>
      </c>
      <c r="P2770" t="n">
        <v>6</v>
      </c>
      <c r="Q2770" t="n">
        <v>3</v>
      </c>
      <c r="R2770" t="n">
        <v>2024.11</v>
      </c>
      <c r="S2770" t="b">
        <v>0</v>
      </c>
      <c r="T2770" t="n">
        <v>2437152</v>
      </c>
      <c r="U2770" t="n">
        <v>7</v>
      </c>
      <c r="V2770" t="n">
        <v>0.08110000000000001</v>
      </c>
      <c r="W2770" t="n">
        <v>2.11</v>
      </c>
      <c r="X2770" t="n">
        <v>72.59</v>
      </c>
      <c r="Y2770">
        <f>VLOOKUP(D2770,$AB$2:$AC$7,2,FALSE)</f>
        <v/>
      </c>
      <c r="Z2770">
        <f>IF(A2770&lt;Y2770,"Yes","No")</f>
        <v/>
      </c>
    </row>
    <row r="2771">
      <c r="A2771" t="n">
        <v>2022</v>
      </c>
      <c r="B2771" t="inlineStr">
        <is>
          <t>Q1</t>
        </is>
      </c>
      <c r="C2771" t="inlineStr">
        <is>
          <t>Europe</t>
        </is>
      </c>
      <c r="D2771" t="inlineStr">
        <is>
          <t>Semi</t>
        </is>
      </c>
      <c r="E2771" t="n">
        <v>1047</v>
      </c>
      <c r="F2771" t="n">
        <v>90167.89999999999</v>
      </c>
      <c r="G2771" t="n">
        <v>53</v>
      </c>
      <c r="H2771" t="inlineStr">
        <is>
          <t>Performance</t>
        </is>
      </c>
      <c r="I2771" t="inlineStr">
        <is>
          <t>RWD</t>
        </is>
      </c>
      <c r="J2771" t="inlineStr">
        <is>
          <t>Silver</t>
        </is>
      </c>
      <c r="K2771" t="n">
        <v>547</v>
      </c>
      <c r="L2771" t="n">
        <v>53</v>
      </c>
      <c r="M2771" t="n">
        <v>19.99</v>
      </c>
      <c r="N2771" t="n">
        <v>1517.77</v>
      </c>
      <c r="O2771" t="n">
        <v>4.74</v>
      </c>
      <c r="P2771" t="n">
        <v>6</v>
      </c>
      <c r="Q2771" t="n">
        <v>0</v>
      </c>
      <c r="R2771" t="n">
        <v>2021.1</v>
      </c>
      <c r="S2771" t="b">
        <v>0</v>
      </c>
      <c r="T2771" t="n">
        <v>2573291</v>
      </c>
      <c r="U2771" t="n">
        <v>7</v>
      </c>
      <c r="V2771" t="n">
        <v>0.0974</v>
      </c>
      <c r="W2771" t="n">
        <v>1.07</v>
      </c>
      <c r="X2771" t="n">
        <v>85.03</v>
      </c>
      <c r="Y2771">
        <f>VLOOKUP(D2771,$AB$2:$AC$7,2,FALSE)</f>
        <v/>
      </c>
      <c r="Z2771">
        <f>IF(A2771&lt;Y2771,"Yes","No")</f>
        <v/>
      </c>
    </row>
    <row r="2772">
      <c r="A2772" t="n">
        <v>2014</v>
      </c>
      <c r="B2772" t="inlineStr">
        <is>
          <t>Q4</t>
        </is>
      </c>
      <c r="C2772" t="inlineStr">
        <is>
          <t>Australia</t>
        </is>
      </c>
      <c r="D2772" t="inlineStr">
        <is>
          <t>Model S</t>
        </is>
      </c>
      <c r="E2772" t="n">
        <v>4686</v>
      </c>
      <c r="F2772" t="n">
        <v>97318.12</v>
      </c>
      <c r="G2772" t="n">
        <v>22</v>
      </c>
      <c r="H2772" t="inlineStr">
        <is>
          <t>Performance</t>
        </is>
      </c>
      <c r="I2772" t="inlineStr">
        <is>
          <t>AWD</t>
        </is>
      </c>
      <c r="J2772" t="inlineStr">
        <is>
          <t>Green</t>
        </is>
      </c>
      <c r="K2772" t="n">
        <v>412</v>
      </c>
      <c r="L2772" t="n">
        <v>69</v>
      </c>
      <c r="M2772" t="n">
        <v>21.99</v>
      </c>
      <c r="N2772" t="n">
        <v>4810.59</v>
      </c>
      <c r="O2772" t="n">
        <v>4.74</v>
      </c>
      <c r="P2772" t="n">
        <v>5</v>
      </c>
      <c r="Q2772" t="n">
        <v>3</v>
      </c>
      <c r="R2772" t="n">
        <v>2022.5</v>
      </c>
      <c r="S2772" t="b">
        <v>0</v>
      </c>
      <c r="T2772" t="n">
        <v>4048732</v>
      </c>
      <c r="U2772" t="n">
        <v>4</v>
      </c>
      <c r="V2772" t="n">
        <v>0.0621</v>
      </c>
      <c r="W2772" t="n">
        <v>0.74</v>
      </c>
      <c r="X2772" t="n">
        <v>75.06999999999999</v>
      </c>
      <c r="Y2772">
        <f>VLOOKUP(D2772,$AB$2:$AC$7,2,FALSE)</f>
        <v/>
      </c>
      <c r="Z2772">
        <f>IF(A2772&lt;Y2772,"Yes","No")</f>
        <v/>
      </c>
    </row>
    <row r="2773">
      <c r="A2773" t="n">
        <v>2016</v>
      </c>
      <c r="B2773" t="inlineStr">
        <is>
          <t>Q3</t>
        </is>
      </c>
      <c r="C2773" t="inlineStr">
        <is>
          <t>North America</t>
        </is>
      </c>
      <c r="D2773" t="inlineStr">
        <is>
          <t>Semi</t>
        </is>
      </c>
      <c r="E2773" t="n">
        <v>1002</v>
      </c>
      <c r="F2773" t="n">
        <v>102774.64</v>
      </c>
      <c r="G2773" t="n">
        <v>28</v>
      </c>
      <c r="H2773" t="inlineStr">
        <is>
          <t>Performance</t>
        </is>
      </c>
      <c r="I2773" t="inlineStr">
        <is>
          <t>AWD</t>
        </is>
      </c>
      <c r="J2773" t="inlineStr">
        <is>
          <t>Silver</t>
        </is>
      </c>
      <c r="K2773" t="n">
        <v>440</v>
      </c>
      <c r="L2773" t="n">
        <v>42</v>
      </c>
      <c r="M2773" t="n">
        <v>14.06</v>
      </c>
      <c r="N2773" t="n">
        <v>1686.41</v>
      </c>
      <c r="O2773" t="n">
        <v>4.07</v>
      </c>
      <c r="P2773" t="n">
        <v>8</v>
      </c>
      <c r="Q2773" t="n">
        <v>1</v>
      </c>
      <c r="R2773" t="n">
        <v>2022.9</v>
      </c>
      <c r="S2773" t="b">
        <v>1</v>
      </c>
      <c r="T2773" t="n">
        <v>4429730</v>
      </c>
      <c r="U2773" t="n">
        <v>6</v>
      </c>
      <c r="V2773" t="n">
        <v>0.07190000000000001</v>
      </c>
      <c r="W2773" t="n">
        <v>2.33</v>
      </c>
      <c r="X2773" t="n">
        <v>65.12</v>
      </c>
      <c r="Y2773">
        <f>VLOOKUP(D2773,$AB$2:$AC$7,2,FALSE)</f>
        <v/>
      </c>
      <c r="Z2773">
        <f>IF(A2773&lt;Y2773,"Yes","No")</f>
        <v/>
      </c>
    </row>
    <row r="2774">
      <c r="A2774" t="n">
        <v>2019</v>
      </c>
      <c r="B2774" t="inlineStr">
        <is>
          <t>Q1</t>
        </is>
      </c>
      <c r="C2774" t="inlineStr">
        <is>
          <t>South America</t>
        </is>
      </c>
      <c r="D2774" t="inlineStr">
        <is>
          <t>Model S</t>
        </is>
      </c>
      <c r="E2774" t="n">
        <v>2217</v>
      </c>
      <c r="F2774" t="n">
        <v>65692.46000000001</v>
      </c>
      <c r="G2774" t="n">
        <v>39</v>
      </c>
      <c r="H2774" t="inlineStr">
        <is>
          <t>Standard</t>
        </is>
      </c>
      <c r="I2774" t="inlineStr">
        <is>
          <t>AWD</t>
        </is>
      </c>
      <c r="J2774" t="inlineStr">
        <is>
          <t>Silver</t>
        </is>
      </c>
      <c r="K2774" t="n">
        <v>661</v>
      </c>
      <c r="L2774" t="n">
        <v>66</v>
      </c>
      <c r="M2774" t="n">
        <v>17.47</v>
      </c>
      <c r="N2774" t="n">
        <v>1823.17</v>
      </c>
      <c r="O2774" t="n">
        <v>4.45</v>
      </c>
      <c r="P2774" t="n">
        <v>8</v>
      </c>
      <c r="Q2774" t="n">
        <v>2</v>
      </c>
      <c r="R2774" t="n">
        <v>2022.8</v>
      </c>
      <c r="S2774" t="b">
        <v>0</v>
      </c>
      <c r="T2774" t="n">
        <v>3654387</v>
      </c>
      <c r="U2774" t="n">
        <v>5</v>
      </c>
      <c r="V2774" t="n">
        <v>0.0452</v>
      </c>
      <c r="W2774" t="n">
        <v>0.75</v>
      </c>
      <c r="X2774" t="n">
        <v>75.11</v>
      </c>
      <c r="Y2774">
        <f>VLOOKUP(D2774,$AB$2:$AC$7,2,FALSE)</f>
        <v/>
      </c>
      <c r="Z2774">
        <f>IF(A2774&lt;Y2774,"Yes","No")</f>
        <v/>
      </c>
    </row>
    <row r="2775">
      <c r="A2775" t="n">
        <v>2024</v>
      </c>
      <c r="B2775" t="inlineStr">
        <is>
          <t>Q4</t>
        </is>
      </c>
      <c r="C2775" t="inlineStr">
        <is>
          <t>North America</t>
        </is>
      </c>
      <c r="D2775" t="inlineStr">
        <is>
          <t>Model X</t>
        </is>
      </c>
      <c r="E2775" t="n">
        <v>3807</v>
      </c>
      <c r="F2775" t="n">
        <v>38589.06</v>
      </c>
      <c r="G2775" t="n">
        <v>10</v>
      </c>
      <c r="H2775" t="inlineStr">
        <is>
          <t>Standard</t>
        </is>
      </c>
      <c r="I2775" t="inlineStr">
        <is>
          <t>RWD</t>
        </is>
      </c>
      <c r="J2775" t="inlineStr">
        <is>
          <t>Red</t>
        </is>
      </c>
      <c r="K2775" t="n">
        <v>685</v>
      </c>
      <c r="L2775" t="n">
        <v>74</v>
      </c>
      <c r="M2775" t="n">
        <v>14.96</v>
      </c>
      <c r="N2775" t="n">
        <v>2075.74</v>
      </c>
      <c r="O2775" t="n">
        <v>4.68</v>
      </c>
      <c r="P2775" t="n">
        <v>5</v>
      </c>
      <c r="Q2775" t="n">
        <v>0</v>
      </c>
      <c r="R2775" t="n">
        <v>2021.1</v>
      </c>
      <c r="S2775" t="b">
        <v>1</v>
      </c>
      <c r="T2775" t="n">
        <v>3188088</v>
      </c>
      <c r="U2775" t="n">
        <v>10</v>
      </c>
      <c r="V2775" t="n">
        <v>0.0208</v>
      </c>
      <c r="W2775" t="n">
        <v>0.98</v>
      </c>
      <c r="X2775" t="n">
        <v>83.12</v>
      </c>
      <c r="Y2775">
        <f>VLOOKUP(D2775,$AB$2:$AC$7,2,FALSE)</f>
        <v/>
      </c>
      <c r="Z2775">
        <f>IF(A2775&lt;Y2775,"Yes","No")</f>
        <v/>
      </c>
    </row>
    <row r="2776">
      <c r="A2776" t="n">
        <v>2021</v>
      </c>
      <c r="B2776" t="inlineStr">
        <is>
          <t>Q4</t>
        </is>
      </c>
      <c r="C2776" t="inlineStr">
        <is>
          <t>South America</t>
        </is>
      </c>
      <c r="D2776" t="inlineStr">
        <is>
          <t>Semi</t>
        </is>
      </c>
      <c r="E2776" t="n">
        <v>2761</v>
      </c>
      <c r="F2776" t="n">
        <v>42051.86</v>
      </c>
      <c r="G2776" t="n">
        <v>50</v>
      </c>
      <c r="H2776" t="inlineStr">
        <is>
          <t>Performance</t>
        </is>
      </c>
      <c r="I2776" t="inlineStr">
        <is>
          <t>RWD</t>
        </is>
      </c>
      <c r="J2776" t="inlineStr">
        <is>
          <t>Green</t>
        </is>
      </c>
      <c r="K2776" t="n">
        <v>443</v>
      </c>
      <c r="L2776" t="n">
        <v>74</v>
      </c>
      <c r="M2776" t="n">
        <v>16.17</v>
      </c>
      <c r="N2776" t="n">
        <v>2207.92</v>
      </c>
      <c r="O2776" t="n">
        <v>3.55</v>
      </c>
      <c r="P2776" t="n">
        <v>6</v>
      </c>
      <c r="Q2776" t="n">
        <v>3</v>
      </c>
      <c r="R2776" t="n">
        <v>2021.4</v>
      </c>
      <c r="S2776" t="b">
        <v>0</v>
      </c>
      <c r="T2776" t="n">
        <v>631814</v>
      </c>
      <c r="U2776" t="n">
        <v>11</v>
      </c>
      <c r="V2776" t="n">
        <v>0.0989</v>
      </c>
      <c r="W2776" t="n">
        <v>1.75</v>
      </c>
      <c r="X2776" t="n">
        <v>84.09999999999999</v>
      </c>
      <c r="Y2776">
        <f>VLOOKUP(D2776,$AB$2:$AC$7,2,FALSE)</f>
        <v/>
      </c>
      <c r="Z2776">
        <f>IF(A2776&lt;Y2776,"Yes","No")</f>
        <v/>
      </c>
    </row>
    <row r="2777">
      <c r="A2777" t="n">
        <v>2017</v>
      </c>
      <c r="B2777" t="inlineStr">
        <is>
          <t>Q3</t>
        </is>
      </c>
      <c r="C2777" t="inlineStr">
        <is>
          <t>Europe</t>
        </is>
      </c>
      <c r="D2777" t="inlineStr">
        <is>
          <t>Model 3</t>
        </is>
      </c>
      <c r="E2777" t="n">
        <v>4967</v>
      </c>
      <c r="F2777" t="n">
        <v>48248.1</v>
      </c>
      <c r="G2777" t="n">
        <v>28</v>
      </c>
      <c r="H2777" t="inlineStr">
        <is>
          <t>Long Range</t>
        </is>
      </c>
      <c r="I2777" t="inlineStr">
        <is>
          <t>AWD</t>
        </is>
      </c>
      <c r="J2777" t="inlineStr">
        <is>
          <t>Black</t>
        </is>
      </c>
      <c r="K2777" t="n">
        <v>536</v>
      </c>
      <c r="L2777" t="n">
        <v>70</v>
      </c>
      <c r="M2777" t="n">
        <v>20.02</v>
      </c>
      <c r="N2777" t="n">
        <v>7960.74</v>
      </c>
      <c r="O2777" t="n">
        <v>4.03</v>
      </c>
      <c r="P2777" t="n">
        <v>6</v>
      </c>
      <c r="Q2777" t="n">
        <v>2</v>
      </c>
      <c r="R2777" t="n">
        <v>2022.3</v>
      </c>
      <c r="S2777" t="b">
        <v>1</v>
      </c>
      <c r="T2777" t="n">
        <v>419100</v>
      </c>
      <c r="U2777" t="n">
        <v>7</v>
      </c>
      <c r="V2777" t="n">
        <v>0.0365</v>
      </c>
      <c r="W2777" t="n">
        <v>2.45</v>
      </c>
      <c r="X2777" t="n">
        <v>81.75</v>
      </c>
      <c r="Y2777">
        <f>VLOOKUP(D2777,$AB$2:$AC$7,2,FALSE)</f>
        <v/>
      </c>
      <c r="Z2777">
        <f>IF(A2777&lt;Y2777,"Yes","No")</f>
        <v/>
      </c>
    </row>
    <row r="2778">
      <c r="A2778" t="n">
        <v>2019</v>
      </c>
      <c r="B2778" t="inlineStr">
        <is>
          <t>Q2</t>
        </is>
      </c>
      <c r="C2778" t="inlineStr">
        <is>
          <t>South America</t>
        </is>
      </c>
      <c r="D2778" t="inlineStr">
        <is>
          <t>Model S</t>
        </is>
      </c>
      <c r="E2778" t="n">
        <v>1572</v>
      </c>
      <c r="F2778" t="n">
        <v>86034.32000000001</v>
      </c>
      <c r="G2778" t="n">
        <v>42</v>
      </c>
      <c r="H2778" t="inlineStr">
        <is>
          <t>Performance</t>
        </is>
      </c>
      <c r="I2778" t="inlineStr">
        <is>
          <t>RWD</t>
        </is>
      </c>
      <c r="J2778" t="inlineStr">
        <is>
          <t>Blue</t>
        </is>
      </c>
      <c r="K2778" t="n">
        <v>472</v>
      </c>
      <c r="L2778" t="n">
        <v>45</v>
      </c>
      <c r="M2778" t="n">
        <v>20.82</v>
      </c>
      <c r="N2778" t="n">
        <v>2911.84</v>
      </c>
      <c r="O2778" t="n">
        <v>4.53</v>
      </c>
      <c r="P2778" t="n">
        <v>8</v>
      </c>
      <c r="Q2778" t="n">
        <v>0</v>
      </c>
      <c r="R2778" t="n">
        <v>2023.12</v>
      </c>
      <c r="S2778" t="b">
        <v>1</v>
      </c>
      <c r="T2778" t="n">
        <v>1325733</v>
      </c>
      <c r="U2778" t="n">
        <v>5</v>
      </c>
      <c r="V2778" t="n">
        <v>0.0146</v>
      </c>
      <c r="W2778" t="n">
        <v>1.75</v>
      </c>
      <c r="X2778" t="n">
        <v>73.20999999999999</v>
      </c>
      <c r="Y2778">
        <f>VLOOKUP(D2778,$AB$2:$AC$7,2,FALSE)</f>
        <v/>
      </c>
      <c r="Z2778">
        <f>IF(A2778&lt;Y2778,"Yes","No")</f>
        <v/>
      </c>
    </row>
    <row r="2779">
      <c r="A2779" t="n">
        <v>2021</v>
      </c>
      <c r="B2779" t="inlineStr">
        <is>
          <t>Q3</t>
        </is>
      </c>
      <c r="C2779" t="inlineStr">
        <is>
          <t>Asia</t>
        </is>
      </c>
      <c r="D2779" t="inlineStr">
        <is>
          <t>Model Y</t>
        </is>
      </c>
      <c r="E2779" t="n">
        <v>3573</v>
      </c>
      <c r="F2779" t="n">
        <v>51058.39</v>
      </c>
      <c r="G2779" t="n">
        <v>38</v>
      </c>
      <c r="H2779" t="inlineStr">
        <is>
          <t>Long Range</t>
        </is>
      </c>
      <c r="I2779" t="inlineStr">
        <is>
          <t>AWD</t>
        </is>
      </c>
      <c r="J2779" t="inlineStr">
        <is>
          <t>Blue</t>
        </is>
      </c>
      <c r="K2779" t="n">
        <v>561</v>
      </c>
      <c r="L2779" t="n">
        <v>38</v>
      </c>
      <c r="M2779" t="n">
        <v>13.85</v>
      </c>
      <c r="N2779" t="n">
        <v>4272.83</v>
      </c>
      <c r="O2779" t="n">
        <v>4.13</v>
      </c>
      <c r="P2779" t="n">
        <v>8</v>
      </c>
      <c r="Q2779" t="n">
        <v>2</v>
      </c>
      <c r="R2779" t="n">
        <v>2024.12</v>
      </c>
      <c r="S2779" t="b">
        <v>0</v>
      </c>
      <c r="T2779" t="n">
        <v>1820836</v>
      </c>
      <c r="U2779" t="n">
        <v>9</v>
      </c>
      <c r="V2779" t="n">
        <v>0.0354</v>
      </c>
      <c r="W2779" t="n">
        <v>1.48</v>
      </c>
      <c r="X2779" t="n">
        <v>67.09999999999999</v>
      </c>
      <c r="Y2779">
        <f>VLOOKUP(D2779,$AB$2:$AC$7,2,FALSE)</f>
        <v/>
      </c>
      <c r="Z2779">
        <f>IF(A2779&lt;Y2779,"Yes","No")</f>
        <v/>
      </c>
    </row>
    <row r="2780">
      <c r="A2780" t="n">
        <v>2012</v>
      </c>
      <c r="B2780" t="inlineStr">
        <is>
          <t>Q2</t>
        </is>
      </c>
      <c r="C2780" t="inlineStr">
        <is>
          <t>Australia</t>
        </is>
      </c>
      <c r="D2780" t="inlineStr">
        <is>
          <t>Model Y</t>
        </is>
      </c>
      <c r="E2780" t="n">
        <v>2043</v>
      </c>
      <c r="F2780" t="n">
        <v>116241.7</v>
      </c>
      <c r="G2780" t="n">
        <v>33</v>
      </c>
      <c r="H2780" t="inlineStr">
        <is>
          <t>Long Range</t>
        </is>
      </c>
      <c r="I2780" t="inlineStr">
        <is>
          <t>AWD</t>
        </is>
      </c>
      <c r="J2780" t="inlineStr">
        <is>
          <t>Black</t>
        </is>
      </c>
      <c r="K2780" t="n">
        <v>547</v>
      </c>
      <c r="L2780" t="n">
        <v>70</v>
      </c>
      <c r="M2780" t="n">
        <v>19.14</v>
      </c>
      <c r="N2780" t="n">
        <v>4403.92</v>
      </c>
      <c r="O2780" t="n">
        <v>4.52</v>
      </c>
      <c r="P2780" t="n">
        <v>6</v>
      </c>
      <c r="Q2780" t="n">
        <v>2</v>
      </c>
      <c r="R2780" t="n">
        <v>2020.6</v>
      </c>
      <c r="S2780" t="b">
        <v>1</v>
      </c>
      <c r="T2780" t="n">
        <v>659939</v>
      </c>
      <c r="U2780" t="n">
        <v>10</v>
      </c>
      <c r="V2780" t="n">
        <v>0.0664</v>
      </c>
      <c r="W2780" t="n">
        <v>1.31</v>
      </c>
      <c r="X2780" t="n">
        <v>76.39</v>
      </c>
      <c r="Y2780">
        <f>VLOOKUP(D2780,$AB$2:$AC$7,2,FALSE)</f>
        <v/>
      </c>
      <c r="Z2780">
        <f>IF(A2780&lt;Y2780,"Yes","No")</f>
        <v/>
      </c>
    </row>
    <row r="2781">
      <c r="A2781" t="n">
        <v>2014</v>
      </c>
      <c r="B2781" t="inlineStr">
        <is>
          <t>Q2</t>
        </is>
      </c>
      <c r="C2781" t="inlineStr">
        <is>
          <t>South America</t>
        </is>
      </c>
      <c r="D2781" t="inlineStr">
        <is>
          <t>Cybertruck</t>
        </is>
      </c>
      <c r="E2781" t="n">
        <v>3892</v>
      </c>
      <c r="F2781" t="n">
        <v>68172.64999999999</v>
      </c>
      <c r="G2781" t="n">
        <v>7</v>
      </c>
      <c r="H2781" t="inlineStr">
        <is>
          <t>Long Range</t>
        </is>
      </c>
      <c r="I2781" t="inlineStr">
        <is>
          <t>AWD</t>
        </is>
      </c>
      <c r="J2781" t="inlineStr">
        <is>
          <t>Blue</t>
        </is>
      </c>
      <c r="K2781" t="n">
        <v>489</v>
      </c>
      <c r="L2781" t="n">
        <v>86</v>
      </c>
      <c r="M2781" t="n">
        <v>18.01</v>
      </c>
      <c r="N2781" t="n">
        <v>2027.31</v>
      </c>
      <c r="O2781" t="n">
        <v>4.82</v>
      </c>
      <c r="P2781" t="n">
        <v>4</v>
      </c>
      <c r="Q2781" t="n">
        <v>0</v>
      </c>
      <c r="R2781" t="n">
        <v>2022.9</v>
      </c>
      <c r="S2781" t="b">
        <v>1</v>
      </c>
      <c r="T2781" t="n">
        <v>4530341</v>
      </c>
      <c r="U2781" t="n">
        <v>9</v>
      </c>
      <c r="V2781" t="n">
        <v>0.0125</v>
      </c>
      <c r="W2781" t="n">
        <v>0.97</v>
      </c>
      <c r="X2781" t="n">
        <v>62.66</v>
      </c>
      <c r="Y2781">
        <f>VLOOKUP(D2781,$AB$2:$AC$7,2,FALSE)</f>
        <v/>
      </c>
      <c r="Z2781">
        <f>IF(A2781&lt;Y2781,"Yes","No")</f>
        <v/>
      </c>
    </row>
    <row r="2782">
      <c r="A2782" t="n">
        <v>2013</v>
      </c>
      <c r="B2782" t="inlineStr">
        <is>
          <t>Q3</t>
        </is>
      </c>
      <c r="C2782" t="inlineStr">
        <is>
          <t>South America</t>
        </is>
      </c>
      <c r="D2782" t="inlineStr">
        <is>
          <t>Model Y</t>
        </is>
      </c>
      <c r="E2782" t="n">
        <v>2163</v>
      </c>
      <c r="F2782" t="n">
        <v>63789.11</v>
      </c>
      <c r="G2782" t="n">
        <v>54</v>
      </c>
      <c r="H2782" t="inlineStr">
        <is>
          <t>Standard</t>
        </is>
      </c>
      <c r="I2782" t="inlineStr">
        <is>
          <t>RWD</t>
        </is>
      </c>
      <c r="J2782" t="inlineStr">
        <is>
          <t>Red</t>
        </is>
      </c>
      <c r="K2782" t="n">
        <v>568</v>
      </c>
      <c r="L2782" t="n">
        <v>47</v>
      </c>
      <c r="M2782" t="n">
        <v>24.38</v>
      </c>
      <c r="N2782" t="n">
        <v>5394.5</v>
      </c>
      <c r="O2782" t="n">
        <v>3.58</v>
      </c>
      <c r="P2782" t="n">
        <v>8</v>
      </c>
      <c r="Q2782" t="n">
        <v>0</v>
      </c>
      <c r="R2782" t="n">
        <v>2021.11</v>
      </c>
      <c r="S2782" t="b">
        <v>0</v>
      </c>
      <c r="T2782" t="n">
        <v>2018850</v>
      </c>
      <c r="U2782" t="n">
        <v>6</v>
      </c>
      <c r="V2782" t="n">
        <v>0.09710000000000001</v>
      </c>
      <c r="W2782" t="n">
        <v>0.71</v>
      </c>
      <c r="X2782" t="n">
        <v>69.75</v>
      </c>
      <c r="Y2782">
        <f>VLOOKUP(D2782,$AB$2:$AC$7,2,FALSE)</f>
        <v/>
      </c>
      <c r="Z2782">
        <f>IF(A2782&lt;Y2782,"Yes","No")</f>
        <v/>
      </c>
    </row>
    <row r="2783">
      <c r="A2783" t="n">
        <v>2017</v>
      </c>
      <c r="B2783" t="inlineStr">
        <is>
          <t>Q3</t>
        </is>
      </c>
      <c r="C2783" t="inlineStr">
        <is>
          <t>Europe</t>
        </is>
      </c>
      <c r="D2783" t="inlineStr">
        <is>
          <t>Model X</t>
        </is>
      </c>
      <c r="E2783" t="n">
        <v>296</v>
      </c>
      <c r="F2783" t="n">
        <v>102242.11</v>
      </c>
      <c r="G2783" t="n">
        <v>60</v>
      </c>
      <c r="H2783" t="inlineStr">
        <is>
          <t>Long Range</t>
        </is>
      </c>
      <c r="I2783" t="inlineStr">
        <is>
          <t>AWD</t>
        </is>
      </c>
      <c r="J2783" t="inlineStr">
        <is>
          <t>Red</t>
        </is>
      </c>
      <c r="K2783" t="n">
        <v>408</v>
      </c>
      <c r="L2783" t="n">
        <v>53</v>
      </c>
      <c r="M2783" t="n">
        <v>19.63</v>
      </c>
      <c r="N2783" t="n">
        <v>215.8</v>
      </c>
      <c r="O2783" t="n">
        <v>4.89</v>
      </c>
      <c r="P2783" t="n">
        <v>5</v>
      </c>
      <c r="Q2783" t="n">
        <v>2</v>
      </c>
      <c r="R2783" t="n">
        <v>2021.2</v>
      </c>
      <c r="S2783" t="b">
        <v>1</v>
      </c>
      <c r="T2783" t="n">
        <v>3737386</v>
      </c>
      <c r="U2783" t="n">
        <v>12</v>
      </c>
      <c r="V2783" t="n">
        <v>0.0658</v>
      </c>
      <c r="W2783" t="n">
        <v>1.77</v>
      </c>
      <c r="X2783" t="n">
        <v>85.17</v>
      </c>
      <c r="Y2783">
        <f>VLOOKUP(D2783,$AB$2:$AC$7,2,FALSE)</f>
        <v/>
      </c>
      <c r="Z2783">
        <f>IF(A2783&lt;Y2783,"Yes","No")</f>
        <v/>
      </c>
    </row>
    <row r="2784">
      <c r="A2784" t="n">
        <v>2013</v>
      </c>
      <c r="B2784" t="inlineStr">
        <is>
          <t>Q3</t>
        </is>
      </c>
      <c r="C2784" t="inlineStr">
        <is>
          <t>Europe</t>
        </is>
      </c>
      <c r="D2784" t="inlineStr">
        <is>
          <t>Model 3</t>
        </is>
      </c>
      <c r="E2784" t="n">
        <v>1730</v>
      </c>
      <c r="F2784" t="n">
        <v>57346.06</v>
      </c>
      <c r="G2784" t="n">
        <v>50</v>
      </c>
      <c r="H2784" t="inlineStr">
        <is>
          <t>Standard</t>
        </is>
      </c>
      <c r="I2784" t="inlineStr">
        <is>
          <t>RWD</t>
        </is>
      </c>
      <c r="J2784" t="inlineStr">
        <is>
          <t>Red</t>
        </is>
      </c>
      <c r="K2784" t="n">
        <v>595</v>
      </c>
      <c r="L2784" t="n">
        <v>80</v>
      </c>
      <c r="M2784" t="n">
        <v>13.9</v>
      </c>
      <c r="N2784" t="n">
        <v>3431.48</v>
      </c>
      <c r="O2784" t="n">
        <v>3.83</v>
      </c>
      <c r="P2784" t="n">
        <v>8</v>
      </c>
      <c r="Q2784" t="n">
        <v>3</v>
      </c>
      <c r="R2784" t="n">
        <v>2023.1</v>
      </c>
      <c r="S2784" t="b">
        <v>1</v>
      </c>
      <c r="T2784" t="n">
        <v>3321580</v>
      </c>
      <c r="U2784" t="n">
        <v>2</v>
      </c>
      <c r="V2784" t="n">
        <v>0.0485</v>
      </c>
      <c r="W2784" t="n">
        <v>2.36</v>
      </c>
      <c r="X2784" t="n">
        <v>81.51000000000001</v>
      </c>
      <c r="Y2784">
        <f>VLOOKUP(D2784,$AB$2:$AC$7,2,FALSE)</f>
        <v/>
      </c>
      <c r="Z2784">
        <f>IF(A2784&lt;Y2784,"Yes","No")</f>
        <v/>
      </c>
    </row>
    <row r="2785">
      <c r="A2785" t="n">
        <v>2012</v>
      </c>
      <c r="B2785" t="inlineStr">
        <is>
          <t>Q4</t>
        </is>
      </c>
      <c r="C2785" t="inlineStr">
        <is>
          <t>Asia</t>
        </is>
      </c>
      <c r="D2785" t="inlineStr">
        <is>
          <t>Model S</t>
        </is>
      </c>
      <c r="E2785" t="n">
        <v>2956</v>
      </c>
      <c r="F2785" t="n">
        <v>43116.72</v>
      </c>
      <c r="G2785" t="n">
        <v>34</v>
      </c>
      <c r="H2785" t="inlineStr">
        <is>
          <t>Standard</t>
        </is>
      </c>
      <c r="I2785" t="inlineStr">
        <is>
          <t>AWD</t>
        </is>
      </c>
      <c r="J2785" t="inlineStr">
        <is>
          <t>Silver</t>
        </is>
      </c>
      <c r="K2785" t="n">
        <v>491</v>
      </c>
      <c r="L2785" t="n">
        <v>31</v>
      </c>
      <c r="M2785" t="n">
        <v>22.93</v>
      </c>
      <c r="N2785" t="n">
        <v>5884.37</v>
      </c>
      <c r="O2785" t="n">
        <v>4.49</v>
      </c>
      <c r="P2785" t="n">
        <v>6</v>
      </c>
      <c r="Q2785" t="n">
        <v>0</v>
      </c>
      <c r="R2785" t="n">
        <v>2023.1</v>
      </c>
      <c r="S2785" t="b">
        <v>1</v>
      </c>
      <c r="T2785" t="n">
        <v>2393585</v>
      </c>
      <c r="U2785" t="n">
        <v>5</v>
      </c>
      <c r="V2785" t="n">
        <v>0.0921</v>
      </c>
      <c r="W2785" t="n">
        <v>2.49</v>
      </c>
      <c r="X2785" t="n">
        <v>86.64</v>
      </c>
      <c r="Y2785">
        <f>VLOOKUP(D2785,$AB$2:$AC$7,2,FALSE)</f>
        <v/>
      </c>
      <c r="Z2785">
        <f>IF(A2785&lt;Y2785,"Yes","No")</f>
        <v/>
      </c>
    </row>
    <row r="2786">
      <c r="A2786" t="n">
        <v>2015</v>
      </c>
      <c r="B2786" t="inlineStr">
        <is>
          <t>Q3</t>
        </is>
      </c>
      <c r="C2786" t="inlineStr">
        <is>
          <t>Europe</t>
        </is>
      </c>
      <c r="D2786" t="inlineStr">
        <is>
          <t>Model S</t>
        </is>
      </c>
      <c r="E2786" t="n">
        <v>3773</v>
      </c>
      <c r="F2786" t="n">
        <v>51162.72</v>
      </c>
      <c r="G2786" t="n">
        <v>9</v>
      </c>
      <c r="H2786" t="inlineStr">
        <is>
          <t>Long Range</t>
        </is>
      </c>
      <c r="I2786" t="inlineStr">
        <is>
          <t>RWD</t>
        </is>
      </c>
      <c r="J2786" t="inlineStr">
        <is>
          <t>Red</t>
        </is>
      </c>
      <c r="K2786" t="n">
        <v>529</v>
      </c>
      <c r="L2786" t="n">
        <v>87</v>
      </c>
      <c r="M2786" t="n">
        <v>21.03</v>
      </c>
      <c r="N2786" t="n">
        <v>3065.97</v>
      </c>
      <c r="O2786" t="n">
        <v>3.94</v>
      </c>
      <c r="P2786" t="n">
        <v>4</v>
      </c>
      <c r="Q2786" t="n">
        <v>0</v>
      </c>
      <c r="R2786" t="n">
        <v>2021.5</v>
      </c>
      <c r="S2786" t="b">
        <v>1</v>
      </c>
      <c r="T2786" t="n">
        <v>2562361</v>
      </c>
      <c r="U2786" t="n">
        <v>10</v>
      </c>
      <c r="V2786" t="n">
        <v>0.08409999999999999</v>
      </c>
      <c r="W2786" t="n">
        <v>0.71</v>
      </c>
      <c r="X2786" t="n">
        <v>72.44</v>
      </c>
      <c r="Y2786">
        <f>VLOOKUP(D2786,$AB$2:$AC$7,2,FALSE)</f>
        <v/>
      </c>
      <c r="Z2786">
        <f>IF(A2786&lt;Y2786,"Yes","No")</f>
        <v/>
      </c>
    </row>
    <row r="2787">
      <c r="A2787" t="n">
        <v>2020</v>
      </c>
      <c r="B2787" t="inlineStr">
        <is>
          <t>Q2</t>
        </is>
      </c>
      <c r="C2787" t="inlineStr">
        <is>
          <t>Australia</t>
        </is>
      </c>
      <c r="D2787" t="inlineStr">
        <is>
          <t>Model X</t>
        </is>
      </c>
      <c r="E2787" t="n">
        <v>4469</v>
      </c>
      <c r="F2787" t="n">
        <v>94128.81</v>
      </c>
      <c r="G2787" t="n">
        <v>20</v>
      </c>
      <c r="H2787" t="inlineStr">
        <is>
          <t>Performance</t>
        </is>
      </c>
      <c r="I2787" t="inlineStr">
        <is>
          <t>AWD</t>
        </is>
      </c>
      <c r="J2787" t="inlineStr">
        <is>
          <t>Blue</t>
        </is>
      </c>
      <c r="K2787" t="n">
        <v>472</v>
      </c>
      <c r="L2787" t="n">
        <v>64</v>
      </c>
      <c r="M2787" t="n">
        <v>15.46</v>
      </c>
      <c r="N2787" t="n">
        <v>10842.9</v>
      </c>
      <c r="O2787" t="n">
        <v>4.48</v>
      </c>
      <c r="P2787" t="n">
        <v>8</v>
      </c>
      <c r="Q2787" t="n">
        <v>2</v>
      </c>
      <c r="R2787" t="n">
        <v>2023.1</v>
      </c>
      <c r="S2787" t="b">
        <v>0</v>
      </c>
      <c r="T2787" t="n">
        <v>2351306</v>
      </c>
      <c r="U2787" t="n">
        <v>7</v>
      </c>
      <c r="V2787" t="n">
        <v>0.078</v>
      </c>
      <c r="W2787" t="n">
        <v>1.52</v>
      </c>
      <c r="X2787" t="n">
        <v>85.44</v>
      </c>
      <c r="Y2787">
        <f>VLOOKUP(D2787,$AB$2:$AC$7,2,FALSE)</f>
        <v/>
      </c>
      <c r="Z2787">
        <f>IF(A2787&lt;Y2787,"Yes","No")</f>
        <v/>
      </c>
    </row>
    <row r="2788">
      <c r="A2788" t="n">
        <v>2019</v>
      </c>
      <c r="B2788" t="inlineStr">
        <is>
          <t>Q1</t>
        </is>
      </c>
      <c r="C2788" t="inlineStr">
        <is>
          <t>South America</t>
        </is>
      </c>
      <c r="D2788" t="inlineStr">
        <is>
          <t>Model 3</t>
        </is>
      </c>
      <c r="E2788" t="n">
        <v>710</v>
      </c>
      <c r="F2788" t="n">
        <v>87658.28</v>
      </c>
      <c r="G2788" t="n">
        <v>31</v>
      </c>
      <c r="H2788" t="inlineStr">
        <is>
          <t>Performance</t>
        </is>
      </c>
      <c r="I2788" t="inlineStr">
        <is>
          <t>RWD</t>
        </is>
      </c>
      <c r="J2788" t="inlineStr">
        <is>
          <t>White</t>
        </is>
      </c>
      <c r="K2788" t="n">
        <v>639</v>
      </c>
      <c r="L2788" t="n">
        <v>36</v>
      </c>
      <c r="M2788" t="n">
        <v>15.17</v>
      </c>
      <c r="N2788" t="n">
        <v>1252.64</v>
      </c>
      <c r="O2788" t="n">
        <v>4.39</v>
      </c>
      <c r="P2788" t="n">
        <v>6</v>
      </c>
      <c r="Q2788" t="n">
        <v>2</v>
      </c>
      <c r="R2788" t="n">
        <v>2024.5</v>
      </c>
      <c r="S2788" t="b">
        <v>1</v>
      </c>
      <c r="T2788" t="n">
        <v>141517</v>
      </c>
      <c r="U2788" t="n">
        <v>9</v>
      </c>
      <c r="V2788" t="n">
        <v>0.0687</v>
      </c>
      <c r="W2788" t="n">
        <v>1.61</v>
      </c>
      <c r="X2788" t="n">
        <v>69.87</v>
      </c>
      <c r="Y2788">
        <f>VLOOKUP(D2788,$AB$2:$AC$7,2,FALSE)</f>
        <v/>
      </c>
      <c r="Z2788">
        <f>IF(A2788&lt;Y2788,"Yes","No")</f>
        <v/>
      </c>
    </row>
    <row r="2789">
      <c r="A2789" t="n">
        <v>2020</v>
      </c>
      <c r="B2789" t="inlineStr">
        <is>
          <t>Q3</t>
        </is>
      </c>
      <c r="C2789" t="inlineStr">
        <is>
          <t>Asia</t>
        </is>
      </c>
      <c r="D2789" t="inlineStr">
        <is>
          <t>Cybertruck</t>
        </is>
      </c>
      <c r="E2789" t="n">
        <v>557</v>
      </c>
      <c r="F2789" t="n">
        <v>97488.08</v>
      </c>
      <c r="G2789" t="n">
        <v>10</v>
      </c>
      <c r="H2789" t="inlineStr">
        <is>
          <t>Standard</t>
        </is>
      </c>
      <c r="I2789" t="inlineStr">
        <is>
          <t>AWD</t>
        </is>
      </c>
      <c r="J2789" t="inlineStr">
        <is>
          <t>Blue</t>
        </is>
      </c>
      <c r="K2789" t="n">
        <v>592</v>
      </c>
      <c r="L2789" t="n">
        <v>37</v>
      </c>
      <c r="M2789" t="n">
        <v>23.54</v>
      </c>
      <c r="N2789" t="n">
        <v>1152.25</v>
      </c>
      <c r="O2789" t="n">
        <v>4.48</v>
      </c>
      <c r="P2789" t="n">
        <v>6</v>
      </c>
      <c r="Q2789" t="n">
        <v>0</v>
      </c>
      <c r="R2789" t="n">
        <v>2021.9</v>
      </c>
      <c r="S2789" t="b">
        <v>0</v>
      </c>
      <c r="T2789" t="n">
        <v>209835</v>
      </c>
      <c r="U2789" t="n">
        <v>3</v>
      </c>
      <c r="V2789" t="n">
        <v>0.0999</v>
      </c>
      <c r="W2789" t="n">
        <v>1.52</v>
      </c>
      <c r="X2789" t="n">
        <v>73.34</v>
      </c>
      <c r="Y2789">
        <f>VLOOKUP(D2789,$AB$2:$AC$7,2,FALSE)</f>
        <v/>
      </c>
      <c r="Z2789">
        <f>IF(A2789&lt;Y2789,"Yes","No")</f>
        <v/>
      </c>
    </row>
    <row r="2790">
      <c r="A2790" t="n">
        <v>2021</v>
      </c>
      <c r="B2790" t="inlineStr">
        <is>
          <t>Q1</t>
        </is>
      </c>
      <c r="C2790" t="inlineStr">
        <is>
          <t>North America</t>
        </is>
      </c>
      <c r="D2790" t="inlineStr">
        <is>
          <t>Cybertruck</t>
        </is>
      </c>
      <c r="E2790" t="n">
        <v>645</v>
      </c>
      <c r="F2790" t="n">
        <v>101732.78</v>
      </c>
      <c r="G2790" t="n">
        <v>57</v>
      </c>
      <c r="H2790" t="inlineStr">
        <is>
          <t>Performance</t>
        </is>
      </c>
      <c r="I2790" t="inlineStr">
        <is>
          <t>AWD</t>
        </is>
      </c>
      <c r="J2790" t="inlineStr">
        <is>
          <t>Green</t>
        </is>
      </c>
      <c r="K2790" t="n">
        <v>681</v>
      </c>
      <c r="L2790" t="n">
        <v>78</v>
      </c>
      <c r="M2790" t="n">
        <v>15.63</v>
      </c>
      <c r="N2790" t="n">
        <v>1003.67</v>
      </c>
      <c r="O2790" t="n">
        <v>3.67</v>
      </c>
      <c r="P2790" t="n">
        <v>4</v>
      </c>
      <c r="Q2790" t="n">
        <v>2</v>
      </c>
      <c r="R2790" t="n">
        <v>2023.1</v>
      </c>
      <c r="S2790" t="b">
        <v>0</v>
      </c>
      <c r="T2790" t="n">
        <v>2424962</v>
      </c>
      <c r="U2790" t="n">
        <v>6</v>
      </c>
      <c r="V2790" t="n">
        <v>0.033</v>
      </c>
      <c r="W2790" t="n">
        <v>2.21</v>
      </c>
      <c r="X2790" t="n">
        <v>66.91</v>
      </c>
      <c r="Y2790">
        <f>VLOOKUP(D2790,$AB$2:$AC$7,2,FALSE)</f>
        <v/>
      </c>
      <c r="Z2790">
        <f>IF(A2790&lt;Y2790,"Yes","No")</f>
        <v/>
      </c>
    </row>
    <row r="2791">
      <c r="A2791" t="n">
        <v>2022</v>
      </c>
      <c r="B2791" t="inlineStr">
        <is>
          <t>Q2</t>
        </is>
      </c>
      <c r="C2791" t="inlineStr">
        <is>
          <t>Asia</t>
        </is>
      </c>
      <c r="D2791" t="inlineStr">
        <is>
          <t>Model Y</t>
        </is>
      </c>
      <c r="E2791" t="n">
        <v>3899</v>
      </c>
      <c r="F2791" t="n">
        <v>46379.21</v>
      </c>
      <c r="G2791" t="n">
        <v>52</v>
      </c>
      <c r="H2791" t="inlineStr">
        <is>
          <t>Performance</t>
        </is>
      </c>
      <c r="I2791" t="inlineStr">
        <is>
          <t>AWD</t>
        </is>
      </c>
      <c r="J2791" t="inlineStr">
        <is>
          <t>Silver</t>
        </is>
      </c>
      <c r="K2791" t="n">
        <v>698</v>
      </c>
      <c r="L2791" t="n">
        <v>80</v>
      </c>
      <c r="M2791" t="n">
        <v>16.98</v>
      </c>
      <c r="N2791" t="n">
        <v>9421.280000000001</v>
      </c>
      <c r="O2791" t="n">
        <v>3.63</v>
      </c>
      <c r="P2791" t="n">
        <v>6</v>
      </c>
      <c r="Q2791" t="n">
        <v>2</v>
      </c>
      <c r="R2791" t="n">
        <v>2021.7</v>
      </c>
      <c r="S2791" t="b">
        <v>0</v>
      </c>
      <c r="T2791" t="n">
        <v>4506854</v>
      </c>
      <c r="U2791" t="n">
        <v>12</v>
      </c>
      <c r="V2791" t="n">
        <v>0.09420000000000001</v>
      </c>
      <c r="W2791" t="n">
        <v>0.64</v>
      </c>
      <c r="X2791" t="n">
        <v>70.23999999999999</v>
      </c>
      <c r="Y2791">
        <f>VLOOKUP(D2791,$AB$2:$AC$7,2,FALSE)</f>
        <v/>
      </c>
      <c r="Z2791">
        <f>IF(A2791&lt;Y2791,"Yes","No")</f>
        <v/>
      </c>
    </row>
    <row r="2792">
      <c r="A2792" t="n">
        <v>2013</v>
      </c>
      <c r="B2792" t="inlineStr">
        <is>
          <t>Q3</t>
        </is>
      </c>
      <c r="C2792" t="inlineStr">
        <is>
          <t>Australia</t>
        </is>
      </c>
      <c r="D2792" t="inlineStr">
        <is>
          <t>Model 3</t>
        </is>
      </c>
      <c r="E2792" t="n">
        <v>139</v>
      </c>
      <c r="F2792" t="n">
        <v>107250.6</v>
      </c>
      <c r="G2792" t="n">
        <v>0</v>
      </c>
      <c r="H2792" t="inlineStr">
        <is>
          <t>Performance</t>
        </is>
      </c>
      <c r="I2792" t="inlineStr">
        <is>
          <t>RWD</t>
        </is>
      </c>
      <c r="J2792" t="inlineStr">
        <is>
          <t>Green</t>
        </is>
      </c>
      <c r="K2792" t="n">
        <v>565</v>
      </c>
      <c r="L2792" t="n">
        <v>49</v>
      </c>
      <c r="M2792" t="n">
        <v>21.94</v>
      </c>
      <c r="N2792" t="n">
        <v>99.19</v>
      </c>
      <c r="O2792" t="n">
        <v>3.86</v>
      </c>
      <c r="P2792" t="n">
        <v>8</v>
      </c>
      <c r="Q2792" t="n">
        <v>1</v>
      </c>
      <c r="R2792" t="n">
        <v>2021.3</v>
      </c>
      <c r="S2792" t="b">
        <v>0</v>
      </c>
      <c r="T2792" t="n">
        <v>2834124</v>
      </c>
      <c r="U2792" t="n">
        <v>8</v>
      </c>
      <c r="V2792" t="n">
        <v>0.081</v>
      </c>
      <c r="W2792" t="n">
        <v>2.43</v>
      </c>
      <c r="X2792" t="n">
        <v>80.55</v>
      </c>
      <c r="Y2792">
        <f>VLOOKUP(D2792,$AB$2:$AC$7,2,FALSE)</f>
        <v/>
      </c>
      <c r="Z2792">
        <f>IF(A2792&lt;Y2792,"Yes","No")</f>
        <v/>
      </c>
    </row>
    <row r="2793">
      <c r="A2793" t="n">
        <v>2013</v>
      </c>
      <c r="B2793" t="inlineStr">
        <is>
          <t>Q3</t>
        </is>
      </c>
      <c r="C2793" t="inlineStr">
        <is>
          <t>South America</t>
        </is>
      </c>
      <c r="D2793" t="inlineStr">
        <is>
          <t>Model 3</t>
        </is>
      </c>
      <c r="E2793" t="n">
        <v>2958</v>
      </c>
      <c r="F2793" t="n">
        <v>59423.97</v>
      </c>
      <c r="G2793" t="n">
        <v>35</v>
      </c>
      <c r="H2793" t="inlineStr">
        <is>
          <t>Standard</t>
        </is>
      </c>
      <c r="I2793" t="inlineStr">
        <is>
          <t>AWD</t>
        </is>
      </c>
      <c r="J2793" t="inlineStr">
        <is>
          <t>Green</t>
        </is>
      </c>
      <c r="K2793" t="n">
        <v>602</v>
      </c>
      <c r="L2793" t="n">
        <v>42</v>
      </c>
      <c r="M2793" t="n">
        <v>14.72</v>
      </c>
      <c r="N2793" t="n">
        <v>3941.18</v>
      </c>
      <c r="O2793" t="n">
        <v>4.89</v>
      </c>
      <c r="P2793" t="n">
        <v>4</v>
      </c>
      <c r="Q2793" t="n">
        <v>0</v>
      </c>
      <c r="R2793" t="n">
        <v>2021.8</v>
      </c>
      <c r="S2793" t="b">
        <v>0</v>
      </c>
      <c r="T2793" t="n">
        <v>3885836</v>
      </c>
      <c r="U2793" t="n">
        <v>5</v>
      </c>
      <c r="V2793" t="n">
        <v>0.018</v>
      </c>
      <c r="W2793" t="n">
        <v>0.52</v>
      </c>
      <c r="X2793" t="n">
        <v>65.09999999999999</v>
      </c>
      <c r="Y2793">
        <f>VLOOKUP(D2793,$AB$2:$AC$7,2,FALSE)</f>
        <v/>
      </c>
      <c r="Z2793">
        <f>IF(A2793&lt;Y2793,"Yes","No")</f>
        <v/>
      </c>
    </row>
    <row r="2794">
      <c r="A2794" t="n">
        <v>2017</v>
      </c>
      <c r="B2794" t="inlineStr">
        <is>
          <t>Q2</t>
        </is>
      </c>
      <c r="C2794" t="inlineStr">
        <is>
          <t>Australia</t>
        </is>
      </c>
      <c r="D2794" t="inlineStr">
        <is>
          <t>Semi</t>
        </is>
      </c>
      <c r="E2794" t="n">
        <v>2658</v>
      </c>
      <c r="F2794" t="n">
        <v>107933.69</v>
      </c>
      <c r="G2794" t="n">
        <v>37</v>
      </c>
      <c r="H2794" t="inlineStr">
        <is>
          <t>Standard</t>
        </is>
      </c>
      <c r="I2794" t="inlineStr">
        <is>
          <t>AWD</t>
        </is>
      </c>
      <c r="J2794" t="inlineStr">
        <is>
          <t>White</t>
        </is>
      </c>
      <c r="K2794" t="n">
        <v>628</v>
      </c>
      <c r="L2794" t="n">
        <v>50</v>
      </c>
      <c r="M2794" t="n">
        <v>14.37</v>
      </c>
      <c r="N2794" t="n">
        <v>6605.62</v>
      </c>
      <c r="O2794" t="n">
        <v>4.5</v>
      </c>
      <c r="P2794" t="n">
        <v>6</v>
      </c>
      <c r="Q2794" t="n">
        <v>2</v>
      </c>
      <c r="R2794" t="n">
        <v>2020.11</v>
      </c>
      <c r="S2794" t="b">
        <v>1</v>
      </c>
      <c r="T2794" t="n">
        <v>4251358</v>
      </c>
      <c r="U2794" t="n">
        <v>6</v>
      </c>
      <c r="V2794" t="n">
        <v>0.093</v>
      </c>
      <c r="W2794" t="n">
        <v>1.36</v>
      </c>
      <c r="X2794" t="n">
        <v>85.52</v>
      </c>
      <c r="Y2794">
        <f>VLOOKUP(D2794,$AB$2:$AC$7,2,FALSE)</f>
        <v/>
      </c>
      <c r="Z2794">
        <f>IF(A2794&lt;Y2794,"Yes","No")</f>
        <v/>
      </c>
    </row>
    <row r="2795">
      <c r="A2795" t="n">
        <v>2014</v>
      </c>
      <c r="B2795" t="inlineStr">
        <is>
          <t>Q2</t>
        </is>
      </c>
      <c r="C2795" t="inlineStr">
        <is>
          <t>South America</t>
        </is>
      </c>
      <c r="D2795" t="inlineStr">
        <is>
          <t>Model Y</t>
        </is>
      </c>
      <c r="E2795" t="n">
        <v>4324</v>
      </c>
      <c r="F2795" t="n">
        <v>80595.16</v>
      </c>
      <c r="G2795" t="n">
        <v>5</v>
      </c>
      <c r="H2795" t="inlineStr">
        <is>
          <t>Standard</t>
        </is>
      </c>
      <c r="I2795" t="inlineStr">
        <is>
          <t>AWD</t>
        </is>
      </c>
      <c r="J2795" t="inlineStr">
        <is>
          <t>Red</t>
        </is>
      </c>
      <c r="K2795" t="n">
        <v>374</v>
      </c>
      <c r="L2795" t="n">
        <v>58</v>
      </c>
      <c r="M2795" t="n">
        <v>17.53</v>
      </c>
      <c r="N2795" t="n">
        <v>8843.219999999999</v>
      </c>
      <c r="O2795" t="n">
        <v>4.52</v>
      </c>
      <c r="P2795" t="n">
        <v>6</v>
      </c>
      <c r="Q2795" t="n">
        <v>2</v>
      </c>
      <c r="R2795" t="n">
        <v>2022.9</v>
      </c>
      <c r="S2795" t="b">
        <v>0</v>
      </c>
      <c r="T2795" t="n">
        <v>478136</v>
      </c>
      <c r="U2795" t="n">
        <v>6</v>
      </c>
      <c r="V2795" t="n">
        <v>0.023</v>
      </c>
      <c r="W2795" t="n">
        <v>0.95</v>
      </c>
      <c r="X2795" t="n">
        <v>73.14</v>
      </c>
      <c r="Y2795">
        <f>VLOOKUP(D2795,$AB$2:$AC$7,2,FALSE)</f>
        <v/>
      </c>
      <c r="Z2795">
        <f>IF(A2795&lt;Y2795,"Yes","No")</f>
        <v/>
      </c>
    </row>
    <row r="2796">
      <c r="A2796" t="n">
        <v>2019</v>
      </c>
      <c r="B2796" t="inlineStr">
        <is>
          <t>Q4</t>
        </is>
      </c>
      <c r="C2796" t="inlineStr">
        <is>
          <t>South America</t>
        </is>
      </c>
      <c r="D2796" t="inlineStr">
        <is>
          <t>Semi</t>
        </is>
      </c>
      <c r="E2796" t="n">
        <v>3379</v>
      </c>
      <c r="F2796" t="n">
        <v>75673.5</v>
      </c>
      <c r="G2796" t="n">
        <v>15</v>
      </c>
      <c r="H2796" t="inlineStr">
        <is>
          <t>Standard</t>
        </is>
      </c>
      <c r="I2796" t="inlineStr">
        <is>
          <t>RWD</t>
        </is>
      </c>
      <c r="J2796" t="inlineStr">
        <is>
          <t>White</t>
        </is>
      </c>
      <c r="K2796" t="n">
        <v>650</v>
      </c>
      <c r="L2796" t="n">
        <v>55</v>
      </c>
      <c r="M2796" t="n">
        <v>17.59</v>
      </c>
      <c r="N2796" t="n">
        <v>7768.54</v>
      </c>
      <c r="O2796" t="n">
        <v>4.89</v>
      </c>
      <c r="P2796" t="n">
        <v>4</v>
      </c>
      <c r="Q2796" t="n">
        <v>1</v>
      </c>
      <c r="R2796" t="n">
        <v>2024.11</v>
      </c>
      <c r="S2796" t="b">
        <v>0</v>
      </c>
      <c r="T2796" t="n">
        <v>1901118</v>
      </c>
      <c r="U2796" t="n">
        <v>9</v>
      </c>
      <c r="V2796" t="n">
        <v>0.08550000000000001</v>
      </c>
      <c r="W2796" t="n">
        <v>0.92</v>
      </c>
      <c r="X2796" t="n">
        <v>60.85</v>
      </c>
      <c r="Y2796">
        <f>VLOOKUP(D2796,$AB$2:$AC$7,2,FALSE)</f>
        <v/>
      </c>
      <c r="Z2796">
        <f>IF(A2796&lt;Y2796,"Yes","No")</f>
        <v/>
      </c>
    </row>
    <row r="2797">
      <c r="A2797" t="n">
        <v>2019</v>
      </c>
      <c r="B2797" t="inlineStr">
        <is>
          <t>Q1</t>
        </is>
      </c>
      <c r="C2797" t="inlineStr">
        <is>
          <t>Europe</t>
        </is>
      </c>
      <c r="D2797" t="inlineStr">
        <is>
          <t>Model S</t>
        </is>
      </c>
      <c r="E2797" t="n">
        <v>3351</v>
      </c>
      <c r="F2797" t="n">
        <v>107452.23</v>
      </c>
      <c r="G2797" t="n">
        <v>47</v>
      </c>
      <c r="H2797" t="inlineStr">
        <is>
          <t>Long Range</t>
        </is>
      </c>
      <c r="I2797" t="inlineStr">
        <is>
          <t>AWD</t>
        </is>
      </c>
      <c r="J2797" t="inlineStr">
        <is>
          <t>Silver</t>
        </is>
      </c>
      <c r="K2797" t="n">
        <v>546</v>
      </c>
      <c r="L2797" t="n">
        <v>73</v>
      </c>
      <c r="M2797" t="n">
        <v>23.76</v>
      </c>
      <c r="N2797" t="n">
        <v>5177.02</v>
      </c>
      <c r="O2797" t="n">
        <v>4.65</v>
      </c>
      <c r="P2797" t="n">
        <v>5</v>
      </c>
      <c r="Q2797" t="n">
        <v>3</v>
      </c>
      <c r="R2797" t="n">
        <v>2021.5</v>
      </c>
      <c r="S2797" t="b">
        <v>1</v>
      </c>
      <c r="T2797" t="n">
        <v>4491836</v>
      </c>
      <c r="U2797" t="n">
        <v>11</v>
      </c>
      <c r="V2797" t="n">
        <v>0.0882</v>
      </c>
      <c r="W2797" t="n">
        <v>1.81</v>
      </c>
      <c r="X2797" t="n">
        <v>67.97</v>
      </c>
      <c r="Y2797">
        <f>VLOOKUP(D2797,$AB$2:$AC$7,2,FALSE)</f>
        <v/>
      </c>
      <c r="Z2797">
        <f>IF(A2797&lt;Y2797,"Yes","No")</f>
        <v/>
      </c>
    </row>
    <row r="2798">
      <c r="A2798" t="n">
        <v>2018</v>
      </c>
      <c r="B2798" t="inlineStr">
        <is>
          <t>Q3</t>
        </is>
      </c>
      <c r="C2798" t="inlineStr">
        <is>
          <t>Asia</t>
        </is>
      </c>
      <c r="D2798" t="inlineStr">
        <is>
          <t>Model X</t>
        </is>
      </c>
      <c r="E2798" t="n">
        <v>3278</v>
      </c>
      <c r="F2798" t="n">
        <v>105030.63</v>
      </c>
      <c r="G2798" t="n">
        <v>40</v>
      </c>
      <c r="H2798" t="inlineStr">
        <is>
          <t>Performance</t>
        </is>
      </c>
      <c r="I2798" t="inlineStr">
        <is>
          <t>RWD</t>
        </is>
      </c>
      <c r="J2798" t="inlineStr">
        <is>
          <t>Silver</t>
        </is>
      </c>
      <c r="K2798" t="n">
        <v>619</v>
      </c>
      <c r="L2798" t="n">
        <v>66</v>
      </c>
      <c r="M2798" t="n">
        <v>16.98</v>
      </c>
      <c r="N2798" t="n">
        <v>4958.72</v>
      </c>
      <c r="O2798" t="n">
        <v>4.41</v>
      </c>
      <c r="P2798" t="n">
        <v>5</v>
      </c>
      <c r="Q2798" t="n">
        <v>1</v>
      </c>
      <c r="R2798" t="n">
        <v>2020.1</v>
      </c>
      <c r="S2798" t="b">
        <v>1</v>
      </c>
      <c r="T2798" t="n">
        <v>2024732</v>
      </c>
      <c r="U2798" t="n">
        <v>5</v>
      </c>
      <c r="V2798" t="n">
        <v>0.076</v>
      </c>
      <c r="W2798" t="n">
        <v>2.34</v>
      </c>
      <c r="X2798" t="n">
        <v>68.92</v>
      </c>
      <c r="Y2798">
        <f>VLOOKUP(D2798,$AB$2:$AC$7,2,FALSE)</f>
        <v/>
      </c>
      <c r="Z2798">
        <f>IF(A2798&lt;Y2798,"Yes","No")</f>
        <v/>
      </c>
    </row>
    <row r="2799">
      <c r="A2799" t="n">
        <v>2013</v>
      </c>
      <c r="B2799" t="inlineStr">
        <is>
          <t>Q4</t>
        </is>
      </c>
      <c r="C2799" t="inlineStr">
        <is>
          <t>South America</t>
        </is>
      </c>
      <c r="D2799" t="inlineStr">
        <is>
          <t>Model X</t>
        </is>
      </c>
      <c r="E2799" t="n">
        <v>1772</v>
      </c>
      <c r="F2799" t="n">
        <v>60470.23</v>
      </c>
      <c r="G2799" t="n">
        <v>44</v>
      </c>
      <c r="H2799" t="inlineStr">
        <is>
          <t>Performance</t>
        </is>
      </c>
      <c r="I2799" t="inlineStr">
        <is>
          <t>RWD</t>
        </is>
      </c>
      <c r="J2799" t="inlineStr">
        <is>
          <t>Blue</t>
        </is>
      </c>
      <c r="K2799" t="n">
        <v>478</v>
      </c>
      <c r="L2799" t="n">
        <v>85</v>
      </c>
      <c r="M2799" t="n">
        <v>17.2</v>
      </c>
      <c r="N2799" t="n">
        <v>936.12</v>
      </c>
      <c r="O2799" t="n">
        <v>3.97</v>
      </c>
      <c r="P2799" t="n">
        <v>5</v>
      </c>
      <c r="Q2799" t="n">
        <v>2</v>
      </c>
      <c r="R2799" t="n">
        <v>2020.5</v>
      </c>
      <c r="S2799" t="b">
        <v>0</v>
      </c>
      <c r="T2799" t="n">
        <v>909836</v>
      </c>
      <c r="U2799" t="n">
        <v>8</v>
      </c>
      <c r="V2799" t="n">
        <v>0.0939</v>
      </c>
      <c r="W2799" t="n">
        <v>0.68</v>
      </c>
      <c r="X2799" t="n">
        <v>81.73999999999999</v>
      </c>
      <c r="Y2799">
        <f>VLOOKUP(D2799,$AB$2:$AC$7,2,FALSE)</f>
        <v/>
      </c>
      <c r="Z2799">
        <f>IF(A2799&lt;Y2799,"Yes","No")</f>
        <v/>
      </c>
    </row>
    <row r="2800">
      <c r="A2800" t="n">
        <v>2023</v>
      </c>
      <c r="B2800" t="inlineStr">
        <is>
          <t>Q4</t>
        </is>
      </c>
      <c r="C2800" t="inlineStr">
        <is>
          <t>Asia</t>
        </is>
      </c>
      <c r="D2800" t="inlineStr">
        <is>
          <t>Model S</t>
        </is>
      </c>
      <c r="E2800" t="n">
        <v>4038</v>
      </c>
      <c r="F2800" t="n">
        <v>39672.44</v>
      </c>
      <c r="G2800" t="n">
        <v>3</v>
      </c>
      <c r="H2800" t="inlineStr">
        <is>
          <t>Standard</t>
        </is>
      </c>
      <c r="I2800" t="inlineStr">
        <is>
          <t>AWD</t>
        </is>
      </c>
      <c r="J2800" t="inlineStr">
        <is>
          <t>Blue</t>
        </is>
      </c>
      <c r="K2800" t="n">
        <v>650</v>
      </c>
      <c r="L2800" t="n">
        <v>31</v>
      </c>
      <c r="M2800" t="n">
        <v>16.09</v>
      </c>
      <c r="N2800" t="n">
        <v>8771.440000000001</v>
      </c>
      <c r="O2800" t="n">
        <v>4.16</v>
      </c>
      <c r="P2800" t="n">
        <v>5</v>
      </c>
      <c r="Q2800" t="n">
        <v>0</v>
      </c>
      <c r="R2800" t="n">
        <v>2021.12</v>
      </c>
      <c r="S2800" t="b">
        <v>1</v>
      </c>
      <c r="T2800" t="n">
        <v>3670915</v>
      </c>
      <c r="U2800" t="n">
        <v>12</v>
      </c>
      <c r="V2800" t="n">
        <v>0.0455</v>
      </c>
      <c r="W2800" t="n">
        <v>1.25</v>
      </c>
      <c r="X2800" t="n">
        <v>80.23</v>
      </c>
      <c r="Y2800">
        <f>VLOOKUP(D2800,$AB$2:$AC$7,2,FALSE)</f>
        <v/>
      </c>
      <c r="Z2800">
        <f>IF(A2800&lt;Y2800,"Yes","No")</f>
        <v/>
      </c>
    </row>
    <row r="2801">
      <c r="A2801" t="n">
        <v>2020</v>
      </c>
      <c r="B2801" t="inlineStr">
        <is>
          <t>Q1</t>
        </is>
      </c>
      <c r="C2801" t="inlineStr">
        <is>
          <t>South America</t>
        </is>
      </c>
      <c r="D2801" t="inlineStr">
        <is>
          <t>Model X</t>
        </is>
      </c>
      <c r="E2801" t="n">
        <v>3480</v>
      </c>
      <c r="F2801" t="n">
        <v>85446.81</v>
      </c>
      <c r="G2801" t="n">
        <v>0</v>
      </c>
      <c r="H2801" t="inlineStr">
        <is>
          <t>Standard</t>
        </is>
      </c>
      <c r="I2801" t="inlineStr">
        <is>
          <t>AWD</t>
        </is>
      </c>
      <c r="J2801" t="inlineStr">
        <is>
          <t>Green</t>
        </is>
      </c>
      <c r="K2801" t="n">
        <v>604</v>
      </c>
      <c r="L2801" t="n">
        <v>33</v>
      </c>
      <c r="M2801" t="n">
        <v>19.01</v>
      </c>
      <c r="N2801" t="n">
        <v>5268.05</v>
      </c>
      <c r="O2801" t="n">
        <v>3.52</v>
      </c>
      <c r="P2801" t="n">
        <v>5</v>
      </c>
      <c r="Q2801" t="n">
        <v>2</v>
      </c>
      <c r="R2801" t="n">
        <v>2021.1</v>
      </c>
      <c r="S2801" t="b">
        <v>0</v>
      </c>
      <c r="T2801" t="n">
        <v>2864091</v>
      </c>
      <c r="U2801" t="n">
        <v>5</v>
      </c>
      <c r="V2801" t="n">
        <v>0.0116</v>
      </c>
      <c r="W2801" t="n">
        <v>2.01</v>
      </c>
      <c r="X2801" t="n">
        <v>88.20999999999999</v>
      </c>
      <c r="Y2801">
        <f>VLOOKUP(D2801,$AB$2:$AC$7,2,FALSE)</f>
        <v/>
      </c>
      <c r="Z2801">
        <f>IF(A2801&lt;Y2801,"Yes","No")</f>
        <v/>
      </c>
    </row>
    <row r="2802">
      <c r="A2802" t="n">
        <v>2019</v>
      </c>
      <c r="B2802" t="inlineStr">
        <is>
          <t>Q4</t>
        </is>
      </c>
      <c r="C2802" t="inlineStr">
        <is>
          <t>Europe</t>
        </is>
      </c>
      <c r="D2802" t="inlineStr">
        <is>
          <t>Model 3</t>
        </is>
      </c>
      <c r="E2802" t="n">
        <v>3156</v>
      </c>
      <c r="F2802" t="n">
        <v>105940.4</v>
      </c>
      <c r="G2802" t="n">
        <v>27</v>
      </c>
      <c r="H2802" t="inlineStr">
        <is>
          <t>Long Range</t>
        </is>
      </c>
      <c r="I2802" t="inlineStr">
        <is>
          <t>RWD</t>
        </is>
      </c>
      <c r="J2802" t="inlineStr">
        <is>
          <t>Black</t>
        </is>
      </c>
      <c r="K2802" t="n">
        <v>492</v>
      </c>
      <c r="L2802" t="n">
        <v>69</v>
      </c>
      <c r="M2802" t="n">
        <v>16.78</v>
      </c>
      <c r="N2802" t="n">
        <v>7011.4</v>
      </c>
      <c r="O2802" t="n">
        <v>4.54</v>
      </c>
      <c r="P2802" t="n">
        <v>8</v>
      </c>
      <c r="Q2802" t="n">
        <v>0</v>
      </c>
      <c r="R2802" t="n">
        <v>2020.12</v>
      </c>
      <c r="S2802" t="b">
        <v>0</v>
      </c>
      <c r="T2802" t="n">
        <v>400329</v>
      </c>
      <c r="U2802" t="n">
        <v>2</v>
      </c>
      <c r="V2802" t="n">
        <v>0.0576</v>
      </c>
      <c r="W2802" t="n">
        <v>2.08</v>
      </c>
      <c r="X2802" t="n">
        <v>69.68000000000001</v>
      </c>
      <c r="Y2802">
        <f>VLOOKUP(D2802,$AB$2:$AC$7,2,FALSE)</f>
        <v/>
      </c>
      <c r="Z2802">
        <f>IF(A2802&lt;Y2802,"Yes","No")</f>
        <v/>
      </c>
    </row>
    <row r="2803">
      <c r="A2803" t="n">
        <v>2016</v>
      </c>
      <c r="B2803" t="inlineStr">
        <is>
          <t>Q1</t>
        </is>
      </c>
      <c r="C2803" t="inlineStr">
        <is>
          <t>Asia</t>
        </is>
      </c>
      <c r="D2803" t="inlineStr">
        <is>
          <t>Semi</t>
        </is>
      </c>
      <c r="E2803" t="n">
        <v>3235</v>
      </c>
      <c r="F2803" t="n">
        <v>64762.67</v>
      </c>
      <c r="G2803" t="n">
        <v>27</v>
      </c>
      <c r="H2803" t="inlineStr">
        <is>
          <t>Long Range</t>
        </is>
      </c>
      <c r="I2803" t="inlineStr">
        <is>
          <t>AWD</t>
        </is>
      </c>
      <c r="J2803" t="inlineStr">
        <is>
          <t>Red</t>
        </is>
      </c>
      <c r="K2803" t="n">
        <v>423</v>
      </c>
      <c r="L2803" t="n">
        <v>58</v>
      </c>
      <c r="M2803" t="n">
        <v>13.78</v>
      </c>
      <c r="N2803" t="n">
        <v>5517.78</v>
      </c>
      <c r="O2803" t="n">
        <v>4.78</v>
      </c>
      <c r="P2803" t="n">
        <v>5</v>
      </c>
      <c r="Q2803" t="n">
        <v>3</v>
      </c>
      <c r="R2803" t="n">
        <v>2020.8</v>
      </c>
      <c r="S2803" t="b">
        <v>1</v>
      </c>
      <c r="T2803" t="n">
        <v>4405218</v>
      </c>
      <c r="U2803" t="n">
        <v>8</v>
      </c>
      <c r="V2803" t="n">
        <v>0.0523</v>
      </c>
      <c r="W2803" t="n">
        <v>1.83</v>
      </c>
      <c r="X2803" t="n">
        <v>72.91</v>
      </c>
      <c r="Y2803">
        <f>VLOOKUP(D2803,$AB$2:$AC$7,2,FALSE)</f>
        <v/>
      </c>
      <c r="Z2803">
        <f>IF(A2803&lt;Y2803,"Yes","No")</f>
        <v/>
      </c>
    </row>
    <row r="2804">
      <c r="A2804" t="n">
        <v>2015</v>
      </c>
      <c r="B2804" t="inlineStr">
        <is>
          <t>Q4</t>
        </is>
      </c>
      <c r="C2804" t="inlineStr">
        <is>
          <t>Europe</t>
        </is>
      </c>
      <c r="D2804" t="inlineStr">
        <is>
          <t>Model S</t>
        </is>
      </c>
      <c r="E2804" t="n">
        <v>604</v>
      </c>
      <c r="F2804" t="n">
        <v>100601.05</v>
      </c>
      <c r="G2804" t="n">
        <v>16</v>
      </c>
      <c r="H2804" t="inlineStr">
        <is>
          <t>Performance</t>
        </is>
      </c>
      <c r="I2804" t="inlineStr">
        <is>
          <t>RWD</t>
        </is>
      </c>
      <c r="J2804" t="inlineStr">
        <is>
          <t>White</t>
        </is>
      </c>
      <c r="K2804" t="n">
        <v>586</v>
      </c>
      <c r="L2804" t="n">
        <v>35</v>
      </c>
      <c r="M2804" t="n">
        <v>15.96</v>
      </c>
      <c r="N2804" t="n">
        <v>463.96</v>
      </c>
      <c r="O2804" t="n">
        <v>3.99</v>
      </c>
      <c r="P2804" t="n">
        <v>4</v>
      </c>
      <c r="Q2804" t="n">
        <v>3</v>
      </c>
      <c r="R2804" t="n">
        <v>2021.5</v>
      </c>
      <c r="S2804" t="b">
        <v>1</v>
      </c>
      <c r="T2804" t="n">
        <v>2013596</v>
      </c>
      <c r="U2804" t="n">
        <v>2</v>
      </c>
      <c r="V2804" t="n">
        <v>0.0859</v>
      </c>
      <c r="W2804" t="n">
        <v>1.11</v>
      </c>
      <c r="X2804" t="n">
        <v>89.05</v>
      </c>
      <c r="Y2804">
        <f>VLOOKUP(D2804,$AB$2:$AC$7,2,FALSE)</f>
        <v/>
      </c>
      <c r="Z2804">
        <f>IF(A2804&lt;Y2804,"Yes","No")</f>
        <v/>
      </c>
    </row>
    <row r="2805">
      <c r="A2805" t="n">
        <v>2015</v>
      </c>
      <c r="B2805" t="inlineStr">
        <is>
          <t>Q4</t>
        </is>
      </c>
      <c r="C2805" t="inlineStr">
        <is>
          <t>Europe</t>
        </is>
      </c>
      <c r="D2805" t="inlineStr">
        <is>
          <t>Model X</t>
        </is>
      </c>
      <c r="E2805" t="n">
        <v>3252</v>
      </c>
      <c r="F2805" t="n">
        <v>83204.25999999999</v>
      </c>
      <c r="G2805" t="n">
        <v>42</v>
      </c>
      <c r="H2805" t="inlineStr">
        <is>
          <t>Long Range</t>
        </is>
      </c>
      <c r="I2805" t="inlineStr">
        <is>
          <t>AWD</t>
        </is>
      </c>
      <c r="J2805" t="inlineStr">
        <is>
          <t>Green</t>
        </is>
      </c>
      <c r="K2805" t="n">
        <v>679</v>
      </c>
      <c r="L2805" t="n">
        <v>76</v>
      </c>
      <c r="M2805" t="n">
        <v>20.23</v>
      </c>
      <c r="N2805" t="n">
        <v>6021.62</v>
      </c>
      <c r="O2805" t="n">
        <v>3.51</v>
      </c>
      <c r="P2805" t="n">
        <v>4</v>
      </c>
      <c r="Q2805" t="n">
        <v>3</v>
      </c>
      <c r="R2805" t="n">
        <v>2023.3</v>
      </c>
      <c r="S2805" t="b">
        <v>0</v>
      </c>
      <c r="T2805" t="n">
        <v>127774</v>
      </c>
      <c r="U2805" t="n">
        <v>6</v>
      </c>
      <c r="V2805" t="n">
        <v>0.093</v>
      </c>
      <c r="W2805" t="n">
        <v>1.26</v>
      </c>
      <c r="X2805" t="n">
        <v>60.83</v>
      </c>
      <c r="Y2805">
        <f>VLOOKUP(D2805,$AB$2:$AC$7,2,FALSE)</f>
        <v/>
      </c>
      <c r="Z2805">
        <f>IF(A2805&lt;Y2805,"Yes","No")</f>
        <v/>
      </c>
    </row>
    <row r="2806">
      <c r="A2806" t="n">
        <v>2013</v>
      </c>
      <c r="B2806" t="inlineStr">
        <is>
          <t>Q1</t>
        </is>
      </c>
      <c r="C2806" t="inlineStr">
        <is>
          <t>Australia</t>
        </is>
      </c>
      <c r="D2806" t="inlineStr">
        <is>
          <t>Semi</t>
        </is>
      </c>
      <c r="E2806" t="n">
        <v>583</v>
      </c>
      <c r="F2806" t="n">
        <v>83678.37</v>
      </c>
      <c r="G2806" t="n">
        <v>47</v>
      </c>
      <c r="H2806" t="inlineStr">
        <is>
          <t>Performance</t>
        </is>
      </c>
      <c r="I2806" t="inlineStr">
        <is>
          <t>AWD</t>
        </is>
      </c>
      <c r="J2806" t="inlineStr">
        <is>
          <t>Blue</t>
        </is>
      </c>
      <c r="K2806" t="n">
        <v>396</v>
      </c>
      <c r="L2806" t="n">
        <v>63</v>
      </c>
      <c r="M2806" t="n">
        <v>20.35</v>
      </c>
      <c r="N2806" t="n">
        <v>1125.96</v>
      </c>
      <c r="O2806" t="n">
        <v>4.36</v>
      </c>
      <c r="P2806" t="n">
        <v>8</v>
      </c>
      <c r="Q2806" t="n">
        <v>2</v>
      </c>
      <c r="R2806" t="n">
        <v>2021.7</v>
      </c>
      <c r="S2806" t="b">
        <v>0</v>
      </c>
      <c r="T2806" t="n">
        <v>1046265</v>
      </c>
      <c r="U2806" t="n">
        <v>6</v>
      </c>
      <c r="V2806" t="n">
        <v>0.0421</v>
      </c>
      <c r="W2806" t="n">
        <v>1.84</v>
      </c>
      <c r="X2806" t="n">
        <v>76.59999999999999</v>
      </c>
      <c r="Y2806">
        <f>VLOOKUP(D2806,$AB$2:$AC$7,2,FALSE)</f>
        <v/>
      </c>
      <c r="Z2806">
        <f>IF(A2806&lt;Y2806,"Yes","No")</f>
        <v/>
      </c>
    </row>
    <row r="2807">
      <c r="A2807" t="n">
        <v>2020</v>
      </c>
      <c r="B2807" t="inlineStr">
        <is>
          <t>Q4</t>
        </is>
      </c>
      <c r="C2807" t="inlineStr">
        <is>
          <t>South America</t>
        </is>
      </c>
      <c r="D2807" t="inlineStr">
        <is>
          <t>Model X</t>
        </is>
      </c>
      <c r="E2807" t="n">
        <v>516</v>
      </c>
      <c r="F2807" t="n">
        <v>116659.73</v>
      </c>
      <c r="G2807" t="n">
        <v>52</v>
      </c>
      <c r="H2807" t="inlineStr">
        <is>
          <t>Long Range</t>
        </is>
      </c>
      <c r="I2807" t="inlineStr">
        <is>
          <t>RWD</t>
        </is>
      </c>
      <c r="J2807" t="inlineStr">
        <is>
          <t>Green</t>
        </is>
      </c>
      <c r="K2807" t="n">
        <v>453</v>
      </c>
      <c r="L2807" t="n">
        <v>54</v>
      </c>
      <c r="M2807" t="n">
        <v>20.75</v>
      </c>
      <c r="N2807" t="n">
        <v>440.46</v>
      </c>
      <c r="O2807" t="n">
        <v>3.6</v>
      </c>
      <c r="P2807" t="n">
        <v>5</v>
      </c>
      <c r="Q2807" t="n">
        <v>3</v>
      </c>
      <c r="R2807" t="n">
        <v>2020.9</v>
      </c>
      <c r="S2807" t="b">
        <v>1</v>
      </c>
      <c r="T2807" t="n">
        <v>1194145</v>
      </c>
      <c r="U2807" t="n">
        <v>6</v>
      </c>
      <c r="V2807" t="n">
        <v>0.0157</v>
      </c>
      <c r="W2807" t="n">
        <v>2.13</v>
      </c>
      <c r="X2807" t="n">
        <v>64.8</v>
      </c>
      <c r="Y2807">
        <f>VLOOKUP(D2807,$AB$2:$AC$7,2,FALSE)</f>
        <v/>
      </c>
      <c r="Z2807">
        <f>IF(A2807&lt;Y2807,"Yes","No")</f>
        <v/>
      </c>
    </row>
    <row r="2808">
      <c r="A2808" t="n">
        <v>2014</v>
      </c>
      <c r="B2808" t="inlineStr">
        <is>
          <t>Q1</t>
        </is>
      </c>
      <c r="C2808" t="inlineStr">
        <is>
          <t>South America</t>
        </is>
      </c>
      <c r="D2808" t="inlineStr">
        <is>
          <t>Model 3</t>
        </is>
      </c>
      <c r="E2808" t="n">
        <v>1789</v>
      </c>
      <c r="F2808" t="n">
        <v>81436.83</v>
      </c>
      <c r="G2808" t="n">
        <v>13</v>
      </c>
      <c r="H2808" t="inlineStr">
        <is>
          <t>Standard</t>
        </is>
      </c>
      <c r="I2808" t="inlineStr">
        <is>
          <t>AWD</t>
        </is>
      </c>
      <c r="J2808" t="inlineStr">
        <is>
          <t>Green</t>
        </is>
      </c>
      <c r="K2808" t="n">
        <v>547</v>
      </c>
      <c r="L2808" t="n">
        <v>32</v>
      </c>
      <c r="M2808" t="n">
        <v>22.56</v>
      </c>
      <c r="N2808" t="n">
        <v>3219.78</v>
      </c>
      <c r="O2808" t="n">
        <v>4.73</v>
      </c>
      <c r="P2808" t="n">
        <v>8</v>
      </c>
      <c r="Q2808" t="n">
        <v>2</v>
      </c>
      <c r="R2808" t="n">
        <v>2023.4</v>
      </c>
      <c r="S2808" t="b">
        <v>0</v>
      </c>
      <c r="T2808" t="n">
        <v>3972362</v>
      </c>
      <c r="U2808" t="n">
        <v>7</v>
      </c>
      <c r="V2808" t="n">
        <v>0.0492</v>
      </c>
      <c r="W2808" t="n">
        <v>1.98</v>
      </c>
      <c r="X2808" t="n">
        <v>80.70999999999999</v>
      </c>
      <c r="Y2808">
        <f>VLOOKUP(D2808,$AB$2:$AC$7,2,FALSE)</f>
        <v/>
      </c>
      <c r="Z2808">
        <f>IF(A2808&lt;Y2808,"Yes","No")</f>
        <v/>
      </c>
    </row>
    <row r="2809">
      <c r="A2809" t="n">
        <v>2022</v>
      </c>
      <c r="B2809" t="inlineStr">
        <is>
          <t>Q3</t>
        </is>
      </c>
      <c r="C2809" t="inlineStr">
        <is>
          <t>North America</t>
        </is>
      </c>
      <c r="D2809" t="inlineStr">
        <is>
          <t>Model S</t>
        </is>
      </c>
      <c r="E2809" t="n">
        <v>4556</v>
      </c>
      <c r="F2809" t="n">
        <v>85175.23</v>
      </c>
      <c r="G2809" t="n">
        <v>19</v>
      </c>
      <c r="H2809" t="inlineStr">
        <is>
          <t>Long Range</t>
        </is>
      </c>
      <c r="I2809" t="inlineStr">
        <is>
          <t>AWD</t>
        </is>
      </c>
      <c r="J2809" t="inlineStr">
        <is>
          <t>Red</t>
        </is>
      </c>
      <c r="K2809" t="n">
        <v>595</v>
      </c>
      <c r="L2809" t="n">
        <v>38</v>
      </c>
      <c r="M2809" t="n">
        <v>24.62</v>
      </c>
      <c r="N2809" t="n">
        <v>5353.36</v>
      </c>
      <c r="O2809" t="n">
        <v>4.99</v>
      </c>
      <c r="P2809" t="n">
        <v>4</v>
      </c>
      <c r="Q2809" t="n">
        <v>1</v>
      </c>
      <c r="R2809" t="n">
        <v>2023.7</v>
      </c>
      <c r="S2809" t="b">
        <v>0</v>
      </c>
      <c r="T2809" t="n">
        <v>2607438</v>
      </c>
      <c r="U2809" t="n">
        <v>3</v>
      </c>
      <c r="V2809" t="n">
        <v>0.0274</v>
      </c>
      <c r="W2809" t="n">
        <v>0.97</v>
      </c>
      <c r="X2809" t="n">
        <v>60.7</v>
      </c>
      <c r="Y2809">
        <f>VLOOKUP(D2809,$AB$2:$AC$7,2,FALSE)</f>
        <v/>
      </c>
      <c r="Z2809">
        <f>IF(A2809&lt;Y2809,"Yes","No")</f>
        <v/>
      </c>
    </row>
    <row r="2810">
      <c r="A2810" t="n">
        <v>2021</v>
      </c>
      <c r="B2810" t="inlineStr">
        <is>
          <t>Q3</t>
        </is>
      </c>
      <c r="C2810" t="inlineStr">
        <is>
          <t>Asia</t>
        </is>
      </c>
      <c r="D2810" t="inlineStr">
        <is>
          <t>Model X</t>
        </is>
      </c>
      <c r="E2810" t="n">
        <v>1326</v>
      </c>
      <c r="F2810" t="n">
        <v>95698.09</v>
      </c>
      <c r="G2810" t="n">
        <v>8</v>
      </c>
      <c r="H2810" t="inlineStr">
        <is>
          <t>Long Range</t>
        </is>
      </c>
      <c r="I2810" t="inlineStr">
        <is>
          <t>RWD</t>
        </is>
      </c>
      <c r="J2810" t="inlineStr">
        <is>
          <t>White</t>
        </is>
      </c>
      <c r="K2810" t="n">
        <v>668</v>
      </c>
      <c r="L2810" t="n">
        <v>75</v>
      </c>
      <c r="M2810" t="n">
        <v>16.07</v>
      </c>
      <c r="N2810" t="n">
        <v>995.21</v>
      </c>
      <c r="O2810" t="n">
        <v>4.26</v>
      </c>
      <c r="P2810" t="n">
        <v>4</v>
      </c>
      <c r="Q2810" t="n">
        <v>2</v>
      </c>
      <c r="R2810" t="n">
        <v>2020.4</v>
      </c>
      <c r="S2810" t="b">
        <v>0</v>
      </c>
      <c r="T2810" t="n">
        <v>1799930</v>
      </c>
      <c r="U2810" t="n">
        <v>4</v>
      </c>
      <c r="V2810" t="n">
        <v>0.0416</v>
      </c>
      <c r="W2810" t="n">
        <v>1.13</v>
      </c>
      <c r="X2810" t="n">
        <v>83.23</v>
      </c>
      <c r="Y2810">
        <f>VLOOKUP(D2810,$AB$2:$AC$7,2,FALSE)</f>
        <v/>
      </c>
      <c r="Z2810">
        <f>IF(A2810&lt;Y2810,"Yes","No")</f>
        <v/>
      </c>
    </row>
    <row r="2811">
      <c r="A2811" t="n">
        <v>2013</v>
      </c>
      <c r="B2811" t="inlineStr">
        <is>
          <t>Q2</t>
        </is>
      </c>
      <c r="C2811" t="inlineStr">
        <is>
          <t>Europe</t>
        </is>
      </c>
      <c r="D2811" t="inlineStr">
        <is>
          <t>Semi</t>
        </is>
      </c>
      <c r="E2811" t="n">
        <v>1604</v>
      </c>
      <c r="F2811" t="n">
        <v>113856.92</v>
      </c>
      <c r="G2811" t="n">
        <v>13</v>
      </c>
      <c r="H2811" t="inlineStr">
        <is>
          <t>Standard</t>
        </is>
      </c>
      <c r="I2811" t="inlineStr">
        <is>
          <t>RWD</t>
        </is>
      </c>
      <c r="J2811" t="inlineStr">
        <is>
          <t>Blue</t>
        </is>
      </c>
      <c r="K2811" t="n">
        <v>400</v>
      </c>
      <c r="L2811" t="n">
        <v>81</v>
      </c>
      <c r="M2811" t="n">
        <v>23.75</v>
      </c>
      <c r="N2811" t="n">
        <v>3692.39</v>
      </c>
      <c r="O2811" t="n">
        <v>3.66</v>
      </c>
      <c r="P2811" t="n">
        <v>4</v>
      </c>
      <c r="Q2811" t="n">
        <v>1</v>
      </c>
      <c r="R2811" t="n">
        <v>2023.3</v>
      </c>
      <c r="S2811" t="b">
        <v>1</v>
      </c>
      <c r="T2811" t="n">
        <v>3626845</v>
      </c>
      <c r="U2811" t="n">
        <v>9</v>
      </c>
      <c r="V2811" t="n">
        <v>0.0745</v>
      </c>
      <c r="W2811" t="n">
        <v>1.74</v>
      </c>
      <c r="X2811" t="n">
        <v>75.34999999999999</v>
      </c>
      <c r="Y2811">
        <f>VLOOKUP(D2811,$AB$2:$AC$7,2,FALSE)</f>
        <v/>
      </c>
      <c r="Z2811">
        <f>IF(A2811&lt;Y2811,"Yes","No")</f>
        <v/>
      </c>
    </row>
    <row r="2812">
      <c r="A2812" t="n">
        <v>2023</v>
      </c>
      <c r="B2812" t="inlineStr">
        <is>
          <t>Q1</t>
        </is>
      </c>
      <c r="C2812" t="inlineStr">
        <is>
          <t>Europe</t>
        </is>
      </c>
      <c r="D2812" t="inlineStr">
        <is>
          <t>Semi</t>
        </is>
      </c>
      <c r="E2812" t="n">
        <v>3084</v>
      </c>
      <c r="F2812" t="n">
        <v>96716.42999999999</v>
      </c>
      <c r="G2812" t="n">
        <v>11</v>
      </c>
      <c r="H2812" t="inlineStr">
        <is>
          <t>Performance</t>
        </is>
      </c>
      <c r="I2812" t="inlineStr">
        <is>
          <t>AWD</t>
        </is>
      </c>
      <c r="J2812" t="inlineStr">
        <is>
          <t>Red</t>
        </is>
      </c>
      <c r="K2812" t="n">
        <v>410</v>
      </c>
      <c r="L2812" t="n">
        <v>34</v>
      </c>
      <c r="M2812" t="n">
        <v>14.25</v>
      </c>
      <c r="N2812" t="n">
        <v>5155.28</v>
      </c>
      <c r="O2812" t="n">
        <v>4.92</v>
      </c>
      <c r="P2812" t="n">
        <v>5</v>
      </c>
      <c r="Q2812" t="n">
        <v>0</v>
      </c>
      <c r="R2812" t="n">
        <v>2024.8</v>
      </c>
      <c r="S2812" t="b">
        <v>1</v>
      </c>
      <c r="T2812" t="n">
        <v>1936634</v>
      </c>
      <c r="U2812" t="n">
        <v>5</v>
      </c>
      <c r="V2812" t="n">
        <v>0.0142</v>
      </c>
      <c r="W2812" t="n">
        <v>1.81</v>
      </c>
      <c r="X2812" t="n">
        <v>61.9</v>
      </c>
      <c r="Y2812">
        <f>VLOOKUP(D2812,$AB$2:$AC$7,2,FALSE)</f>
        <v/>
      </c>
      <c r="Z2812">
        <f>IF(A2812&lt;Y2812,"Yes","No")</f>
        <v/>
      </c>
    </row>
    <row r="2813">
      <c r="A2813" t="n">
        <v>2020</v>
      </c>
      <c r="B2813" t="inlineStr">
        <is>
          <t>Q1</t>
        </is>
      </c>
      <c r="C2813" t="inlineStr">
        <is>
          <t>South America</t>
        </is>
      </c>
      <c r="D2813" t="inlineStr">
        <is>
          <t>Cybertruck</t>
        </is>
      </c>
      <c r="E2813" t="n">
        <v>3513</v>
      </c>
      <c r="F2813" t="n">
        <v>104864.38</v>
      </c>
      <c r="G2813" t="n">
        <v>1</v>
      </c>
      <c r="H2813" t="inlineStr">
        <is>
          <t>Standard</t>
        </is>
      </c>
      <c r="I2813" t="inlineStr">
        <is>
          <t>AWD</t>
        </is>
      </c>
      <c r="J2813" t="inlineStr">
        <is>
          <t>Silver</t>
        </is>
      </c>
      <c r="K2813" t="n">
        <v>428</v>
      </c>
      <c r="L2813" t="n">
        <v>65</v>
      </c>
      <c r="M2813" t="n">
        <v>19.77</v>
      </c>
      <c r="N2813" t="n">
        <v>6373.56</v>
      </c>
      <c r="O2813" t="n">
        <v>4.5</v>
      </c>
      <c r="P2813" t="n">
        <v>4</v>
      </c>
      <c r="Q2813" t="n">
        <v>0</v>
      </c>
      <c r="R2813" t="n">
        <v>2022.4</v>
      </c>
      <c r="S2813" t="b">
        <v>1</v>
      </c>
      <c r="T2813" t="n">
        <v>2765882</v>
      </c>
      <c r="U2813" t="n">
        <v>12</v>
      </c>
      <c r="V2813" t="n">
        <v>0.0827</v>
      </c>
      <c r="W2813" t="n">
        <v>2.31</v>
      </c>
      <c r="X2813" t="n">
        <v>72.65000000000001</v>
      </c>
      <c r="Y2813">
        <f>VLOOKUP(D2813,$AB$2:$AC$7,2,FALSE)</f>
        <v/>
      </c>
      <c r="Z2813">
        <f>IF(A2813&lt;Y2813,"Yes","No")</f>
        <v/>
      </c>
    </row>
    <row r="2814">
      <c r="A2814" t="n">
        <v>2020</v>
      </c>
      <c r="B2814" t="inlineStr">
        <is>
          <t>Q2</t>
        </is>
      </c>
      <c r="C2814" t="inlineStr">
        <is>
          <t>Asia</t>
        </is>
      </c>
      <c r="D2814" t="inlineStr">
        <is>
          <t>Cybertruck</t>
        </is>
      </c>
      <c r="E2814" t="n">
        <v>4646</v>
      </c>
      <c r="F2814" t="n">
        <v>35711.36</v>
      </c>
      <c r="G2814" t="n">
        <v>34</v>
      </c>
      <c r="H2814" t="inlineStr">
        <is>
          <t>Performance</t>
        </is>
      </c>
      <c r="I2814" t="inlineStr">
        <is>
          <t>RWD</t>
        </is>
      </c>
      <c r="J2814" t="inlineStr">
        <is>
          <t>Blue</t>
        </is>
      </c>
      <c r="K2814" t="n">
        <v>687</v>
      </c>
      <c r="L2814" t="n">
        <v>90</v>
      </c>
      <c r="M2814" t="n">
        <v>22.84</v>
      </c>
      <c r="N2814" t="n">
        <v>6370.94</v>
      </c>
      <c r="O2814" t="n">
        <v>3.55</v>
      </c>
      <c r="P2814" t="n">
        <v>8</v>
      </c>
      <c r="Q2814" t="n">
        <v>3</v>
      </c>
      <c r="R2814" t="n">
        <v>2024.1</v>
      </c>
      <c r="S2814" t="b">
        <v>1</v>
      </c>
      <c r="T2814" t="n">
        <v>2444404</v>
      </c>
      <c r="U2814" t="n">
        <v>6</v>
      </c>
      <c r="V2814" t="n">
        <v>0.0477</v>
      </c>
      <c r="W2814" t="n">
        <v>1.05</v>
      </c>
      <c r="X2814" t="n">
        <v>87.84</v>
      </c>
      <c r="Y2814">
        <f>VLOOKUP(D2814,$AB$2:$AC$7,2,FALSE)</f>
        <v/>
      </c>
      <c r="Z2814">
        <f>IF(A2814&lt;Y2814,"Yes","No")</f>
        <v/>
      </c>
    </row>
    <row r="2815">
      <c r="A2815" t="n">
        <v>2022</v>
      </c>
      <c r="B2815" t="inlineStr">
        <is>
          <t>Q3</t>
        </is>
      </c>
      <c r="C2815" t="inlineStr">
        <is>
          <t>South America</t>
        </is>
      </c>
      <c r="D2815" t="inlineStr">
        <is>
          <t>Cybertruck</t>
        </is>
      </c>
      <c r="E2815" t="n">
        <v>3175</v>
      </c>
      <c r="F2815" t="n">
        <v>58102.33</v>
      </c>
      <c r="G2815" t="n">
        <v>17</v>
      </c>
      <c r="H2815" t="inlineStr">
        <is>
          <t>Standard</t>
        </is>
      </c>
      <c r="I2815" t="inlineStr">
        <is>
          <t>AWD</t>
        </is>
      </c>
      <c r="J2815" t="inlineStr">
        <is>
          <t>Green</t>
        </is>
      </c>
      <c r="K2815" t="n">
        <v>591</v>
      </c>
      <c r="L2815" t="n">
        <v>31</v>
      </c>
      <c r="M2815" t="n">
        <v>23.57</v>
      </c>
      <c r="N2815" t="n">
        <v>5250.26</v>
      </c>
      <c r="O2815" t="n">
        <v>4.71</v>
      </c>
      <c r="P2815" t="n">
        <v>6</v>
      </c>
      <c r="Q2815" t="n">
        <v>2</v>
      </c>
      <c r="R2815" t="n">
        <v>2021.3</v>
      </c>
      <c r="S2815" t="b">
        <v>0</v>
      </c>
      <c r="T2815" t="n">
        <v>4750840</v>
      </c>
      <c r="U2815" t="n">
        <v>11</v>
      </c>
      <c r="V2815" t="n">
        <v>0.0597</v>
      </c>
      <c r="W2815" t="n">
        <v>0.68</v>
      </c>
      <c r="X2815" t="n">
        <v>73.91</v>
      </c>
      <c r="Y2815">
        <f>VLOOKUP(D2815,$AB$2:$AC$7,2,FALSE)</f>
        <v/>
      </c>
      <c r="Z2815">
        <f>IF(A2815&lt;Y2815,"Yes","No")</f>
        <v/>
      </c>
    </row>
    <row r="2816">
      <c r="A2816" t="n">
        <v>2020</v>
      </c>
      <c r="B2816" t="inlineStr">
        <is>
          <t>Q2</t>
        </is>
      </c>
      <c r="C2816" t="inlineStr">
        <is>
          <t>Australia</t>
        </is>
      </c>
      <c r="D2816" t="inlineStr">
        <is>
          <t>Model 3</t>
        </is>
      </c>
      <c r="E2816" t="n">
        <v>932</v>
      </c>
      <c r="F2816" t="n">
        <v>63548.74</v>
      </c>
      <c r="G2816" t="n">
        <v>39</v>
      </c>
      <c r="H2816" t="inlineStr">
        <is>
          <t>Long Range</t>
        </is>
      </c>
      <c r="I2816" t="inlineStr">
        <is>
          <t>RWD</t>
        </is>
      </c>
      <c r="J2816" t="inlineStr">
        <is>
          <t>Silver</t>
        </is>
      </c>
      <c r="K2816" t="n">
        <v>542</v>
      </c>
      <c r="L2816" t="n">
        <v>56</v>
      </c>
      <c r="M2816" t="n">
        <v>21.13</v>
      </c>
      <c r="N2816" t="n">
        <v>1808.86</v>
      </c>
      <c r="O2816" t="n">
        <v>3.66</v>
      </c>
      <c r="P2816" t="n">
        <v>4</v>
      </c>
      <c r="Q2816" t="n">
        <v>1</v>
      </c>
      <c r="R2816" t="n">
        <v>2022.9</v>
      </c>
      <c r="S2816" t="b">
        <v>0</v>
      </c>
      <c r="T2816" t="n">
        <v>2955345</v>
      </c>
      <c r="U2816" t="n">
        <v>6</v>
      </c>
      <c r="V2816" t="n">
        <v>0.0392</v>
      </c>
      <c r="W2816" t="n">
        <v>1.34</v>
      </c>
      <c r="X2816" t="n">
        <v>77</v>
      </c>
      <c r="Y2816">
        <f>VLOOKUP(D2816,$AB$2:$AC$7,2,FALSE)</f>
        <v/>
      </c>
      <c r="Z2816">
        <f>IF(A2816&lt;Y2816,"Yes","No")</f>
        <v/>
      </c>
    </row>
    <row r="2817">
      <c r="A2817" t="n">
        <v>2015</v>
      </c>
      <c r="B2817" t="inlineStr">
        <is>
          <t>Q2</t>
        </is>
      </c>
      <c r="C2817" t="inlineStr">
        <is>
          <t>Australia</t>
        </is>
      </c>
      <c r="D2817" t="inlineStr">
        <is>
          <t>Model 3</t>
        </is>
      </c>
      <c r="E2817" t="n">
        <v>1834</v>
      </c>
      <c r="F2817" t="n">
        <v>57149.08</v>
      </c>
      <c r="G2817" t="n">
        <v>43</v>
      </c>
      <c r="H2817" t="inlineStr">
        <is>
          <t>Long Range</t>
        </is>
      </c>
      <c r="I2817" t="inlineStr">
        <is>
          <t>AWD</t>
        </is>
      </c>
      <c r="J2817" t="inlineStr">
        <is>
          <t>Silver</t>
        </is>
      </c>
      <c r="K2817" t="n">
        <v>692</v>
      </c>
      <c r="L2817" t="n">
        <v>34</v>
      </c>
      <c r="M2817" t="n">
        <v>13.86</v>
      </c>
      <c r="N2817" t="n">
        <v>2655.45</v>
      </c>
      <c r="O2817" t="n">
        <v>4.97</v>
      </c>
      <c r="P2817" t="n">
        <v>8</v>
      </c>
      <c r="Q2817" t="n">
        <v>3</v>
      </c>
      <c r="R2817" t="n">
        <v>2020.12</v>
      </c>
      <c r="S2817" t="b">
        <v>0</v>
      </c>
      <c r="T2817" t="n">
        <v>2666136</v>
      </c>
      <c r="U2817" t="n">
        <v>12</v>
      </c>
      <c r="V2817" t="n">
        <v>0.0482</v>
      </c>
      <c r="W2817" t="n">
        <v>1.25</v>
      </c>
      <c r="X2817" t="n">
        <v>80.02</v>
      </c>
      <c r="Y2817">
        <f>VLOOKUP(D2817,$AB$2:$AC$7,2,FALSE)</f>
        <v/>
      </c>
      <c r="Z2817">
        <f>IF(A2817&lt;Y2817,"Yes","No")</f>
        <v/>
      </c>
    </row>
    <row r="2818">
      <c r="A2818" t="n">
        <v>2021</v>
      </c>
      <c r="B2818" t="inlineStr">
        <is>
          <t>Q1</t>
        </is>
      </c>
      <c r="C2818" t="inlineStr">
        <is>
          <t>South America</t>
        </is>
      </c>
      <c r="D2818" t="inlineStr">
        <is>
          <t>Semi</t>
        </is>
      </c>
      <c r="E2818" t="n">
        <v>2920</v>
      </c>
      <c r="F2818" t="n">
        <v>75000.52</v>
      </c>
      <c r="G2818" t="n">
        <v>3</v>
      </c>
      <c r="H2818" t="inlineStr">
        <is>
          <t>Long Range</t>
        </is>
      </c>
      <c r="I2818" t="inlineStr">
        <is>
          <t>AWD</t>
        </is>
      </c>
      <c r="J2818" t="inlineStr">
        <is>
          <t>Blue</t>
        </is>
      </c>
      <c r="K2818" t="n">
        <v>409</v>
      </c>
      <c r="L2818" t="n">
        <v>36</v>
      </c>
      <c r="M2818" t="n">
        <v>16.08</v>
      </c>
      <c r="N2818" t="n">
        <v>1542.81</v>
      </c>
      <c r="O2818" t="n">
        <v>3.76</v>
      </c>
      <c r="P2818" t="n">
        <v>5</v>
      </c>
      <c r="Q2818" t="n">
        <v>2</v>
      </c>
      <c r="R2818" t="n">
        <v>2024.7</v>
      </c>
      <c r="S2818" t="b">
        <v>1</v>
      </c>
      <c r="T2818" t="n">
        <v>3262620</v>
      </c>
      <c r="U2818" t="n">
        <v>7</v>
      </c>
      <c r="V2818" t="n">
        <v>0.0569</v>
      </c>
      <c r="W2818" t="n">
        <v>2.21</v>
      </c>
      <c r="X2818" t="n">
        <v>65.20999999999999</v>
      </c>
      <c r="Y2818">
        <f>VLOOKUP(D2818,$AB$2:$AC$7,2,FALSE)</f>
        <v/>
      </c>
      <c r="Z2818">
        <f>IF(A2818&lt;Y2818,"Yes","No")</f>
        <v/>
      </c>
    </row>
    <row r="2819">
      <c r="A2819" t="n">
        <v>2024</v>
      </c>
      <c r="B2819" t="inlineStr">
        <is>
          <t>Q3</t>
        </is>
      </c>
      <c r="C2819" t="inlineStr">
        <is>
          <t>North America</t>
        </is>
      </c>
      <c r="D2819" t="inlineStr">
        <is>
          <t>Cybertruck</t>
        </is>
      </c>
      <c r="E2819" t="n">
        <v>2514</v>
      </c>
      <c r="F2819" t="n">
        <v>59539.76</v>
      </c>
      <c r="G2819" t="n">
        <v>27</v>
      </c>
      <c r="H2819" t="inlineStr">
        <is>
          <t>Standard</t>
        </is>
      </c>
      <c r="I2819" t="inlineStr">
        <is>
          <t>RWD</t>
        </is>
      </c>
      <c r="J2819" t="inlineStr">
        <is>
          <t>Silver</t>
        </is>
      </c>
      <c r="K2819" t="n">
        <v>613</v>
      </c>
      <c r="L2819" t="n">
        <v>81</v>
      </c>
      <c r="M2819" t="n">
        <v>24.81</v>
      </c>
      <c r="N2819" t="n">
        <v>3941.05</v>
      </c>
      <c r="O2819" t="n">
        <v>4.55</v>
      </c>
      <c r="P2819" t="n">
        <v>8</v>
      </c>
      <c r="Q2819" t="n">
        <v>0</v>
      </c>
      <c r="R2819" t="n">
        <v>2024.2</v>
      </c>
      <c r="S2819" t="b">
        <v>0</v>
      </c>
      <c r="T2819" t="n">
        <v>2484217</v>
      </c>
      <c r="U2819" t="n">
        <v>7</v>
      </c>
      <c r="V2819" t="n">
        <v>0.0496</v>
      </c>
      <c r="W2819" t="n">
        <v>1.13</v>
      </c>
      <c r="X2819" t="n">
        <v>72.08</v>
      </c>
      <c r="Y2819">
        <f>VLOOKUP(D2819,$AB$2:$AC$7,2,FALSE)</f>
        <v/>
      </c>
      <c r="Z2819">
        <f>IF(A2819&lt;Y2819,"Yes","No")</f>
        <v/>
      </c>
    </row>
    <row r="2820">
      <c r="A2820" t="n">
        <v>2014</v>
      </c>
      <c r="B2820" t="inlineStr">
        <is>
          <t>Q4</t>
        </is>
      </c>
      <c r="C2820" t="inlineStr">
        <is>
          <t>Europe</t>
        </is>
      </c>
      <c r="D2820" t="inlineStr">
        <is>
          <t>Model Y</t>
        </is>
      </c>
      <c r="E2820" t="n">
        <v>4952</v>
      </c>
      <c r="F2820" t="n">
        <v>94337.34</v>
      </c>
      <c r="G2820" t="n">
        <v>0</v>
      </c>
      <c r="H2820" t="inlineStr">
        <is>
          <t>Performance</t>
        </is>
      </c>
      <c r="I2820" t="inlineStr">
        <is>
          <t>AWD</t>
        </is>
      </c>
      <c r="J2820" t="inlineStr">
        <is>
          <t>Silver</t>
        </is>
      </c>
      <c r="K2820" t="n">
        <v>647</v>
      </c>
      <c r="L2820" t="n">
        <v>72</v>
      </c>
      <c r="M2820" t="n">
        <v>18.72</v>
      </c>
      <c r="N2820" t="n">
        <v>11794.42</v>
      </c>
      <c r="O2820" t="n">
        <v>3.85</v>
      </c>
      <c r="P2820" t="n">
        <v>4</v>
      </c>
      <c r="Q2820" t="n">
        <v>1</v>
      </c>
      <c r="R2820" t="n">
        <v>2023.6</v>
      </c>
      <c r="S2820" t="b">
        <v>1</v>
      </c>
      <c r="T2820" t="n">
        <v>4002002</v>
      </c>
      <c r="U2820" t="n">
        <v>9</v>
      </c>
      <c r="V2820" t="n">
        <v>0.0347</v>
      </c>
      <c r="W2820" t="n">
        <v>1.38</v>
      </c>
      <c r="X2820" t="n">
        <v>88.5</v>
      </c>
      <c r="Y2820">
        <f>VLOOKUP(D2820,$AB$2:$AC$7,2,FALSE)</f>
        <v/>
      </c>
      <c r="Z2820">
        <f>IF(A2820&lt;Y2820,"Yes","No")</f>
        <v/>
      </c>
    </row>
    <row r="2821">
      <c r="A2821" t="n">
        <v>2015</v>
      </c>
      <c r="B2821" t="inlineStr">
        <is>
          <t>Q2</t>
        </is>
      </c>
      <c r="C2821" t="inlineStr">
        <is>
          <t>Asia</t>
        </is>
      </c>
      <c r="D2821" t="inlineStr">
        <is>
          <t>Model S</t>
        </is>
      </c>
      <c r="E2821" t="n">
        <v>4691</v>
      </c>
      <c r="F2821" t="n">
        <v>95083.62</v>
      </c>
      <c r="G2821" t="n">
        <v>29</v>
      </c>
      <c r="H2821" t="inlineStr">
        <is>
          <t>Standard</t>
        </is>
      </c>
      <c r="I2821" t="inlineStr">
        <is>
          <t>RWD</t>
        </is>
      </c>
      <c r="J2821" t="inlineStr">
        <is>
          <t>White</t>
        </is>
      </c>
      <c r="K2821" t="n">
        <v>522</v>
      </c>
      <c r="L2821" t="n">
        <v>80</v>
      </c>
      <c r="M2821" t="n">
        <v>13.36</v>
      </c>
      <c r="N2821" t="n">
        <v>8865.51</v>
      </c>
      <c r="O2821" t="n">
        <v>4.51</v>
      </c>
      <c r="P2821" t="n">
        <v>5</v>
      </c>
      <c r="Q2821" t="n">
        <v>1</v>
      </c>
      <c r="R2821" t="n">
        <v>2021.5</v>
      </c>
      <c r="S2821" t="b">
        <v>1</v>
      </c>
      <c r="T2821" t="n">
        <v>848526</v>
      </c>
      <c r="U2821" t="n">
        <v>9</v>
      </c>
      <c r="V2821" t="n">
        <v>0.07530000000000001</v>
      </c>
      <c r="W2821" t="n">
        <v>2.45</v>
      </c>
      <c r="X2821" t="n">
        <v>74.59999999999999</v>
      </c>
      <c r="Y2821">
        <f>VLOOKUP(D2821,$AB$2:$AC$7,2,FALSE)</f>
        <v/>
      </c>
      <c r="Z2821">
        <f>IF(A2821&lt;Y2821,"Yes","No")</f>
        <v/>
      </c>
    </row>
    <row r="2822">
      <c r="A2822" t="n">
        <v>2016</v>
      </c>
      <c r="B2822" t="inlineStr">
        <is>
          <t>Q4</t>
        </is>
      </c>
      <c r="C2822" t="inlineStr">
        <is>
          <t>Europe</t>
        </is>
      </c>
      <c r="D2822" t="inlineStr">
        <is>
          <t>Model S</t>
        </is>
      </c>
      <c r="E2822" t="n">
        <v>4154</v>
      </c>
      <c r="F2822" t="n">
        <v>118256.41</v>
      </c>
      <c r="G2822" t="n">
        <v>22</v>
      </c>
      <c r="H2822" t="inlineStr">
        <is>
          <t>Standard</t>
        </is>
      </c>
      <c r="I2822" t="inlineStr">
        <is>
          <t>RWD</t>
        </is>
      </c>
      <c r="J2822" t="inlineStr">
        <is>
          <t>Red</t>
        </is>
      </c>
      <c r="K2822" t="n">
        <v>424</v>
      </c>
      <c r="L2822" t="n">
        <v>55</v>
      </c>
      <c r="M2822" t="n">
        <v>23.73</v>
      </c>
      <c r="N2822" t="n">
        <v>8941.219999999999</v>
      </c>
      <c r="O2822" t="n">
        <v>3.57</v>
      </c>
      <c r="P2822" t="n">
        <v>6</v>
      </c>
      <c r="Q2822" t="n">
        <v>2</v>
      </c>
      <c r="R2822" t="n">
        <v>2021.7</v>
      </c>
      <c r="S2822" t="b">
        <v>1</v>
      </c>
      <c r="T2822" t="n">
        <v>1519548</v>
      </c>
      <c r="U2822" t="n">
        <v>5</v>
      </c>
      <c r="V2822" t="n">
        <v>0.09279999999999999</v>
      </c>
      <c r="W2822" t="n">
        <v>0.59</v>
      </c>
      <c r="X2822" t="n">
        <v>81.08</v>
      </c>
      <c r="Y2822">
        <f>VLOOKUP(D2822,$AB$2:$AC$7,2,FALSE)</f>
        <v/>
      </c>
      <c r="Z2822">
        <f>IF(A2822&lt;Y2822,"Yes","No")</f>
        <v/>
      </c>
    </row>
    <row r="2823">
      <c r="A2823" t="n">
        <v>2024</v>
      </c>
      <c r="B2823" t="inlineStr">
        <is>
          <t>Q3</t>
        </is>
      </c>
      <c r="C2823" t="inlineStr">
        <is>
          <t>Australia</t>
        </is>
      </c>
      <c r="D2823" t="inlineStr">
        <is>
          <t>Model Y</t>
        </is>
      </c>
      <c r="E2823" t="n">
        <v>4263</v>
      </c>
      <c r="F2823" t="n">
        <v>93444.85000000001</v>
      </c>
      <c r="G2823" t="n">
        <v>18</v>
      </c>
      <c r="H2823" t="inlineStr">
        <is>
          <t>Long Range</t>
        </is>
      </c>
      <c r="I2823" t="inlineStr">
        <is>
          <t>AWD</t>
        </is>
      </c>
      <c r="J2823" t="inlineStr">
        <is>
          <t>Red</t>
        </is>
      </c>
      <c r="K2823" t="n">
        <v>540</v>
      </c>
      <c r="L2823" t="n">
        <v>83</v>
      </c>
      <c r="M2823" t="n">
        <v>16.48</v>
      </c>
      <c r="N2823" t="n">
        <v>2289.31</v>
      </c>
      <c r="O2823" t="n">
        <v>4.55</v>
      </c>
      <c r="P2823" t="n">
        <v>4</v>
      </c>
      <c r="Q2823" t="n">
        <v>3</v>
      </c>
      <c r="R2823" t="n">
        <v>2023.9</v>
      </c>
      <c r="S2823" t="b">
        <v>1</v>
      </c>
      <c r="T2823" t="n">
        <v>4041851</v>
      </c>
      <c r="U2823" t="n">
        <v>4</v>
      </c>
      <c r="V2823" t="n">
        <v>0.0459</v>
      </c>
      <c r="W2823" t="n">
        <v>1.99</v>
      </c>
      <c r="X2823" t="n">
        <v>61.39</v>
      </c>
      <c r="Y2823">
        <f>VLOOKUP(D2823,$AB$2:$AC$7,2,FALSE)</f>
        <v/>
      </c>
      <c r="Z2823">
        <f>IF(A2823&lt;Y2823,"Yes","No")</f>
        <v/>
      </c>
    </row>
    <row r="2824">
      <c r="A2824" t="n">
        <v>2024</v>
      </c>
      <c r="B2824" t="inlineStr">
        <is>
          <t>Q1</t>
        </is>
      </c>
      <c r="C2824" t="inlineStr">
        <is>
          <t>Asia</t>
        </is>
      </c>
      <c r="D2824" t="inlineStr">
        <is>
          <t>Cybertruck</t>
        </is>
      </c>
      <c r="E2824" t="n">
        <v>3641</v>
      </c>
      <c r="F2824" t="n">
        <v>103894.26</v>
      </c>
      <c r="G2824" t="n">
        <v>28</v>
      </c>
      <c r="H2824" t="inlineStr">
        <is>
          <t>Performance</t>
        </is>
      </c>
      <c r="I2824" t="inlineStr">
        <is>
          <t>RWD</t>
        </is>
      </c>
      <c r="J2824" t="inlineStr">
        <is>
          <t>Red</t>
        </is>
      </c>
      <c r="K2824" t="n">
        <v>631</v>
      </c>
      <c r="L2824" t="n">
        <v>88</v>
      </c>
      <c r="M2824" t="n">
        <v>13.89</v>
      </c>
      <c r="N2824" t="n">
        <v>5483.95</v>
      </c>
      <c r="O2824" t="n">
        <v>4.8</v>
      </c>
      <c r="P2824" t="n">
        <v>8</v>
      </c>
      <c r="Q2824" t="n">
        <v>0</v>
      </c>
      <c r="R2824" t="n">
        <v>2022.12</v>
      </c>
      <c r="S2824" t="b">
        <v>1</v>
      </c>
      <c r="T2824" t="n">
        <v>1723726</v>
      </c>
      <c r="U2824" t="n">
        <v>3</v>
      </c>
      <c r="V2824" t="n">
        <v>0.0631</v>
      </c>
      <c r="W2824" t="n">
        <v>1.55</v>
      </c>
      <c r="X2824" t="n">
        <v>82.2</v>
      </c>
      <c r="Y2824">
        <f>VLOOKUP(D2824,$AB$2:$AC$7,2,FALSE)</f>
        <v/>
      </c>
      <c r="Z2824">
        <f>IF(A2824&lt;Y2824,"Yes","No")</f>
        <v/>
      </c>
    </row>
    <row r="2825">
      <c r="A2825" t="n">
        <v>2020</v>
      </c>
      <c r="B2825" t="inlineStr">
        <is>
          <t>Q2</t>
        </is>
      </c>
      <c r="C2825" t="inlineStr">
        <is>
          <t>Australia</t>
        </is>
      </c>
      <c r="D2825" t="inlineStr">
        <is>
          <t>Model Y</t>
        </is>
      </c>
      <c r="E2825" t="n">
        <v>1843</v>
      </c>
      <c r="F2825" t="n">
        <v>57958.12</v>
      </c>
      <c r="G2825" t="n">
        <v>50</v>
      </c>
      <c r="H2825" t="inlineStr">
        <is>
          <t>Performance</t>
        </is>
      </c>
      <c r="I2825" t="inlineStr">
        <is>
          <t>RWD</t>
        </is>
      </c>
      <c r="J2825" t="inlineStr">
        <is>
          <t>Blue</t>
        </is>
      </c>
      <c r="K2825" t="n">
        <v>469</v>
      </c>
      <c r="L2825" t="n">
        <v>53</v>
      </c>
      <c r="M2825" t="n">
        <v>18.36</v>
      </c>
      <c r="N2825" t="n">
        <v>1306.41</v>
      </c>
      <c r="O2825" t="n">
        <v>4.7</v>
      </c>
      <c r="P2825" t="n">
        <v>8</v>
      </c>
      <c r="Q2825" t="n">
        <v>1</v>
      </c>
      <c r="R2825" t="n">
        <v>2022.5</v>
      </c>
      <c r="S2825" t="b">
        <v>0</v>
      </c>
      <c r="T2825" t="n">
        <v>2036847</v>
      </c>
      <c r="U2825" t="n">
        <v>9</v>
      </c>
      <c r="V2825" t="n">
        <v>0.0357</v>
      </c>
      <c r="W2825" t="n">
        <v>1.42</v>
      </c>
      <c r="X2825" t="n">
        <v>69.34</v>
      </c>
      <c r="Y2825">
        <f>VLOOKUP(D2825,$AB$2:$AC$7,2,FALSE)</f>
        <v/>
      </c>
      <c r="Z2825">
        <f>IF(A2825&lt;Y2825,"Yes","No")</f>
        <v/>
      </c>
    </row>
    <row r="2826">
      <c r="A2826" t="n">
        <v>2023</v>
      </c>
      <c r="B2826" t="inlineStr">
        <is>
          <t>Q4</t>
        </is>
      </c>
      <c r="C2826" t="inlineStr">
        <is>
          <t>Europe</t>
        </is>
      </c>
      <c r="D2826" t="inlineStr">
        <is>
          <t>Model Y</t>
        </is>
      </c>
      <c r="E2826" t="n">
        <v>2213</v>
      </c>
      <c r="F2826" t="n">
        <v>114907.86</v>
      </c>
      <c r="G2826" t="n">
        <v>47</v>
      </c>
      <c r="H2826" t="inlineStr">
        <is>
          <t>Long Range</t>
        </is>
      </c>
      <c r="I2826" t="inlineStr">
        <is>
          <t>AWD</t>
        </is>
      </c>
      <c r="J2826" t="inlineStr">
        <is>
          <t>Red</t>
        </is>
      </c>
      <c r="K2826" t="n">
        <v>683</v>
      </c>
      <c r="L2826" t="n">
        <v>82</v>
      </c>
      <c r="M2826" t="n">
        <v>20.2</v>
      </c>
      <c r="N2826" t="n">
        <v>1220.95</v>
      </c>
      <c r="O2826" t="n">
        <v>3.61</v>
      </c>
      <c r="P2826" t="n">
        <v>5</v>
      </c>
      <c r="Q2826" t="n">
        <v>1</v>
      </c>
      <c r="R2826" t="n">
        <v>2023.8</v>
      </c>
      <c r="S2826" t="b">
        <v>1</v>
      </c>
      <c r="T2826" t="n">
        <v>1316506</v>
      </c>
      <c r="U2826" t="n">
        <v>3</v>
      </c>
      <c r="V2826" t="n">
        <v>0.0398</v>
      </c>
      <c r="W2826" t="n">
        <v>1.04</v>
      </c>
      <c r="X2826" t="n">
        <v>83.93000000000001</v>
      </c>
      <c r="Y2826">
        <f>VLOOKUP(D2826,$AB$2:$AC$7,2,FALSE)</f>
        <v/>
      </c>
      <c r="Z2826">
        <f>IF(A2826&lt;Y2826,"Yes","No")</f>
        <v/>
      </c>
    </row>
    <row r="2827">
      <c r="A2827" t="n">
        <v>2014</v>
      </c>
      <c r="B2827" t="inlineStr">
        <is>
          <t>Q2</t>
        </is>
      </c>
      <c r="C2827" t="inlineStr">
        <is>
          <t>Australia</t>
        </is>
      </c>
      <c r="D2827" t="inlineStr">
        <is>
          <t>Model 3</t>
        </is>
      </c>
      <c r="E2827" t="n">
        <v>4875</v>
      </c>
      <c r="F2827" t="n">
        <v>93090.02</v>
      </c>
      <c r="G2827" t="n">
        <v>28</v>
      </c>
      <c r="H2827" t="inlineStr">
        <is>
          <t>Long Range</t>
        </is>
      </c>
      <c r="I2827" t="inlineStr">
        <is>
          <t>AWD</t>
        </is>
      </c>
      <c r="J2827" t="inlineStr">
        <is>
          <t>White</t>
        </is>
      </c>
      <c r="K2827" t="n">
        <v>697</v>
      </c>
      <c r="L2827" t="n">
        <v>36</v>
      </c>
      <c r="M2827" t="n">
        <v>16.01</v>
      </c>
      <c r="N2827" t="n">
        <v>9269.799999999999</v>
      </c>
      <c r="O2827" t="n">
        <v>4.88</v>
      </c>
      <c r="P2827" t="n">
        <v>8</v>
      </c>
      <c r="Q2827" t="n">
        <v>0</v>
      </c>
      <c r="R2827" t="n">
        <v>2021.7</v>
      </c>
      <c r="S2827" t="b">
        <v>0</v>
      </c>
      <c r="T2827" t="n">
        <v>1732900</v>
      </c>
      <c r="U2827" t="n">
        <v>4</v>
      </c>
      <c r="V2827" t="n">
        <v>0.0319</v>
      </c>
      <c r="W2827" t="n">
        <v>1.63</v>
      </c>
      <c r="X2827" t="n">
        <v>86.45999999999999</v>
      </c>
      <c r="Y2827">
        <f>VLOOKUP(D2827,$AB$2:$AC$7,2,FALSE)</f>
        <v/>
      </c>
      <c r="Z2827">
        <f>IF(A2827&lt;Y2827,"Yes","No")</f>
        <v/>
      </c>
    </row>
    <row r="2828">
      <c r="A2828" t="n">
        <v>2012</v>
      </c>
      <c r="B2828" t="inlineStr">
        <is>
          <t>Q4</t>
        </is>
      </c>
      <c r="C2828" t="inlineStr">
        <is>
          <t>Europe</t>
        </is>
      </c>
      <c r="D2828" t="inlineStr">
        <is>
          <t>Model 3</t>
        </is>
      </c>
      <c r="E2828" t="n">
        <v>4193</v>
      </c>
      <c r="F2828" t="n">
        <v>73900.63</v>
      </c>
      <c r="G2828" t="n">
        <v>20</v>
      </c>
      <c r="H2828" t="inlineStr">
        <is>
          <t>Long Range</t>
        </is>
      </c>
      <c r="I2828" t="inlineStr">
        <is>
          <t>RWD</t>
        </is>
      </c>
      <c r="J2828" t="inlineStr">
        <is>
          <t>Green</t>
        </is>
      </c>
      <c r="K2828" t="n">
        <v>606</v>
      </c>
      <c r="L2828" t="n">
        <v>48</v>
      </c>
      <c r="M2828" t="n">
        <v>13.45</v>
      </c>
      <c r="N2828" t="n">
        <v>2227.04</v>
      </c>
      <c r="O2828" t="n">
        <v>3.72</v>
      </c>
      <c r="P2828" t="n">
        <v>4</v>
      </c>
      <c r="Q2828" t="n">
        <v>3</v>
      </c>
      <c r="R2828" t="n">
        <v>2024.12</v>
      </c>
      <c r="S2828" t="b">
        <v>0</v>
      </c>
      <c r="T2828" t="n">
        <v>3951297</v>
      </c>
      <c r="U2828" t="n">
        <v>8</v>
      </c>
      <c r="V2828" t="n">
        <v>0.07389999999999999</v>
      </c>
      <c r="W2828" t="n">
        <v>0.64</v>
      </c>
      <c r="X2828" t="n">
        <v>77.14</v>
      </c>
      <c r="Y2828">
        <f>VLOOKUP(D2828,$AB$2:$AC$7,2,FALSE)</f>
        <v/>
      </c>
      <c r="Z2828">
        <f>IF(A2828&lt;Y2828,"Yes","No")</f>
        <v/>
      </c>
    </row>
    <row r="2829">
      <c r="A2829" t="n">
        <v>2023</v>
      </c>
      <c r="B2829" t="inlineStr">
        <is>
          <t>Q4</t>
        </is>
      </c>
      <c r="C2829" t="inlineStr">
        <is>
          <t>Australia</t>
        </is>
      </c>
      <c r="D2829" t="inlineStr">
        <is>
          <t>Semi</t>
        </is>
      </c>
      <c r="E2829" t="n">
        <v>3672</v>
      </c>
      <c r="F2829" t="n">
        <v>83645.86</v>
      </c>
      <c r="G2829" t="n">
        <v>52</v>
      </c>
      <c r="H2829" t="inlineStr">
        <is>
          <t>Performance</t>
        </is>
      </c>
      <c r="I2829" t="inlineStr">
        <is>
          <t>AWD</t>
        </is>
      </c>
      <c r="J2829" t="inlineStr">
        <is>
          <t>Blue</t>
        </is>
      </c>
      <c r="K2829" t="n">
        <v>625</v>
      </c>
      <c r="L2829" t="n">
        <v>73</v>
      </c>
      <c r="M2829" t="n">
        <v>24.24</v>
      </c>
      <c r="N2829" t="n">
        <v>4689.96</v>
      </c>
      <c r="O2829" t="n">
        <v>4.57</v>
      </c>
      <c r="P2829" t="n">
        <v>8</v>
      </c>
      <c r="Q2829" t="n">
        <v>0</v>
      </c>
      <c r="R2829" t="n">
        <v>2024.8</v>
      </c>
      <c r="S2829" t="b">
        <v>1</v>
      </c>
      <c r="T2829" t="n">
        <v>237390</v>
      </c>
      <c r="U2829" t="n">
        <v>9</v>
      </c>
      <c r="V2829" t="n">
        <v>0.0693</v>
      </c>
      <c r="W2829" t="n">
        <v>1.96</v>
      </c>
      <c r="X2829" t="n">
        <v>75.34999999999999</v>
      </c>
      <c r="Y2829">
        <f>VLOOKUP(D2829,$AB$2:$AC$7,2,FALSE)</f>
        <v/>
      </c>
      <c r="Z2829">
        <f>IF(A2829&lt;Y2829,"Yes","No")</f>
        <v/>
      </c>
    </row>
    <row r="2830">
      <c r="A2830" t="n">
        <v>2015</v>
      </c>
      <c r="B2830" t="inlineStr">
        <is>
          <t>Q2</t>
        </is>
      </c>
      <c r="C2830" t="inlineStr">
        <is>
          <t>South America</t>
        </is>
      </c>
      <c r="D2830" t="inlineStr">
        <is>
          <t>Model S</t>
        </is>
      </c>
      <c r="E2830" t="n">
        <v>157</v>
      </c>
      <c r="F2830" t="n">
        <v>44190.71</v>
      </c>
      <c r="G2830" t="n">
        <v>48</v>
      </c>
      <c r="H2830" t="inlineStr">
        <is>
          <t>Standard</t>
        </is>
      </c>
      <c r="I2830" t="inlineStr">
        <is>
          <t>RWD</t>
        </is>
      </c>
      <c r="J2830" t="inlineStr">
        <is>
          <t>Black</t>
        </is>
      </c>
      <c r="K2830" t="n">
        <v>493</v>
      </c>
      <c r="L2830" t="n">
        <v>30</v>
      </c>
      <c r="M2830" t="n">
        <v>19.09</v>
      </c>
      <c r="N2830" t="n">
        <v>138.45</v>
      </c>
      <c r="O2830" t="n">
        <v>4.41</v>
      </c>
      <c r="P2830" t="n">
        <v>5</v>
      </c>
      <c r="Q2830" t="n">
        <v>3</v>
      </c>
      <c r="R2830" t="n">
        <v>2022.7</v>
      </c>
      <c r="S2830" t="b">
        <v>0</v>
      </c>
      <c r="T2830" t="n">
        <v>2498373</v>
      </c>
      <c r="U2830" t="n">
        <v>6</v>
      </c>
      <c r="V2830" t="n">
        <v>0.0934</v>
      </c>
      <c r="W2830" t="n">
        <v>1.32</v>
      </c>
      <c r="X2830" t="n">
        <v>86.55</v>
      </c>
      <c r="Y2830">
        <f>VLOOKUP(D2830,$AB$2:$AC$7,2,FALSE)</f>
        <v/>
      </c>
      <c r="Z2830">
        <f>IF(A2830&lt;Y2830,"Yes","No")</f>
        <v/>
      </c>
    </row>
    <row r="2831">
      <c r="A2831" t="n">
        <v>2023</v>
      </c>
      <c r="B2831" t="inlineStr">
        <is>
          <t>Q2</t>
        </is>
      </c>
      <c r="C2831" t="inlineStr">
        <is>
          <t>Europe</t>
        </is>
      </c>
      <c r="D2831" t="inlineStr">
        <is>
          <t>Semi</t>
        </is>
      </c>
      <c r="E2831" t="n">
        <v>2744</v>
      </c>
      <c r="F2831" t="n">
        <v>36909.54</v>
      </c>
      <c r="G2831" t="n">
        <v>19</v>
      </c>
      <c r="H2831" t="inlineStr">
        <is>
          <t>Performance</t>
        </is>
      </c>
      <c r="I2831" t="inlineStr">
        <is>
          <t>RWD</t>
        </is>
      </c>
      <c r="J2831" t="inlineStr">
        <is>
          <t>Blue</t>
        </is>
      </c>
      <c r="K2831" t="n">
        <v>617</v>
      </c>
      <c r="L2831" t="n">
        <v>85</v>
      </c>
      <c r="M2831" t="n">
        <v>19.25</v>
      </c>
      <c r="N2831" t="n">
        <v>4997.25</v>
      </c>
      <c r="O2831" t="n">
        <v>4.25</v>
      </c>
      <c r="P2831" t="n">
        <v>4</v>
      </c>
      <c r="Q2831" t="n">
        <v>2</v>
      </c>
      <c r="R2831" t="n">
        <v>2024.6</v>
      </c>
      <c r="S2831" t="b">
        <v>0</v>
      </c>
      <c r="T2831" t="n">
        <v>4119400</v>
      </c>
      <c r="U2831" t="n">
        <v>6</v>
      </c>
      <c r="V2831" t="n">
        <v>0.0263</v>
      </c>
      <c r="W2831" t="n">
        <v>0.5600000000000001</v>
      </c>
      <c r="X2831" t="n">
        <v>76</v>
      </c>
      <c r="Y2831">
        <f>VLOOKUP(D2831,$AB$2:$AC$7,2,FALSE)</f>
        <v/>
      </c>
      <c r="Z2831">
        <f>IF(A2831&lt;Y2831,"Yes","No")</f>
        <v/>
      </c>
    </row>
    <row r="2832">
      <c r="A2832" t="n">
        <v>2021</v>
      </c>
      <c r="B2832" t="inlineStr">
        <is>
          <t>Q2</t>
        </is>
      </c>
      <c r="C2832" t="inlineStr">
        <is>
          <t>Europe</t>
        </is>
      </c>
      <c r="D2832" t="inlineStr">
        <is>
          <t>Model X</t>
        </is>
      </c>
      <c r="E2832" t="n">
        <v>1859</v>
      </c>
      <c r="F2832" t="n">
        <v>91255.14999999999</v>
      </c>
      <c r="G2832" t="n">
        <v>55</v>
      </c>
      <c r="H2832" t="inlineStr">
        <is>
          <t>Standard</t>
        </is>
      </c>
      <c r="I2832" t="inlineStr">
        <is>
          <t>RWD</t>
        </is>
      </c>
      <c r="J2832" t="inlineStr">
        <is>
          <t>Black</t>
        </is>
      </c>
      <c r="K2832" t="n">
        <v>495</v>
      </c>
      <c r="L2832" t="n">
        <v>42</v>
      </c>
      <c r="M2832" t="n">
        <v>21.11</v>
      </c>
      <c r="N2832" t="n">
        <v>3381.26</v>
      </c>
      <c r="O2832" t="n">
        <v>3.59</v>
      </c>
      <c r="P2832" t="n">
        <v>4</v>
      </c>
      <c r="Q2832" t="n">
        <v>1</v>
      </c>
      <c r="R2832" t="n">
        <v>2023.3</v>
      </c>
      <c r="S2832" t="b">
        <v>0</v>
      </c>
      <c r="T2832" t="n">
        <v>1416276</v>
      </c>
      <c r="U2832" t="n">
        <v>10</v>
      </c>
      <c r="V2832" t="n">
        <v>0.0597</v>
      </c>
      <c r="W2832" t="n">
        <v>1.09</v>
      </c>
      <c r="X2832" t="n">
        <v>60.96</v>
      </c>
      <c r="Y2832">
        <f>VLOOKUP(D2832,$AB$2:$AC$7,2,FALSE)</f>
        <v/>
      </c>
      <c r="Z2832">
        <f>IF(A2832&lt;Y2832,"Yes","No")</f>
        <v/>
      </c>
    </row>
    <row r="2833">
      <c r="A2833" t="n">
        <v>2023</v>
      </c>
      <c r="B2833" t="inlineStr">
        <is>
          <t>Q4</t>
        </is>
      </c>
      <c r="C2833" t="inlineStr">
        <is>
          <t>South America</t>
        </is>
      </c>
      <c r="D2833" t="inlineStr">
        <is>
          <t>Model Y</t>
        </is>
      </c>
      <c r="E2833" t="n">
        <v>2642</v>
      </c>
      <c r="F2833" t="n">
        <v>76794.17</v>
      </c>
      <c r="G2833" t="n">
        <v>33</v>
      </c>
      <c r="H2833" t="inlineStr">
        <is>
          <t>Performance</t>
        </is>
      </c>
      <c r="I2833" t="inlineStr">
        <is>
          <t>RWD</t>
        </is>
      </c>
      <c r="J2833" t="inlineStr">
        <is>
          <t>Black</t>
        </is>
      </c>
      <c r="K2833" t="n">
        <v>671</v>
      </c>
      <c r="L2833" t="n">
        <v>59</v>
      </c>
      <c r="M2833" t="n">
        <v>16.78</v>
      </c>
      <c r="N2833" t="n">
        <v>6286.3</v>
      </c>
      <c r="O2833" t="n">
        <v>3.76</v>
      </c>
      <c r="P2833" t="n">
        <v>5</v>
      </c>
      <c r="Q2833" t="n">
        <v>0</v>
      </c>
      <c r="R2833" t="n">
        <v>2023.3</v>
      </c>
      <c r="S2833" t="b">
        <v>1</v>
      </c>
      <c r="T2833" t="n">
        <v>2764756</v>
      </c>
      <c r="U2833" t="n">
        <v>11</v>
      </c>
      <c r="V2833" t="n">
        <v>0.0712</v>
      </c>
      <c r="W2833" t="n">
        <v>1.77</v>
      </c>
      <c r="X2833" t="n">
        <v>61.43</v>
      </c>
      <c r="Y2833">
        <f>VLOOKUP(D2833,$AB$2:$AC$7,2,FALSE)</f>
        <v/>
      </c>
      <c r="Z2833">
        <f>IF(A2833&lt;Y2833,"Yes","No")</f>
        <v/>
      </c>
    </row>
    <row r="2834">
      <c r="A2834" t="n">
        <v>2018</v>
      </c>
      <c r="B2834" t="inlineStr">
        <is>
          <t>Q1</t>
        </is>
      </c>
      <c r="C2834" t="inlineStr">
        <is>
          <t>Europe</t>
        </is>
      </c>
      <c r="D2834" t="inlineStr">
        <is>
          <t>Model 3</t>
        </is>
      </c>
      <c r="E2834" t="n">
        <v>1279</v>
      </c>
      <c r="F2834" t="n">
        <v>57871.36</v>
      </c>
      <c r="G2834" t="n">
        <v>41</v>
      </c>
      <c r="H2834" t="inlineStr">
        <is>
          <t>Standard</t>
        </is>
      </c>
      <c r="I2834" t="inlineStr">
        <is>
          <t>AWD</t>
        </is>
      </c>
      <c r="J2834" t="inlineStr">
        <is>
          <t>Black</t>
        </is>
      </c>
      <c r="K2834" t="n">
        <v>678</v>
      </c>
      <c r="L2834" t="n">
        <v>88</v>
      </c>
      <c r="M2834" t="n">
        <v>24.96</v>
      </c>
      <c r="N2834" t="n">
        <v>854.5700000000001</v>
      </c>
      <c r="O2834" t="n">
        <v>4.67</v>
      </c>
      <c r="P2834" t="n">
        <v>5</v>
      </c>
      <c r="Q2834" t="n">
        <v>3</v>
      </c>
      <c r="R2834" t="n">
        <v>2024.1</v>
      </c>
      <c r="S2834" t="b">
        <v>1</v>
      </c>
      <c r="T2834" t="n">
        <v>3357648</v>
      </c>
      <c r="U2834" t="n">
        <v>10</v>
      </c>
      <c r="V2834" t="n">
        <v>0.0378</v>
      </c>
      <c r="W2834" t="n">
        <v>1.73</v>
      </c>
      <c r="X2834" t="n">
        <v>72.27</v>
      </c>
      <c r="Y2834">
        <f>VLOOKUP(D2834,$AB$2:$AC$7,2,FALSE)</f>
        <v/>
      </c>
      <c r="Z2834">
        <f>IF(A2834&lt;Y2834,"Yes","No")</f>
        <v/>
      </c>
    </row>
    <row r="2835">
      <c r="A2835" t="n">
        <v>2014</v>
      </c>
      <c r="B2835" t="inlineStr">
        <is>
          <t>Q2</t>
        </is>
      </c>
      <c r="C2835" t="inlineStr">
        <is>
          <t>South America</t>
        </is>
      </c>
      <c r="D2835" t="inlineStr">
        <is>
          <t>Model X</t>
        </is>
      </c>
      <c r="E2835" t="n">
        <v>2725</v>
      </c>
      <c r="F2835" t="n">
        <v>66128.60000000001</v>
      </c>
      <c r="G2835" t="n">
        <v>28</v>
      </c>
      <c r="H2835" t="inlineStr">
        <is>
          <t>Performance</t>
        </is>
      </c>
      <c r="I2835" t="inlineStr">
        <is>
          <t>AWD</t>
        </is>
      </c>
      <c r="J2835" t="inlineStr">
        <is>
          <t>Black</t>
        </is>
      </c>
      <c r="K2835" t="n">
        <v>353</v>
      </c>
      <c r="L2835" t="n">
        <v>32</v>
      </c>
      <c r="M2835" t="n">
        <v>21.27</v>
      </c>
      <c r="N2835" t="n">
        <v>5342.3</v>
      </c>
      <c r="O2835" t="n">
        <v>3.7</v>
      </c>
      <c r="P2835" t="n">
        <v>5</v>
      </c>
      <c r="Q2835" t="n">
        <v>2</v>
      </c>
      <c r="R2835" t="n">
        <v>2022.11</v>
      </c>
      <c r="S2835" t="b">
        <v>1</v>
      </c>
      <c r="T2835" t="n">
        <v>1944968</v>
      </c>
      <c r="U2835" t="n">
        <v>2</v>
      </c>
      <c r="V2835" t="n">
        <v>0.0665</v>
      </c>
      <c r="W2835" t="n">
        <v>2.19</v>
      </c>
      <c r="X2835" t="n">
        <v>60</v>
      </c>
      <c r="Y2835">
        <f>VLOOKUP(D2835,$AB$2:$AC$7,2,FALSE)</f>
        <v/>
      </c>
      <c r="Z2835">
        <f>IF(A2835&lt;Y2835,"Yes","No")</f>
        <v/>
      </c>
    </row>
    <row r="2836">
      <c r="A2836" t="n">
        <v>2017</v>
      </c>
      <c r="B2836" t="inlineStr">
        <is>
          <t>Q3</t>
        </is>
      </c>
      <c r="C2836" t="inlineStr">
        <is>
          <t>Australia</t>
        </is>
      </c>
      <c r="D2836" t="inlineStr">
        <is>
          <t>Model S</t>
        </is>
      </c>
      <c r="E2836" t="n">
        <v>2338</v>
      </c>
      <c r="F2836" t="n">
        <v>45301.55</v>
      </c>
      <c r="G2836" t="n">
        <v>12</v>
      </c>
      <c r="H2836" t="inlineStr">
        <is>
          <t>Long Range</t>
        </is>
      </c>
      <c r="I2836" t="inlineStr">
        <is>
          <t>RWD</t>
        </is>
      </c>
      <c r="J2836" t="inlineStr">
        <is>
          <t>Red</t>
        </is>
      </c>
      <c r="K2836" t="n">
        <v>545</v>
      </c>
      <c r="L2836" t="n">
        <v>47</v>
      </c>
      <c r="M2836" t="n">
        <v>24.72</v>
      </c>
      <c r="N2836" t="n">
        <v>2920.75</v>
      </c>
      <c r="O2836" t="n">
        <v>3.66</v>
      </c>
      <c r="P2836" t="n">
        <v>4</v>
      </c>
      <c r="Q2836" t="n">
        <v>1</v>
      </c>
      <c r="R2836" t="n">
        <v>2021.3</v>
      </c>
      <c r="S2836" t="b">
        <v>0</v>
      </c>
      <c r="T2836" t="n">
        <v>1045317</v>
      </c>
      <c r="U2836" t="n">
        <v>5</v>
      </c>
      <c r="V2836" t="n">
        <v>0.0704</v>
      </c>
      <c r="W2836" t="n">
        <v>2.24</v>
      </c>
      <c r="X2836" t="n">
        <v>82.34999999999999</v>
      </c>
      <c r="Y2836">
        <f>VLOOKUP(D2836,$AB$2:$AC$7,2,FALSE)</f>
        <v/>
      </c>
      <c r="Z2836">
        <f>IF(A2836&lt;Y2836,"Yes","No")</f>
        <v/>
      </c>
    </row>
    <row r="2837">
      <c r="A2837" t="n">
        <v>2021</v>
      </c>
      <c r="B2837" t="inlineStr">
        <is>
          <t>Q3</t>
        </is>
      </c>
      <c r="C2837" t="inlineStr">
        <is>
          <t>North America</t>
        </is>
      </c>
      <c r="D2837" t="inlineStr">
        <is>
          <t>Model S</t>
        </is>
      </c>
      <c r="E2837" t="n">
        <v>258</v>
      </c>
      <c r="F2837" t="n">
        <v>45807.53</v>
      </c>
      <c r="G2837" t="n">
        <v>11</v>
      </c>
      <c r="H2837" t="inlineStr">
        <is>
          <t>Standard</t>
        </is>
      </c>
      <c r="I2837" t="inlineStr">
        <is>
          <t>AWD</t>
        </is>
      </c>
      <c r="J2837" t="inlineStr">
        <is>
          <t>Green</t>
        </is>
      </c>
      <c r="K2837" t="n">
        <v>411</v>
      </c>
      <c r="L2837" t="n">
        <v>43</v>
      </c>
      <c r="M2837" t="n">
        <v>19.83</v>
      </c>
      <c r="N2837" t="n">
        <v>457.97</v>
      </c>
      <c r="O2837" t="n">
        <v>3.7</v>
      </c>
      <c r="P2837" t="n">
        <v>6</v>
      </c>
      <c r="Q2837" t="n">
        <v>0</v>
      </c>
      <c r="R2837" t="n">
        <v>2022.3</v>
      </c>
      <c r="S2837" t="b">
        <v>0</v>
      </c>
      <c r="T2837" t="n">
        <v>2058356</v>
      </c>
      <c r="U2837" t="n">
        <v>7</v>
      </c>
      <c r="V2837" t="n">
        <v>0.0133</v>
      </c>
      <c r="W2837" t="n">
        <v>0.78</v>
      </c>
      <c r="X2837" t="n">
        <v>81.40000000000001</v>
      </c>
      <c r="Y2837">
        <f>VLOOKUP(D2837,$AB$2:$AC$7,2,FALSE)</f>
        <v/>
      </c>
      <c r="Z2837">
        <f>IF(A2837&lt;Y2837,"Yes","No")</f>
        <v/>
      </c>
    </row>
    <row r="2838">
      <c r="A2838" t="n">
        <v>2024</v>
      </c>
      <c r="B2838" t="inlineStr">
        <is>
          <t>Q1</t>
        </is>
      </c>
      <c r="C2838" t="inlineStr">
        <is>
          <t>Australia</t>
        </is>
      </c>
      <c r="D2838" t="inlineStr">
        <is>
          <t>Model S</t>
        </is>
      </c>
      <c r="E2838" t="n">
        <v>479</v>
      </c>
      <c r="F2838" t="n">
        <v>93686.2</v>
      </c>
      <c r="G2838" t="n">
        <v>5</v>
      </c>
      <c r="H2838" t="inlineStr">
        <is>
          <t>Performance</t>
        </is>
      </c>
      <c r="I2838" t="inlineStr">
        <is>
          <t>RWD</t>
        </is>
      </c>
      <c r="J2838" t="inlineStr">
        <is>
          <t>Black</t>
        </is>
      </c>
      <c r="K2838" t="n">
        <v>699</v>
      </c>
      <c r="L2838" t="n">
        <v>39</v>
      </c>
      <c r="M2838" t="n">
        <v>24.57</v>
      </c>
      <c r="N2838" t="n">
        <v>239.56</v>
      </c>
      <c r="O2838" t="n">
        <v>4.42</v>
      </c>
      <c r="P2838" t="n">
        <v>6</v>
      </c>
      <c r="Q2838" t="n">
        <v>1</v>
      </c>
      <c r="R2838" t="n">
        <v>2024.2</v>
      </c>
      <c r="S2838" t="b">
        <v>0</v>
      </c>
      <c r="T2838" t="n">
        <v>2170413</v>
      </c>
      <c r="U2838" t="n">
        <v>12</v>
      </c>
      <c r="V2838" t="n">
        <v>0.0391</v>
      </c>
      <c r="W2838" t="n">
        <v>0.74</v>
      </c>
      <c r="X2838" t="n">
        <v>79.58</v>
      </c>
      <c r="Y2838">
        <f>VLOOKUP(D2838,$AB$2:$AC$7,2,FALSE)</f>
        <v/>
      </c>
      <c r="Z2838">
        <f>IF(A2838&lt;Y2838,"Yes","No")</f>
        <v/>
      </c>
    </row>
    <row r="2839">
      <c r="A2839" t="n">
        <v>2022</v>
      </c>
      <c r="B2839" t="inlineStr">
        <is>
          <t>Q3</t>
        </is>
      </c>
      <c r="C2839" t="inlineStr">
        <is>
          <t>North America</t>
        </is>
      </c>
      <c r="D2839" t="inlineStr">
        <is>
          <t>Cybertruck</t>
        </is>
      </c>
      <c r="E2839" t="n">
        <v>4727</v>
      </c>
      <c r="F2839" t="n">
        <v>74807.5</v>
      </c>
      <c r="G2839" t="n">
        <v>38</v>
      </c>
      <c r="H2839" t="inlineStr">
        <is>
          <t>Performance</t>
        </is>
      </c>
      <c r="I2839" t="inlineStr">
        <is>
          <t>AWD</t>
        </is>
      </c>
      <c r="J2839" t="inlineStr">
        <is>
          <t>Blue</t>
        </is>
      </c>
      <c r="K2839" t="n">
        <v>558</v>
      </c>
      <c r="L2839" t="n">
        <v>45</v>
      </c>
      <c r="M2839" t="n">
        <v>13.26</v>
      </c>
      <c r="N2839" t="n">
        <v>3366.62</v>
      </c>
      <c r="O2839" t="n">
        <v>4.72</v>
      </c>
      <c r="P2839" t="n">
        <v>4</v>
      </c>
      <c r="Q2839" t="n">
        <v>0</v>
      </c>
      <c r="R2839" t="n">
        <v>2022.5</v>
      </c>
      <c r="S2839" t="b">
        <v>1</v>
      </c>
      <c r="T2839" t="n">
        <v>1056049</v>
      </c>
      <c r="U2839" t="n">
        <v>8</v>
      </c>
      <c r="V2839" t="n">
        <v>0.0722</v>
      </c>
      <c r="W2839" t="n">
        <v>2.5</v>
      </c>
      <c r="X2839" t="n">
        <v>62.35</v>
      </c>
      <c r="Y2839">
        <f>VLOOKUP(D2839,$AB$2:$AC$7,2,FALSE)</f>
        <v/>
      </c>
      <c r="Z2839">
        <f>IF(A2839&lt;Y2839,"Yes","No")</f>
        <v/>
      </c>
    </row>
    <row r="2840">
      <c r="A2840" t="n">
        <v>2016</v>
      </c>
      <c r="B2840" t="inlineStr">
        <is>
          <t>Q1</t>
        </is>
      </c>
      <c r="C2840" t="inlineStr">
        <is>
          <t>North America</t>
        </is>
      </c>
      <c r="D2840" t="inlineStr">
        <is>
          <t>Model X</t>
        </is>
      </c>
      <c r="E2840" t="n">
        <v>4636</v>
      </c>
      <c r="F2840" t="n">
        <v>79354.53</v>
      </c>
      <c r="G2840" t="n">
        <v>52</v>
      </c>
      <c r="H2840" t="inlineStr">
        <is>
          <t>Standard</t>
        </is>
      </c>
      <c r="I2840" t="inlineStr">
        <is>
          <t>RWD</t>
        </is>
      </c>
      <c r="J2840" t="inlineStr">
        <is>
          <t>White</t>
        </is>
      </c>
      <c r="K2840" t="n">
        <v>690</v>
      </c>
      <c r="L2840" t="n">
        <v>52</v>
      </c>
      <c r="M2840" t="n">
        <v>17.57</v>
      </c>
      <c r="N2840" t="n">
        <v>3668.4</v>
      </c>
      <c r="O2840" t="n">
        <v>4.44</v>
      </c>
      <c r="P2840" t="n">
        <v>4</v>
      </c>
      <c r="Q2840" t="n">
        <v>1</v>
      </c>
      <c r="R2840" t="n">
        <v>2021.12</v>
      </c>
      <c r="S2840" t="b">
        <v>0</v>
      </c>
      <c r="T2840" t="n">
        <v>1697746</v>
      </c>
      <c r="U2840" t="n">
        <v>8</v>
      </c>
      <c r="V2840" t="n">
        <v>0.079</v>
      </c>
      <c r="W2840" t="n">
        <v>0.79</v>
      </c>
      <c r="X2840" t="n">
        <v>80.69</v>
      </c>
      <c r="Y2840">
        <f>VLOOKUP(D2840,$AB$2:$AC$7,2,FALSE)</f>
        <v/>
      </c>
      <c r="Z2840">
        <f>IF(A2840&lt;Y2840,"Yes","No")</f>
        <v/>
      </c>
    </row>
    <row r="2841">
      <c r="A2841" t="n">
        <v>2021</v>
      </c>
      <c r="B2841" t="inlineStr">
        <is>
          <t>Q2</t>
        </is>
      </c>
      <c r="C2841" t="inlineStr">
        <is>
          <t>South America</t>
        </is>
      </c>
      <c r="D2841" t="inlineStr">
        <is>
          <t>Model Y</t>
        </is>
      </c>
      <c r="E2841" t="n">
        <v>1121</v>
      </c>
      <c r="F2841" t="n">
        <v>66726.28</v>
      </c>
      <c r="G2841" t="n">
        <v>40</v>
      </c>
      <c r="H2841" t="inlineStr">
        <is>
          <t>Performance</t>
        </is>
      </c>
      <c r="I2841" t="inlineStr">
        <is>
          <t>AWD</t>
        </is>
      </c>
      <c r="J2841" t="inlineStr">
        <is>
          <t>Red</t>
        </is>
      </c>
      <c r="K2841" t="n">
        <v>676</v>
      </c>
      <c r="L2841" t="n">
        <v>50</v>
      </c>
      <c r="M2841" t="n">
        <v>17.54</v>
      </c>
      <c r="N2841" t="n">
        <v>1484.25</v>
      </c>
      <c r="O2841" t="n">
        <v>4.6</v>
      </c>
      <c r="P2841" t="n">
        <v>4</v>
      </c>
      <c r="Q2841" t="n">
        <v>3</v>
      </c>
      <c r="R2841" t="n">
        <v>2023.2</v>
      </c>
      <c r="S2841" t="b">
        <v>1</v>
      </c>
      <c r="T2841" t="n">
        <v>3991617</v>
      </c>
      <c r="U2841" t="n">
        <v>11</v>
      </c>
      <c r="V2841" t="n">
        <v>0.038</v>
      </c>
      <c r="W2841" t="n">
        <v>1.04</v>
      </c>
      <c r="X2841" t="n">
        <v>60.57</v>
      </c>
      <c r="Y2841">
        <f>VLOOKUP(D2841,$AB$2:$AC$7,2,FALSE)</f>
        <v/>
      </c>
      <c r="Z2841">
        <f>IF(A2841&lt;Y2841,"Yes","No")</f>
        <v/>
      </c>
    </row>
    <row r="2842">
      <c r="A2842" t="n">
        <v>2015</v>
      </c>
      <c r="B2842" t="inlineStr">
        <is>
          <t>Q1</t>
        </is>
      </c>
      <c r="C2842" t="inlineStr">
        <is>
          <t>Asia</t>
        </is>
      </c>
      <c r="D2842" t="inlineStr">
        <is>
          <t>Cybertruck</t>
        </is>
      </c>
      <c r="E2842" t="n">
        <v>3740</v>
      </c>
      <c r="F2842" t="n">
        <v>46101.04</v>
      </c>
      <c r="G2842" t="n">
        <v>51</v>
      </c>
      <c r="H2842" t="inlineStr">
        <is>
          <t>Standard</t>
        </is>
      </c>
      <c r="I2842" t="inlineStr">
        <is>
          <t>AWD</t>
        </is>
      </c>
      <c r="J2842" t="inlineStr">
        <is>
          <t>Green</t>
        </is>
      </c>
      <c r="K2842" t="n">
        <v>434</v>
      </c>
      <c r="L2842" t="n">
        <v>49</v>
      </c>
      <c r="M2842" t="n">
        <v>22.27</v>
      </c>
      <c r="N2842" t="n">
        <v>6233.14</v>
      </c>
      <c r="O2842" t="n">
        <v>4.71</v>
      </c>
      <c r="P2842" t="n">
        <v>8</v>
      </c>
      <c r="Q2842" t="n">
        <v>1</v>
      </c>
      <c r="R2842" t="n">
        <v>2020.7</v>
      </c>
      <c r="S2842" t="b">
        <v>0</v>
      </c>
      <c r="T2842" t="n">
        <v>4697737</v>
      </c>
      <c r="U2842" t="n">
        <v>10</v>
      </c>
      <c r="V2842" t="n">
        <v>0.0525</v>
      </c>
      <c r="W2842" t="n">
        <v>1.6</v>
      </c>
      <c r="X2842" t="n">
        <v>73.11</v>
      </c>
      <c r="Y2842">
        <f>VLOOKUP(D2842,$AB$2:$AC$7,2,FALSE)</f>
        <v/>
      </c>
      <c r="Z2842">
        <f>IF(A2842&lt;Y2842,"Yes","No")</f>
        <v/>
      </c>
    </row>
    <row r="2843">
      <c r="A2843" t="n">
        <v>2013</v>
      </c>
      <c r="B2843" t="inlineStr">
        <is>
          <t>Q2</t>
        </is>
      </c>
      <c r="C2843" t="inlineStr">
        <is>
          <t>North America</t>
        </is>
      </c>
      <c r="D2843" t="inlineStr">
        <is>
          <t>Semi</t>
        </is>
      </c>
      <c r="E2843" t="n">
        <v>1167</v>
      </c>
      <c r="F2843" t="n">
        <v>104634.83</v>
      </c>
      <c r="G2843" t="n">
        <v>9</v>
      </c>
      <c r="H2843" t="inlineStr">
        <is>
          <t>Performance</t>
        </is>
      </c>
      <c r="I2843" t="inlineStr">
        <is>
          <t>RWD</t>
        </is>
      </c>
      <c r="J2843" t="inlineStr">
        <is>
          <t>White</t>
        </is>
      </c>
      <c r="K2843" t="n">
        <v>373</v>
      </c>
      <c r="L2843" t="n">
        <v>47</v>
      </c>
      <c r="M2843" t="n">
        <v>13.17</v>
      </c>
      <c r="N2843" t="n">
        <v>1524.94</v>
      </c>
      <c r="O2843" t="n">
        <v>3.64</v>
      </c>
      <c r="P2843" t="n">
        <v>8</v>
      </c>
      <c r="Q2843" t="n">
        <v>2</v>
      </c>
      <c r="R2843" t="n">
        <v>2022.11</v>
      </c>
      <c r="S2843" t="b">
        <v>1</v>
      </c>
      <c r="T2843" t="n">
        <v>941191</v>
      </c>
      <c r="U2843" t="n">
        <v>7</v>
      </c>
      <c r="V2843" t="n">
        <v>0.08169999999999999</v>
      </c>
      <c r="W2843" t="n">
        <v>2</v>
      </c>
      <c r="X2843" t="n">
        <v>63.9</v>
      </c>
      <c r="Y2843">
        <f>VLOOKUP(D2843,$AB$2:$AC$7,2,FALSE)</f>
        <v/>
      </c>
      <c r="Z2843">
        <f>IF(A2843&lt;Y2843,"Yes","No")</f>
        <v/>
      </c>
    </row>
    <row r="2844">
      <c r="A2844" t="n">
        <v>2017</v>
      </c>
      <c r="B2844" t="inlineStr">
        <is>
          <t>Q3</t>
        </is>
      </c>
      <c r="C2844" t="inlineStr">
        <is>
          <t>South America</t>
        </is>
      </c>
      <c r="D2844" t="inlineStr">
        <is>
          <t>Model S</t>
        </is>
      </c>
      <c r="E2844" t="n">
        <v>196</v>
      </c>
      <c r="F2844" t="n">
        <v>69635.13</v>
      </c>
      <c r="G2844" t="n">
        <v>18</v>
      </c>
      <c r="H2844" t="inlineStr">
        <is>
          <t>Long Range</t>
        </is>
      </c>
      <c r="I2844" t="inlineStr">
        <is>
          <t>AWD</t>
        </is>
      </c>
      <c r="J2844" t="inlineStr">
        <is>
          <t>Green</t>
        </is>
      </c>
      <c r="K2844" t="n">
        <v>574</v>
      </c>
      <c r="L2844" t="n">
        <v>65</v>
      </c>
      <c r="M2844" t="n">
        <v>13.78</v>
      </c>
      <c r="N2844" t="n">
        <v>450.92</v>
      </c>
      <c r="O2844" t="n">
        <v>4.96</v>
      </c>
      <c r="P2844" t="n">
        <v>6</v>
      </c>
      <c r="Q2844" t="n">
        <v>3</v>
      </c>
      <c r="R2844" t="n">
        <v>2022.1</v>
      </c>
      <c r="S2844" t="b">
        <v>0</v>
      </c>
      <c r="T2844" t="n">
        <v>906053</v>
      </c>
      <c r="U2844" t="n">
        <v>9</v>
      </c>
      <c r="V2844" t="n">
        <v>0.0231</v>
      </c>
      <c r="W2844" t="n">
        <v>0.75</v>
      </c>
      <c r="X2844" t="n">
        <v>72.01000000000001</v>
      </c>
      <c r="Y2844">
        <f>VLOOKUP(D2844,$AB$2:$AC$7,2,FALSE)</f>
        <v/>
      </c>
      <c r="Z2844">
        <f>IF(A2844&lt;Y2844,"Yes","No")</f>
        <v/>
      </c>
    </row>
    <row r="2845">
      <c r="A2845" t="n">
        <v>2020</v>
      </c>
      <c r="B2845" t="inlineStr">
        <is>
          <t>Q1</t>
        </is>
      </c>
      <c r="C2845" t="inlineStr">
        <is>
          <t>Asia</t>
        </is>
      </c>
      <c r="D2845" t="inlineStr">
        <is>
          <t>Model 3</t>
        </is>
      </c>
      <c r="E2845" t="n">
        <v>1875</v>
      </c>
      <c r="F2845" t="n">
        <v>58002.53</v>
      </c>
      <c r="G2845" t="n">
        <v>22</v>
      </c>
      <c r="H2845" t="inlineStr">
        <is>
          <t>Standard</t>
        </is>
      </c>
      <c r="I2845" t="inlineStr">
        <is>
          <t>AWD</t>
        </is>
      </c>
      <c r="J2845" t="inlineStr">
        <is>
          <t>Silver</t>
        </is>
      </c>
      <c r="K2845" t="n">
        <v>502</v>
      </c>
      <c r="L2845" t="n">
        <v>82</v>
      </c>
      <c r="M2845" t="n">
        <v>15.5</v>
      </c>
      <c r="N2845" t="n">
        <v>3230.47</v>
      </c>
      <c r="O2845" t="n">
        <v>3.71</v>
      </c>
      <c r="P2845" t="n">
        <v>8</v>
      </c>
      <c r="Q2845" t="n">
        <v>1</v>
      </c>
      <c r="R2845" t="n">
        <v>2021.2</v>
      </c>
      <c r="S2845" t="b">
        <v>1</v>
      </c>
      <c r="T2845" t="n">
        <v>1578920</v>
      </c>
      <c r="U2845" t="n">
        <v>2</v>
      </c>
      <c r="V2845" t="n">
        <v>0.0553</v>
      </c>
      <c r="W2845" t="n">
        <v>1.88</v>
      </c>
      <c r="X2845" t="n">
        <v>61.3</v>
      </c>
      <c r="Y2845">
        <f>VLOOKUP(D2845,$AB$2:$AC$7,2,FALSE)</f>
        <v/>
      </c>
      <c r="Z2845">
        <f>IF(A2845&lt;Y2845,"Yes","No")</f>
        <v/>
      </c>
    </row>
    <row r="2846">
      <c r="A2846" t="n">
        <v>2017</v>
      </c>
      <c r="B2846" t="inlineStr">
        <is>
          <t>Q4</t>
        </is>
      </c>
      <c r="C2846" t="inlineStr">
        <is>
          <t>Asia</t>
        </is>
      </c>
      <c r="D2846" t="inlineStr">
        <is>
          <t>Model X</t>
        </is>
      </c>
      <c r="E2846" t="n">
        <v>4339</v>
      </c>
      <c r="F2846" t="n">
        <v>35828.97</v>
      </c>
      <c r="G2846" t="n">
        <v>12</v>
      </c>
      <c r="H2846" t="inlineStr">
        <is>
          <t>Long Range</t>
        </is>
      </c>
      <c r="I2846" t="inlineStr">
        <is>
          <t>RWD</t>
        </is>
      </c>
      <c r="J2846" t="inlineStr">
        <is>
          <t>Red</t>
        </is>
      </c>
      <c r="K2846" t="n">
        <v>524</v>
      </c>
      <c r="L2846" t="n">
        <v>64</v>
      </c>
      <c r="M2846" t="n">
        <v>22.69</v>
      </c>
      <c r="N2846" t="n">
        <v>5962.78</v>
      </c>
      <c r="O2846" t="n">
        <v>4.6</v>
      </c>
      <c r="P2846" t="n">
        <v>6</v>
      </c>
      <c r="Q2846" t="n">
        <v>0</v>
      </c>
      <c r="R2846" t="n">
        <v>2024.8</v>
      </c>
      <c r="S2846" t="b">
        <v>0</v>
      </c>
      <c r="T2846" t="n">
        <v>2144266</v>
      </c>
      <c r="U2846" t="n">
        <v>11</v>
      </c>
      <c r="V2846" t="n">
        <v>0.0793</v>
      </c>
      <c r="W2846" t="n">
        <v>2.39</v>
      </c>
      <c r="X2846" t="n">
        <v>67.53</v>
      </c>
      <c r="Y2846">
        <f>VLOOKUP(D2846,$AB$2:$AC$7,2,FALSE)</f>
        <v/>
      </c>
      <c r="Z2846">
        <f>IF(A2846&lt;Y2846,"Yes","No")</f>
        <v/>
      </c>
    </row>
    <row r="2847">
      <c r="A2847" t="n">
        <v>2016</v>
      </c>
      <c r="B2847" t="inlineStr">
        <is>
          <t>Q3</t>
        </is>
      </c>
      <c r="C2847" t="inlineStr">
        <is>
          <t>South America</t>
        </is>
      </c>
      <c r="D2847" t="inlineStr">
        <is>
          <t>Semi</t>
        </is>
      </c>
      <c r="E2847" t="n">
        <v>1197</v>
      </c>
      <c r="F2847" t="n">
        <v>99169.41</v>
      </c>
      <c r="G2847" t="n">
        <v>1</v>
      </c>
      <c r="H2847" t="inlineStr">
        <is>
          <t>Performance</t>
        </is>
      </c>
      <c r="I2847" t="inlineStr">
        <is>
          <t>RWD</t>
        </is>
      </c>
      <c r="J2847" t="inlineStr">
        <is>
          <t>White</t>
        </is>
      </c>
      <c r="K2847" t="n">
        <v>513</v>
      </c>
      <c r="L2847" t="n">
        <v>53</v>
      </c>
      <c r="M2847" t="n">
        <v>16.24</v>
      </c>
      <c r="N2847" t="n">
        <v>2041.1</v>
      </c>
      <c r="O2847" t="n">
        <v>3.77</v>
      </c>
      <c r="P2847" t="n">
        <v>5</v>
      </c>
      <c r="Q2847" t="n">
        <v>0</v>
      </c>
      <c r="R2847" t="n">
        <v>2020.8</v>
      </c>
      <c r="S2847" t="b">
        <v>0</v>
      </c>
      <c r="T2847" t="n">
        <v>4996173</v>
      </c>
      <c r="U2847" t="n">
        <v>6</v>
      </c>
      <c r="V2847" t="n">
        <v>0.09130000000000001</v>
      </c>
      <c r="W2847" t="n">
        <v>2.32</v>
      </c>
      <c r="X2847" t="n">
        <v>65.51000000000001</v>
      </c>
      <c r="Y2847">
        <f>VLOOKUP(D2847,$AB$2:$AC$7,2,FALSE)</f>
        <v/>
      </c>
      <c r="Z2847">
        <f>IF(A2847&lt;Y2847,"Yes","No")</f>
        <v/>
      </c>
    </row>
    <row r="2848">
      <c r="A2848" t="n">
        <v>2020</v>
      </c>
      <c r="B2848" t="inlineStr">
        <is>
          <t>Q2</t>
        </is>
      </c>
      <c r="C2848" t="inlineStr">
        <is>
          <t>Europe</t>
        </is>
      </c>
      <c r="D2848" t="inlineStr">
        <is>
          <t>Cybertruck</t>
        </is>
      </c>
      <c r="E2848" t="n">
        <v>4746</v>
      </c>
      <c r="F2848" t="n">
        <v>63479.62</v>
      </c>
      <c r="G2848" t="n">
        <v>32</v>
      </c>
      <c r="H2848" t="inlineStr">
        <is>
          <t>Long Range</t>
        </is>
      </c>
      <c r="I2848" t="inlineStr">
        <is>
          <t>RWD</t>
        </is>
      </c>
      <c r="J2848" t="inlineStr">
        <is>
          <t>Black</t>
        </is>
      </c>
      <c r="K2848" t="n">
        <v>574</v>
      </c>
      <c r="L2848" t="n">
        <v>90</v>
      </c>
      <c r="M2848" t="n">
        <v>24.54</v>
      </c>
      <c r="N2848" t="n">
        <v>10919.13</v>
      </c>
      <c r="O2848" t="n">
        <v>4.4</v>
      </c>
      <c r="P2848" t="n">
        <v>8</v>
      </c>
      <c r="Q2848" t="n">
        <v>1</v>
      </c>
      <c r="R2848" t="n">
        <v>2020.5</v>
      </c>
      <c r="S2848" t="b">
        <v>0</v>
      </c>
      <c r="T2848" t="n">
        <v>2961189</v>
      </c>
      <c r="U2848" t="n">
        <v>2</v>
      </c>
      <c r="V2848" t="n">
        <v>0.0611</v>
      </c>
      <c r="W2848" t="n">
        <v>2.08</v>
      </c>
      <c r="X2848" t="n">
        <v>69.13</v>
      </c>
      <c r="Y2848">
        <f>VLOOKUP(D2848,$AB$2:$AC$7,2,FALSE)</f>
        <v/>
      </c>
      <c r="Z2848">
        <f>IF(A2848&lt;Y2848,"Yes","No")</f>
        <v/>
      </c>
    </row>
    <row r="2849">
      <c r="A2849" t="n">
        <v>2019</v>
      </c>
      <c r="B2849" t="inlineStr">
        <is>
          <t>Q4</t>
        </is>
      </c>
      <c r="C2849" t="inlineStr">
        <is>
          <t>Asia</t>
        </is>
      </c>
      <c r="D2849" t="inlineStr">
        <is>
          <t>Model S</t>
        </is>
      </c>
      <c r="E2849" t="n">
        <v>3607</v>
      </c>
      <c r="F2849" t="n">
        <v>51765.11</v>
      </c>
      <c r="G2849" t="n">
        <v>35</v>
      </c>
      <c r="H2849" t="inlineStr">
        <is>
          <t>Standard</t>
        </is>
      </c>
      <c r="I2849" t="inlineStr">
        <is>
          <t>AWD</t>
        </is>
      </c>
      <c r="J2849" t="inlineStr">
        <is>
          <t>Red</t>
        </is>
      </c>
      <c r="K2849" t="n">
        <v>522</v>
      </c>
      <c r="L2849" t="n">
        <v>76</v>
      </c>
      <c r="M2849" t="n">
        <v>23.04</v>
      </c>
      <c r="N2849" t="n">
        <v>7278.96</v>
      </c>
      <c r="O2849" t="n">
        <v>4.02</v>
      </c>
      <c r="P2849" t="n">
        <v>5</v>
      </c>
      <c r="Q2849" t="n">
        <v>0</v>
      </c>
      <c r="R2849" t="n">
        <v>2020.9</v>
      </c>
      <c r="S2849" t="b">
        <v>0</v>
      </c>
      <c r="T2849" t="n">
        <v>3297256</v>
      </c>
      <c r="U2849" t="n">
        <v>4</v>
      </c>
      <c r="V2849" t="n">
        <v>0.032</v>
      </c>
      <c r="W2849" t="n">
        <v>0.71</v>
      </c>
      <c r="X2849" t="n">
        <v>62.51</v>
      </c>
      <c r="Y2849">
        <f>VLOOKUP(D2849,$AB$2:$AC$7,2,FALSE)</f>
        <v/>
      </c>
      <c r="Z2849">
        <f>IF(A2849&lt;Y2849,"Yes","No")</f>
        <v/>
      </c>
    </row>
    <row r="2850">
      <c r="A2850" t="n">
        <v>2018</v>
      </c>
      <c r="B2850" t="inlineStr">
        <is>
          <t>Q3</t>
        </is>
      </c>
      <c r="C2850" t="inlineStr">
        <is>
          <t>Asia</t>
        </is>
      </c>
      <c r="D2850" t="inlineStr">
        <is>
          <t>Model Y</t>
        </is>
      </c>
      <c r="E2850" t="n">
        <v>1874</v>
      </c>
      <c r="F2850" t="n">
        <v>110732.13</v>
      </c>
      <c r="G2850" t="n">
        <v>27</v>
      </c>
      <c r="H2850" t="inlineStr">
        <is>
          <t>Standard</t>
        </is>
      </c>
      <c r="I2850" t="inlineStr">
        <is>
          <t>AWD</t>
        </is>
      </c>
      <c r="J2850" t="inlineStr">
        <is>
          <t>Red</t>
        </is>
      </c>
      <c r="K2850" t="n">
        <v>698</v>
      </c>
      <c r="L2850" t="n">
        <v>48</v>
      </c>
      <c r="M2850" t="n">
        <v>22.85</v>
      </c>
      <c r="N2850" t="n">
        <v>3982.37</v>
      </c>
      <c r="O2850" t="n">
        <v>3.8</v>
      </c>
      <c r="P2850" t="n">
        <v>4</v>
      </c>
      <c r="Q2850" t="n">
        <v>0</v>
      </c>
      <c r="R2850" t="n">
        <v>2022.7</v>
      </c>
      <c r="S2850" t="b">
        <v>0</v>
      </c>
      <c r="T2850" t="n">
        <v>206537</v>
      </c>
      <c r="U2850" t="n">
        <v>9</v>
      </c>
      <c r="V2850" t="n">
        <v>0.07000000000000001</v>
      </c>
      <c r="W2850" t="n">
        <v>1.76</v>
      </c>
      <c r="X2850" t="n">
        <v>85.11</v>
      </c>
      <c r="Y2850">
        <f>VLOOKUP(D2850,$AB$2:$AC$7,2,FALSE)</f>
        <v/>
      </c>
      <c r="Z2850">
        <f>IF(A2850&lt;Y2850,"Yes","No")</f>
        <v/>
      </c>
    </row>
    <row r="2851">
      <c r="A2851" t="n">
        <v>2024</v>
      </c>
      <c r="B2851" t="inlineStr">
        <is>
          <t>Q3</t>
        </is>
      </c>
      <c r="C2851" t="inlineStr">
        <is>
          <t>Australia</t>
        </is>
      </c>
      <c r="D2851" t="inlineStr">
        <is>
          <t>Cybertruck</t>
        </is>
      </c>
      <c r="E2851" t="n">
        <v>2390</v>
      </c>
      <c r="F2851" t="n">
        <v>107192.69</v>
      </c>
      <c r="G2851" t="n">
        <v>16</v>
      </c>
      <c r="H2851" t="inlineStr">
        <is>
          <t>Long Range</t>
        </is>
      </c>
      <c r="I2851" t="inlineStr">
        <is>
          <t>RWD</t>
        </is>
      </c>
      <c r="J2851" t="inlineStr">
        <is>
          <t>Black</t>
        </is>
      </c>
      <c r="K2851" t="n">
        <v>524</v>
      </c>
      <c r="L2851" t="n">
        <v>69</v>
      </c>
      <c r="M2851" t="n">
        <v>24.46</v>
      </c>
      <c r="N2851" t="n">
        <v>1890.69</v>
      </c>
      <c r="O2851" t="n">
        <v>4.26</v>
      </c>
      <c r="P2851" t="n">
        <v>8</v>
      </c>
      <c r="Q2851" t="n">
        <v>1</v>
      </c>
      <c r="R2851" t="n">
        <v>2022.8</v>
      </c>
      <c r="S2851" t="b">
        <v>0</v>
      </c>
      <c r="T2851" t="n">
        <v>2298229</v>
      </c>
      <c r="U2851" t="n">
        <v>3</v>
      </c>
      <c r="V2851" t="n">
        <v>0.06909999999999999</v>
      </c>
      <c r="W2851" t="n">
        <v>0.75</v>
      </c>
      <c r="X2851" t="n">
        <v>84.58</v>
      </c>
      <c r="Y2851">
        <f>VLOOKUP(D2851,$AB$2:$AC$7,2,FALSE)</f>
        <v/>
      </c>
      <c r="Z2851">
        <f>IF(A2851&lt;Y2851,"Yes","No")</f>
        <v/>
      </c>
    </row>
    <row r="2852">
      <c r="A2852" t="n">
        <v>2018</v>
      </c>
      <c r="B2852" t="inlineStr">
        <is>
          <t>Q3</t>
        </is>
      </c>
      <c r="C2852" t="inlineStr">
        <is>
          <t>Australia</t>
        </is>
      </c>
      <c r="D2852" t="inlineStr">
        <is>
          <t>Semi</t>
        </is>
      </c>
      <c r="E2852" t="n">
        <v>3271</v>
      </c>
      <c r="F2852" t="n">
        <v>98856.52</v>
      </c>
      <c r="G2852" t="n">
        <v>57</v>
      </c>
      <c r="H2852" t="inlineStr">
        <is>
          <t>Long Range</t>
        </is>
      </c>
      <c r="I2852" t="inlineStr">
        <is>
          <t>RWD</t>
        </is>
      </c>
      <c r="J2852" t="inlineStr">
        <is>
          <t>White</t>
        </is>
      </c>
      <c r="K2852" t="n">
        <v>356</v>
      </c>
      <c r="L2852" t="n">
        <v>55</v>
      </c>
      <c r="M2852" t="n">
        <v>15.55</v>
      </c>
      <c r="N2852" t="n">
        <v>4140.05</v>
      </c>
      <c r="O2852" t="n">
        <v>4.01</v>
      </c>
      <c r="P2852" t="n">
        <v>8</v>
      </c>
      <c r="Q2852" t="n">
        <v>0</v>
      </c>
      <c r="R2852" t="n">
        <v>2023.2</v>
      </c>
      <c r="S2852" t="b">
        <v>1</v>
      </c>
      <c r="T2852" t="n">
        <v>567061</v>
      </c>
      <c r="U2852" t="n">
        <v>8</v>
      </c>
      <c r="V2852" t="n">
        <v>0.0613</v>
      </c>
      <c r="W2852" t="n">
        <v>1.32</v>
      </c>
      <c r="X2852" t="n">
        <v>77.12</v>
      </c>
      <c r="Y2852">
        <f>VLOOKUP(D2852,$AB$2:$AC$7,2,FALSE)</f>
        <v/>
      </c>
      <c r="Z2852">
        <f>IF(A2852&lt;Y2852,"Yes","No")</f>
        <v/>
      </c>
    </row>
    <row r="2853">
      <c r="A2853" t="n">
        <v>2021</v>
      </c>
      <c r="B2853" t="inlineStr">
        <is>
          <t>Q2</t>
        </is>
      </c>
      <c r="C2853" t="inlineStr">
        <is>
          <t>South America</t>
        </is>
      </c>
      <c r="D2853" t="inlineStr">
        <is>
          <t>Model 3</t>
        </is>
      </c>
      <c r="E2853" t="n">
        <v>2349</v>
      </c>
      <c r="F2853" t="n">
        <v>110781.42</v>
      </c>
      <c r="G2853" t="n">
        <v>41</v>
      </c>
      <c r="H2853" t="inlineStr">
        <is>
          <t>Long Range</t>
        </is>
      </c>
      <c r="I2853" t="inlineStr">
        <is>
          <t>AWD</t>
        </is>
      </c>
      <c r="J2853" t="inlineStr">
        <is>
          <t>Black</t>
        </is>
      </c>
      <c r="K2853" t="n">
        <v>509</v>
      </c>
      <c r="L2853" t="n">
        <v>48</v>
      </c>
      <c r="M2853" t="n">
        <v>15.41</v>
      </c>
      <c r="N2853" t="n">
        <v>3996.14</v>
      </c>
      <c r="O2853" t="n">
        <v>3.76</v>
      </c>
      <c r="P2853" t="n">
        <v>6</v>
      </c>
      <c r="Q2853" t="n">
        <v>0</v>
      </c>
      <c r="R2853" t="n">
        <v>2022.7</v>
      </c>
      <c r="S2853" t="b">
        <v>1</v>
      </c>
      <c r="T2853" t="n">
        <v>4519226</v>
      </c>
      <c r="U2853" t="n">
        <v>5</v>
      </c>
      <c r="V2853" t="n">
        <v>0.0999</v>
      </c>
      <c r="W2853" t="n">
        <v>1.7</v>
      </c>
      <c r="X2853" t="n">
        <v>68.53</v>
      </c>
      <c r="Y2853">
        <f>VLOOKUP(D2853,$AB$2:$AC$7,2,FALSE)</f>
        <v/>
      </c>
      <c r="Z2853">
        <f>IF(A2853&lt;Y2853,"Yes","No")</f>
        <v/>
      </c>
    </row>
    <row r="2854">
      <c r="A2854" t="n">
        <v>2019</v>
      </c>
      <c r="B2854" t="inlineStr">
        <is>
          <t>Q3</t>
        </is>
      </c>
      <c r="C2854" t="inlineStr">
        <is>
          <t>North America</t>
        </is>
      </c>
      <c r="D2854" t="inlineStr">
        <is>
          <t>Model Y</t>
        </is>
      </c>
      <c r="E2854" t="n">
        <v>1817</v>
      </c>
      <c r="F2854" t="n">
        <v>53987.85</v>
      </c>
      <c r="G2854" t="n">
        <v>15</v>
      </c>
      <c r="H2854" t="inlineStr">
        <is>
          <t>Long Range</t>
        </is>
      </c>
      <c r="I2854" t="inlineStr">
        <is>
          <t>AWD</t>
        </is>
      </c>
      <c r="J2854" t="inlineStr">
        <is>
          <t>Red</t>
        </is>
      </c>
      <c r="K2854" t="n">
        <v>377</v>
      </c>
      <c r="L2854" t="n">
        <v>60</v>
      </c>
      <c r="M2854" t="n">
        <v>24.38</v>
      </c>
      <c r="N2854" t="n">
        <v>4335.74</v>
      </c>
      <c r="O2854" t="n">
        <v>4.22</v>
      </c>
      <c r="P2854" t="n">
        <v>4</v>
      </c>
      <c r="Q2854" t="n">
        <v>2</v>
      </c>
      <c r="R2854" t="n">
        <v>2021.5</v>
      </c>
      <c r="S2854" t="b">
        <v>0</v>
      </c>
      <c r="T2854" t="n">
        <v>406559</v>
      </c>
      <c r="U2854" t="n">
        <v>5</v>
      </c>
      <c r="V2854" t="n">
        <v>0.0395</v>
      </c>
      <c r="W2854" t="n">
        <v>1.6</v>
      </c>
      <c r="X2854" t="n">
        <v>80.73</v>
      </c>
      <c r="Y2854">
        <f>VLOOKUP(D2854,$AB$2:$AC$7,2,FALSE)</f>
        <v/>
      </c>
      <c r="Z2854">
        <f>IF(A2854&lt;Y2854,"Yes","No")</f>
        <v/>
      </c>
    </row>
    <row r="2855">
      <c r="A2855" t="n">
        <v>2013</v>
      </c>
      <c r="B2855" t="inlineStr">
        <is>
          <t>Q4</t>
        </is>
      </c>
      <c r="C2855" t="inlineStr">
        <is>
          <t>Asia</t>
        </is>
      </c>
      <c r="D2855" t="inlineStr">
        <is>
          <t>Model X</t>
        </is>
      </c>
      <c r="E2855" t="n">
        <v>4474</v>
      </c>
      <c r="F2855" t="n">
        <v>88353.06</v>
      </c>
      <c r="G2855" t="n">
        <v>40</v>
      </c>
      <c r="H2855" t="inlineStr">
        <is>
          <t>Standard</t>
        </is>
      </c>
      <c r="I2855" t="inlineStr">
        <is>
          <t>RWD</t>
        </is>
      </c>
      <c r="J2855" t="inlineStr">
        <is>
          <t>Red</t>
        </is>
      </c>
      <c r="K2855" t="n">
        <v>611</v>
      </c>
      <c r="L2855" t="n">
        <v>84</v>
      </c>
      <c r="M2855" t="n">
        <v>16.74</v>
      </c>
      <c r="N2855" t="n">
        <v>4934.97</v>
      </c>
      <c r="O2855" t="n">
        <v>4.68</v>
      </c>
      <c r="P2855" t="n">
        <v>8</v>
      </c>
      <c r="Q2855" t="n">
        <v>3</v>
      </c>
      <c r="R2855" t="n">
        <v>2020.9</v>
      </c>
      <c r="S2855" t="b">
        <v>0</v>
      </c>
      <c r="T2855" t="n">
        <v>3890049</v>
      </c>
      <c r="U2855" t="n">
        <v>8</v>
      </c>
      <c r="V2855" t="n">
        <v>0.0375</v>
      </c>
      <c r="W2855" t="n">
        <v>2.1</v>
      </c>
      <c r="X2855" t="n">
        <v>60.77</v>
      </c>
      <c r="Y2855">
        <f>VLOOKUP(D2855,$AB$2:$AC$7,2,FALSE)</f>
        <v/>
      </c>
      <c r="Z2855">
        <f>IF(A2855&lt;Y2855,"Yes","No")</f>
        <v/>
      </c>
    </row>
    <row r="2856">
      <c r="A2856" t="n">
        <v>2018</v>
      </c>
      <c r="B2856" t="inlineStr">
        <is>
          <t>Q2</t>
        </is>
      </c>
      <c r="C2856" t="inlineStr">
        <is>
          <t>Europe</t>
        </is>
      </c>
      <c r="D2856" t="inlineStr">
        <is>
          <t>Model X</t>
        </is>
      </c>
      <c r="E2856" t="n">
        <v>1117</v>
      </c>
      <c r="F2856" t="n">
        <v>80675.21000000001</v>
      </c>
      <c r="G2856" t="n">
        <v>27</v>
      </c>
      <c r="H2856" t="inlineStr">
        <is>
          <t>Long Range</t>
        </is>
      </c>
      <c r="I2856" t="inlineStr">
        <is>
          <t>AWD</t>
        </is>
      </c>
      <c r="J2856" t="inlineStr">
        <is>
          <t>Black</t>
        </is>
      </c>
      <c r="K2856" t="n">
        <v>605</v>
      </c>
      <c r="L2856" t="n">
        <v>36</v>
      </c>
      <c r="M2856" t="n">
        <v>23.99</v>
      </c>
      <c r="N2856" t="n">
        <v>2720.91</v>
      </c>
      <c r="O2856" t="n">
        <v>3.71</v>
      </c>
      <c r="P2856" t="n">
        <v>8</v>
      </c>
      <c r="Q2856" t="n">
        <v>1</v>
      </c>
      <c r="R2856" t="n">
        <v>2023.7</v>
      </c>
      <c r="S2856" t="b">
        <v>0</v>
      </c>
      <c r="T2856" t="n">
        <v>3751098</v>
      </c>
      <c r="U2856" t="n">
        <v>8</v>
      </c>
      <c r="V2856" t="n">
        <v>0.0511</v>
      </c>
      <c r="W2856" t="n">
        <v>2.5</v>
      </c>
      <c r="X2856" t="n">
        <v>61.68</v>
      </c>
      <c r="Y2856">
        <f>VLOOKUP(D2856,$AB$2:$AC$7,2,FALSE)</f>
        <v/>
      </c>
      <c r="Z2856">
        <f>IF(A2856&lt;Y2856,"Yes","No")</f>
        <v/>
      </c>
    </row>
    <row r="2857">
      <c r="A2857" t="n">
        <v>2022</v>
      </c>
      <c r="B2857" t="inlineStr">
        <is>
          <t>Q1</t>
        </is>
      </c>
      <c r="C2857" t="inlineStr">
        <is>
          <t>Australia</t>
        </is>
      </c>
      <c r="D2857" t="inlineStr">
        <is>
          <t>Model 3</t>
        </is>
      </c>
      <c r="E2857" t="n">
        <v>4128</v>
      </c>
      <c r="F2857" t="n">
        <v>92851.34</v>
      </c>
      <c r="G2857" t="n">
        <v>48</v>
      </c>
      <c r="H2857" t="inlineStr">
        <is>
          <t>Standard</t>
        </is>
      </c>
      <c r="I2857" t="inlineStr">
        <is>
          <t>AWD</t>
        </is>
      </c>
      <c r="J2857" t="inlineStr">
        <is>
          <t>Blue</t>
        </is>
      </c>
      <c r="K2857" t="n">
        <v>541</v>
      </c>
      <c r="L2857" t="n">
        <v>75</v>
      </c>
      <c r="M2857" t="n">
        <v>18.36</v>
      </c>
      <c r="N2857" t="n">
        <v>2684.68</v>
      </c>
      <c r="O2857" t="n">
        <v>3.89</v>
      </c>
      <c r="P2857" t="n">
        <v>8</v>
      </c>
      <c r="Q2857" t="n">
        <v>3</v>
      </c>
      <c r="R2857" t="n">
        <v>2022.12</v>
      </c>
      <c r="S2857" t="b">
        <v>0</v>
      </c>
      <c r="T2857" t="n">
        <v>1091563</v>
      </c>
      <c r="U2857" t="n">
        <v>8</v>
      </c>
      <c r="V2857" t="n">
        <v>0.033</v>
      </c>
      <c r="W2857" t="n">
        <v>2.3</v>
      </c>
      <c r="X2857" t="n">
        <v>64.73</v>
      </c>
      <c r="Y2857">
        <f>VLOOKUP(D2857,$AB$2:$AC$7,2,FALSE)</f>
        <v/>
      </c>
      <c r="Z2857">
        <f>IF(A2857&lt;Y2857,"Yes","No")</f>
        <v/>
      </c>
    </row>
    <row r="2858">
      <c r="A2858" t="n">
        <v>2013</v>
      </c>
      <c r="B2858" t="inlineStr">
        <is>
          <t>Q2</t>
        </is>
      </c>
      <c r="C2858" t="inlineStr">
        <is>
          <t>Europe</t>
        </is>
      </c>
      <c r="D2858" t="inlineStr">
        <is>
          <t>Model X</t>
        </is>
      </c>
      <c r="E2858" t="n">
        <v>4818</v>
      </c>
      <c r="F2858" t="n">
        <v>94970.02</v>
      </c>
      <c r="G2858" t="n">
        <v>52</v>
      </c>
      <c r="H2858" t="inlineStr">
        <is>
          <t>Long Range</t>
        </is>
      </c>
      <c r="I2858" t="inlineStr">
        <is>
          <t>RWD</t>
        </is>
      </c>
      <c r="J2858" t="inlineStr">
        <is>
          <t>Black</t>
        </is>
      </c>
      <c r="K2858" t="n">
        <v>486</v>
      </c>
      <c r="L2858" t="n">
        <v>74</v>
      </c>
      <c r="M2858" t="n">
        <v>16.15</v>
      </c>
      <c r="N2858" t="n">
        <v>11900.32</v>
      </c>
      <c r="O2858" t="n">
        <v>4.18</v>
      </c>
      <c r="P2858" t="n">
        <v>6</v>
      </c>
      <c r="Q2858" t="n">
        <v>1</v>
      </c>
      <c r="R2858" t="n">
        <v>2023.2</v>
      </c>
      <c r="S2858" t="b">
        <v>0</v>
      </c>
      <c r="T2858" t="n">
        <v>4506640</v>
      </c>
      <c r="U2858" t="n">
        <v>12</v>
      </c>
      <c r="V2858" t="n">
        <v>0.0166</v>
      </c>
      <c r="W2858" t="n">
        <v>1.66</v>
      </c>
      <c r="X2858" t="n">
        <v>87.15000000000001</v>
      </c>
      <c r="Y2858">
        <f>VLOOKUP(D2858,$AB$2:$AC$7,2,FALSE)</f>
        <v/>
      </c>
      <c r="Z2858">
        <f>IF(A2858&lt;Y2858,"Yes","No")</f>
        <v/>
      </c>
    </row>
    <row r="2859">
      <c r="A2859" t="n">
        <v>2017</v>
      </c>
      <c r="B2859" t="inlineStr">
        <is>
          <t>Q4</t>
        </is>
      </c>
      <c r="C2859" t="inlineStr">
        <is>
          <t>South America</t>
        </is>
      </c>
      <c r="D2859" t="inlineStr">
        <is>
          <t>Model S</t>
        </is>
      </c>
      <c r="E2859" t="n">
        <v>4653</v>
      </c>
      <c r="F2859" t="n">
        <v>55761.83</v>
      </c>
      <c r="G2859" t="n">
        <v>33</v>
      </c>
      <c r="H2859" t="inlineStr">
        <is>
          <t>Performance</t>
        </is>
      </c>
      <c r="I2859" t="inlineStr">
        <is>
          <t>AWD</t>
        </is>
      </c>
      <c r="J2859" t="inlineStr">
        <is>
          <t>Blue</t>
        </is>
      </c>
      <c r="K2859" t="n">
        <v>356</v>
      </c>
      <c r="L2859" t="n">
        <v>44</v>
      </c>
      <c r="M2859" t="n">
        <v>20.58</v>
      </c>
      <c r="N2859" t="n">
        <v>9294.129999999999</v>
      </c>
      <c r="O2859" t="n">
        <v>4.03</v>
      </c>
      <c r="P2859" t="n">
        <v>8</v>
      </c>
      <c r="Q2859" t="n">
        <v>3</v>
      </c>
      <c r="R2859" t="n">
        <v>2020.6</v>
      </c>
      <c r="S2859" t="b">
        <v>1</v>
      </c>
      <c r="T2859" t="n">
        <v>2184116</v>
      </c>
      <c r="U2859" t="n">
        <v>12</v>
      </c>
      <c r="V2859" t="n">
        <v>0.0984</v>
      </c>
      <c r="W2859" t="n">
        <v>1.84</v>
      </c>
      <c r="X2859" t="n">
        <v>75.98</v>
      </c>
      <c r="Y2859">
        <f>VLOOKUP(D2859,$AB$2:$AC$7,2,FALSE)</f>
        <v/>
      </c>
      <c r="Z2859">
        <f>IF(A2859&lt;Y2859,"Yes","No")</f>
        <v/>
      </c>
    </row>
    <row r="2860">
      <c r="A2860" t="n">
        <v>2017</v>
      </c>
      <c r="B2860" t="inlineStr">
        <is>
          <t>Q1</t>
        </is>
      </c>
      <c r="C2860" t="inlineStr">
        <is>
          <t>South America</t>
        </is>
      </c>
      <c r="D2860" t="inlineStr">
        <is>
          <t>Cybertruck</t>
        </is>
      </c>
      <c r="E2860" t="n">
        <v>1682</v>
      </c>
      <c r="F2860" t="n">
        <v>81162.5</v>
      </c>
      <c r="G2860" t="n">
        <v>24</v>
      </c>
      <c r="H2860" t="inlineStr">
        <is>
          <t>Standard</t>
        </is>
      </c>
      <c r="I2860" t="inlineStr">
        <is>
          <t>RWD</t>
        </is>
      </c>
      <c r="J2860" t="inlineStr">
        <is>
          <t>Silver</t>
        </is>
      </c>
      <c r="K2860" t="n">
        <v>556</v>
      </c>
      <c r="L2860" t="n">
        <v>74</v>
      </c>
      <c r="M2860" t="n">
        <v>15.19</v>
      </c>
      <c r="N2860" t="n">
        <v>4185.94</v>
      </c>
      <c r="O2860" t="n">
        <v>4.32</v>
      </c>
      <c r="P2860" t="n">
        <v>6</v>
      </c>
      <c r="Q2860" t="n">
        <v>3</v>
      </c>
      <c r="R2860" t="n">
        <v>2024.2</v>
      </c>
      <c r="S2860" t="b">
        <v>1</v>
      </c>
      <c r="T2860" t="n">
        <v>459967</v>
      </c>
      <c r="U2860" t="n">
        <v>5</v>
      </c>
      <c r="V2860" t="n">
        <v>0.0112</v>
      </c>
      <c r="W2860" t="n">
        <v>1.59</v>
      </c>
      <c r="X2860" t="n">
        <v>87.31</v>
      </c>
      <c r="Y2860">
        <f>VLOOKUP(D2860,$AB$2:$AC$7,2,FALSE)</f>
        <v/>
      </c>
      <c r="Z2860">
        <f>IF(A2860&lt;Y2860,"Yes","No")</f>
        <v/>
      </c>
    </row>
    <row r="2861">
      <c r="A2861" t="n">
        <v>2019</v>
      </c>
      <c r="B2861" t="inlineStr">
        <is>
          <t>Q3</t>
        </is>
      </c>
      <c r="C2861" t="inlineStr">
        <is>
          <t>South America</t>
        </is>
      </c>
      <c r="D2861" t="inlineStr">
        <is>
          <t>Model Y</t>
        </is>
      </c>
      <c r="E2861" t="n">
        <v>1794</v>
      </c>
      <c r="F2861" t="n">
        <v>82200.77</v>
      </c>
      <c r="G2861" t="n">
        <v>41</v>
      </c>
      <c r="H2861" t="inlineStr">
        <is>
          <t>Standard</t>
        </is>
      </c>
      <c r="I2861" t="inlineStr">
        <is>
          <t>RWD</t>
        </is>
      </c>
      <c r="J2861" t="inlineStr">
        <is>
          <t>Red</t>
        </is>
      </c>
      <c r="K2861" t="n">
        <v>501</v>
      </c>
      <c r="L2861" t="n">
        <v>79</v>
      </c>
      <c r="M2861" t="n">
        <v>16.22</v>
      </c>
      <c r="N2861" t="n">
        <v>4240.13</v>
      </c>
      <c r="O2861" t="n">
        <v>3.61</v>
      </c>
      <c r="P2861" t="n">
        <v>8</v>
      </c>
      <c r="Q2861" t="n">
        <v>0</v>
      </c>
      <c r="R2861" t="n">
        <v>2021.1</v>
      </c>
      <c r="S2861" t="b">
        <v>0</v>
      </c>
      <c r="T2861" t="n">
        <v>1785781</v>
      </c>
      <c r="U2861" t="n">
        <v>7</v>
      </c>
      <c r="V2861" t="n">
        <v>0.0356</v>
      </c>
      <c r="W2861" t="n">
        <v>1.2</v>
      </c>
      <c r="X2861" t="n">
        <v>77.2</v>
      </c>
      <c r="Y2861">
        <f>VLOOKUP(D2861,$AB$2:$AC$7,2,FALSE)</f>
        <v/>
      </c>
      <c r="Z2861">
        <f>IF(A2861&lt;Y2861,"Yes","No")</f>
        <v/>
      </c>
    </row>
    <row r="2862">
      <c r="A2862" t="n">
        <v>2018</v>
      </c>
      <c r="B2862" t="inlineStr">
        <is>
          <t>Q1</t>
        </is>
      </c>
      <c r="C2862" t="inlineStr">
        <is>
          <t>North America</t>
        </is>
      </c>
      <c r="D2862" t="inlineStr">
        <is>
          <t>Model X</t>
        </is>
      </c>
      <c r="E2862" t="n">
        <v>4268</v>
      </c>
      <c r="F2862" t="n">
        <v>101845.78</v>
      </c>
      <c r="G2862" t="n">
        <v>32</v>
      </c>
      <c r="H2862" t="inlineStr">
        <is>
          <t>Performance</t>
        </is>
      </c>
      <c r="I2862" t="inlineStr">
        <is>
          <t>AWD</t>
        </is>
      </c>
      <c r="J2862" t="inlineStr">
        <is>
          <t>White</t>
        </is>
      </c>
      <c r="K2862" t="n">
        <v>684</v>
      </c>
      <c r="L2862" t="n">
        <v>60</v>
      </c>
      <c r="M2862" t="n">
        <v>23.74</v>
      </c>
      <c r="N2862" t="n">
        <v>10631.4</v>
      </c>
      <c r="O2862" t="n">
        <v>4.52</v>
      </c>
      <c r="P2862" t="n">
        <v>8</v>
      </c>
      <c r="Q2862" t="n">
        <v>2</v>
      </c>
      <c r="R2862" t="n">
        <v>2024.12</v>
      </c>
      <c r="S2862" t="b">
        <v>0</v>
      </c>
      <c r="T2862" t="n">
        <v>548676</v>
      </c>
      <c r="U2862" t="n">
        <v>4</v>
      </c>
      <c r="V2862" t="n">
        <v>0.037</v>
      </c>
      <c r="W2862" t="n">
        <v>1.68</v>
      </c>
      <c r="X2862" t="n">
        <v>75.05</v>
      </c>
      <c r="Y2862">
        <f>VLOOKUP(D2862,$AB$2:$AC$7,2,FALSE)</f>
        <v/>
      </c>
      <c r="Z2862">
        <f>IF(A2862&lt;Y2862,"Yes","No")</f>
        <v/>
      </c>
    </row>
    <row r="2863">
      <c r="A2863" t="n">
        <v>2013</v>
      </c>
      <c r="B2863" t="inlineStr">
        <is>
          <t>Q2</t>
        </is>
      </c>
      <c r="C2863" t="inlineStr">
        <is>
          <t>South America</t>
        </is>
      </c>
      <c r="D2863" t="inlineStr">
        <is>
          <t>Cybertruck</t>
        </is>
      </c>
      <c r="E2863" t="n">
        <v>4951</v>
      </c>
      <c r="F2863" t="n">
        <v>99452.94</v>
      </c>
      <c r="G2863" t="n">
        <v>29</v>
      </c>
      <c r="H2863" t="inlineStr">
        <is>
          <t>Performance</t>
        </is>
      </c>
      <c r="I2863" t="inlineStr">
        <is>
          <t>AWD</t>
        </is>
      </c>
      <c r="J2863" t="inlineStr">
        <is>
          <t>White</t>
        </is>
      </c>
      <c r="K2863" t="n">
        <v>692</v>
      </c>
      <c r="L2863" t="n">
        <v>48</v>
      </c>
      <c r="M2863" t="n">
        <v>22.08</v>
      </c>
      <c r="N2863" t="n">
        <v>10681.09</v>
      </c>
      <c r="O2863" t="n">
        <v>4.53</v>
      </c>
      <c r="P2863" t="n">
        <v>6</v>
      </c>
      <c r="Q2863" t="n">
        <v>0</v>
      </c>
      <c r="R2863" t="n">
        <v>2022.12</v>
      </c>
      <c r="S2863" t="b">
        <v>0</v>
      </c>
      <c r="T2863" t="n">
        <v>1796557</v>
      </c>
      <c r="U2863" t="n">
        <v>12</v>
      </c>
      <c r="V2863" t="n">
        <v>0.0156</v>
      </c>
      <c r="W2863" t="n">
        <v>0.75</v>
      </c>
      <c r="X2863" t="n">
        <v>82.40000000000001</v>
      </c>
      <c r="Y2863">
        <f>VLOOKUP(D2863,$AB$2:$AC$7,2,FALSE)</f>
        <v/>
      </c>
      <c r="Z2863">
        <f>IF(A2863&lt;Y2863,"Yes","No")</f>
        <v/>
      </c>
    </row>
    <row r="2864">
      <c r="A2864" t="n">
        <v>2017</v>
      </c>
      <c r="B2864" t="inlineStr">
        <is>
          <t>Q2</t>
        </is>
      </c>
      <c r="C2864" t="inlineStr">
        <is>
          <t>Australia</t>
        </is>
      </c>
      <c r="D2864" t="inlineStr">
        <is>
          <t>Model S</t>
        </is>
      </c>
      <c r="E2864" t="n">
        <v>2321</v>
      </c>
      <c r="F2864" t="n">
        <v>94511.83</v>
      </c>
      <c r="G2864" t="n">
        <v>50</v>
      </c>
      <c r="H2864" t="inlineStr">
        <is>
          <t>Performance</t>
        </is>
      </c>
      <c r="I2864" t="inlineStr">
        <is>
          <t>RWD</t>
        </is>
      </c>
      <c r="J2864" t="inlineStr">
        <is>
          <t>Green</t>
        </is>
      </c>
      <c r="K2864" t="n">
        <v>615</v>
      </c>
      <c r="L2864" t="n">
        <v>40</v>
      </c>
      <c r="M2864" t="n">
        <v>22.96</v>
      </c>
      <c r="N2864" t="n">
        <v>2867.66</v>
      </c>
      <c r="O2864" t="n">
        <v>4.46</v>
      </c>
      <c r="P2864" t="n">
        <v>8</v>
      </c>
      <c r="Q2864" t="n">
        <v>1</v>
      </c>
      <c r="R2864" t="n">
        <v>2023.4</v>
      </c>
      <c r="S2864" t="b">
        <v>1</v>
      </c>
      <c r="T2864" t="n">
        <v>3109117</v>
      </c>
      <c r="U2864" t="n">
        <v>3</v>
      </c>
      <c r="V2864" t="n">
        <v>0.0224</v>
      </c>
      <c r="W2864" t="n">
        <v>2.33</v>
      </c>
      <c r="X2864" t="n">
        <v>72.34</v>
      </c>
      <c r="Y2864">
        <f>VLOOKUP(D2864,$AB$2:$AC$7,2,FALSE)</f>
        <v/>
      </c>
      <c r="Z2864">
        <f>IF(A2864&lt;Y2864,"Yes","No")</f>
        <v/>
      </c>
    </row>
    <row r="2865">
      <c r="A2865" t="n">
        <v>2019</v>
      </c>
      <c r="B2865" t="inlineStr">
        <is>
          <t>Q4</t>
        </is>
      </c>
      <c r="C2865" t="inlineStr">
        <is>
          <t>Europe</t>
        </is>
      </c>
      <c r="D2865" t="inlineStr">
        <is>
          <t>Model S</t>
        </is>
      </c>
      <c r="E2865" t="n">
        <v>3823</v>
      </c>
      <c r="F2865" t="n">
        <v>55599.76</v>
      </c>
      <c r="G2865" t="n">
        <v>48</v>
      </c>
      <c r="H2865" t="inlineStr">
        <is>
          <t>Standard</t>
        </is>
      </c>
      <c r="I2865" t="inlineStr">
        <is>
          <t>RWD</t>
        </is>
      </c>
      <c r="J2865" t="inlineStr">
        <is>
          <t>Blue</t>
        </is>
      </c>
      <c r="K2865" t="n">
        <v>632</v>
      </c>
      <c r="L2865" t="n">
        <v>70</v>
      </c>
      <c r="M2865" t="n">
        <v>16</v>
      </c>
      <c r="N2865" t="n">
        <v>6278.21</v>
      </c>
      <c r="O2865" t="n">
        <v>4.45</v>
      </c>
      <c r="P2865" t="n">
        <v>8</v>
      </c>
      <c r="Q2865" t="n">
        <v>0</v>
      </c>
      <c r="R2865" t="n">
        <v>2020.2</v>
      </c>
      <c r="S2865" t="b">
        <v>0</v>
      </c>
      <c r="T2865" t="n">
        <v>384228</v>
      </c>
      <c r="U2865" t="n">
        <v>5</v>
      </c>
      <c r="V2865" t="n">
        <v>0.0343</v>
      </c>
      <c r="W2865" t="n">
        <v>0.74</v>
      </c>
      <c r="X2865" t="n">
        <v>85.45999999999999</v>
      </c>
      <c r="Y2865">
        <f>VLOOKUP(D2865,$AB$2:$AC$7,2,FALSE)</f>
        <v/>
      </c>
      <c r="Z2865">
        <f>IF(A2865&lt;Y2865,"Yes","No")</f>
        <v/>
      </c>
    </row>
    <row r="2866">
      <c r="A2866" t="n">
        <v>2014</v>
      </c>
      <c r="B2866" t="inlineStr">
        <is>
          <t>Q2</t>
        </is>
      </c>
      <c r="C2866" t="inlineStr">
        <is>
          <t>Europe</t>
        </is>
      </c>
      <c r="D2866" t="inlineStr">
        <is>
          <t>Semi</t>
        </is>
      </c>
      <c r="E2866" t="n">
        <v>2685</v>
      </c>
      <c r="F2866" t="n">
        <v>69434.99000000001</v>
      </c>
      <c r="G2866" t="n">
        <v>7</v>
      </c>
      <c r="H2866" t="inlineStr">
        <is>
          <t>Standard</t>
        </is>
      </c>
      <c r="I2866" t="inlineStr">
        <is>
          <t>RWD</t>
        </is>
      </c>
      <c r="J2866" t="inlineStr">
        <is>
          <t>Black</t>
        </is>
      </c>
      <c r="K2866" t="n">
        <v>472</v>
      </c>
      <c r="L2866" t="n">
        <v>53</v>
      </c>
      <c r="M2866" t="n">
        <v>24.5</v>
      </c>
      <c r="N2866" t="n">
        <v>1817.4</v>
      </c>
      <c r="O2866" t="n">
        <v>4.69</v>
      </c>
      <c r="P2866" t="n">
        <v>4</v>
      </c>
      <c r="Q2866" t="n">
        <v>2</v>
      </c>
      <c r="R2866" t="n">
        <v>2023.5</v>
      </c>
      <c r="S2866" t="b">
        <v>1</v>
      </c>
      <c r="T2866" t="n">
        <v>677646</v>
      </c>
      <c r="U2866" t="n">
        <v>5</v>
      </c>
      <c r="V2866" t="n">
        <v>0.06759999999999999</v>
      </c>
      <c r="W2866" t="n">
        <v>1.35</v>
      </c>
      <c r="X2866" t="n">
        <v>71.40000000000001</v>
      </c>
      <c r="Y2866">
        <f>VLOOKUP(D2866,$AB$2:$AC$7,2,FALSE)</f>
        <v/>
      </c>
      <c r="Z2866">
        <f>IF(A2866&lt;Y2866,"Yes","No")</f>
        <v/>
      </c>
    </row>
    <row r="2867">
      <c r="A2867" t="n">
        <v>2014</v>
      </c>
      <c r="B2867" t="inlineStr">
        <is>
          <t>Q4</t>
        </is>
      </c>
      <c r="C2867" t="inlineStr">
        <is>
          <t>Europe</t>
        </is>
      </c>
      <c r="D2867" t="inlineStr">
        <is>
          <t>Semi</t>
        </is>
      </c>
      <c r="E2867" t="n">
        <v>4237</v>
      </c>
      <c r="F2867" t="n">
        <v>73168.89</v>
      </c>
      <c r="G2867" t="n">
        <v>9</v>
      </c>
      <c r="H2867" t="inlineStr">
        <is>
          <t>Long Range</t>
        </is>
      </c>
      <c r="I2867" t="inlineStr">
        <is>
          <t>RWD</t>
        </is>
      </c>
      <c r="J2867" t="inlineStr">
        <is>
          <t>Blue</t>
        </is>
      </c>
      <c r="K2867" t="n">
        <v>508</v>
      </c>
      <c r="L2867" t="n">
        <v>81</v>
      </c>
      <c r="M2867" t="n">
        <v>21.25</v>
      </c>
      <c r="N2867" t="n">
        <v>9581.690000000001</v>
      </c>
      <c r="O2867" t="n">
        <v>3.85</v>
      </c>
      <c r="P2867" t="n">
        <v>4</v>
      </c>
      <c r="Q2867" t="n">
        <v>0</v>
      </c>
      <c r="R2867" t="n">
        <v>2023.7</v>
      </c>
      <c r="S2867" t="b">
        <v>1</v>
      </c>
      <c r="T2867" t="n">
        <v>4106617</v>
      </c>
      <c r="U2867" t="n">
        <v>2</v>
      </c>
      <c r="V2867" t="n">
        <v>0.0114</v>
      </c>
      <c r="W2867" t="n">
        <v>2.42</v>
      </c>
      <c r="X2867" t="n">
        <v>77.31</v>
      </c>
      <c r="Y2867">
        <f>VLOOKUP(D2867,$AB$2:$AC$7,2,FALSE)</f>
        <v/>
      </c>
      <c r="Z2867">
        <f>IF(A2867&lt;Y2867,"Yes","No")</f>
        <v/>
      </c>
    </row>
    <row r="2868">
      <c r="A2868" t="n">
        <v>2012</v>
      </c>
      <c r="B2868" t="inlineStr">
        <is>
          <t>Q4</t>
        </is>
      </c>
      <c r="C2868" t="inlineStr">
        <is>
          <t>Australia</t>
        </is>
      </c>
      <c r="D2868" t="inlineStr">
        <is>
          <t>Model X</t>
        </is>
      </c>
      <c r="E2868" t="n">
        <v>2211</v>
      </c>
      <c r="F2868" t="n">
        <v>54365.12</v>
      </c>
      <c r="G2868" t="n">
        <v>58</v>
      </c>
      <c r="H2868" t="inlineStr">
        <is>
          <t>Long Range</t>
        </is>
      </c>
      <c r="I2868" t="inlineStr">
        <is>
          <t>AWD</t>
        </is>
      </c>
      <c r="J2868" t="inlineStr">
        <is>
          <t>White</t>
        </is>
      </c>
      <c r="K2868" t="n">
        <v>536</v>
      </c>
      <c r="L2868" t="n">
        <v>90</v>
      </c>
      <c r="M2868" t="n">
        <v>20.86</v>
      </c>
      <c r="N2868" t="n">
        <v>3284.68</v>
      </c>
      <c r="O2868" t="n">
        <v>3.61</v>
      </c>
      <c r="P2868" t="n">
        <v>4</v>
      </c>
      <c r="Q2868" t="n">
        <v>2</v>
      </c>
      <c r="R2868" t="n">
        <v>2023.4</v>
      </c>
      <c r="S2868" t="b">
        <v>1</v>
      </c>
      <c r="T2868" t="n">
        <v>3365845</v>
      </c>
      <c r="U2868" t="n">
        <v>2</v>
      </c>
      <c r="V2868" t="n">
        <v>0.0467</v>
      </c>
      <c r="W2868" t="n">
        <v>2.42</v>
      </c>
      <c r="X2868" t="n">
        <v>60.52</v>
      </c>
      <c r="Y2868">
        <f>VLOOKUP(D2868,$AB$2:$AC$7,2,FALSE)</f>
        <v/>
      </c>
      <c r="Z2868">
        <f>IF(A2868&lt;Y2868,"Yes","No")</f>
        <v/>
      </c>
    </row>
    <row r="2869">
      <c r="A2869" t="n">
        <v>2023</v>
      </c>
      <c r="B2869" t="inlineStr">
        <is>
          <t>Q1</t>
        </is>
      </c>
      <c r="C2869" t="inlineStr">
        <is>
          <t>Europe</t>
        </is>
      </c>
      <c r="D2869" t="inlineStr">
        <is>
          <t>Semi</t>
        </is>
      </c>
      <c r="E2869" t="n">
        <v>1390</v>
      </c>
      <c r="F2869" t="n">
        <v>53109.43</v>
      </c>
      <c r="G2869" t="n">
        <v>11</v>
      </c>
      <c r="H2869" t="inlineStr">
        <is>
          <t>Standard</t>
        </is>
      </c>
      <c r="I2869" t="inlineStr">
        <is>
          <t>AWD</t>
        </is>
      </c>
      <c r="J2869" t="inlineStr">
        <is>
          <t>Black</t>
        </is>
      </c>
      <c r="K2869" t="n">
        <v>554</v>
      </c>
      <c r="L2869" t="n">
        <v>61</v>
      </c>
      <c r="M2869" t="n">
        <v>14.91</v>
      </c>
      <c r="N2869" t="n">
        <v>2095.41</v>
      </c>
      <c r="O2869" t="n">
        <v>4.16</v>
      </c>
      <c r="P2869" t="n">
        <v>4</v>
      </c>
      <c r="Q2869" t="n">
        <v>0</v>
      </c>
      <c r="R2869" t="n">
        <v>2023.1</v>
      </c>
      <c r="S2869" t="b">
        <v>1</v>
      </c>
      <c r="T2869" t="n">
        <v>1758649</v>
      </c>
      <c r="U2869" t="n">
        <v>7</v>
      </c>
      <c r="V2869" t="n">
        <v>0.0126</v>
      </c>
      <c r="W2869" t="n">
        <v>1.95</v>
      </c>
      <c r="X2869" t="n">
        <v>68.15000000000001</v>
      </c>
      <c r="Y2869">
        <f>VLOOKUP(D2869,$AB$2:$AC$7,2,FALSE)</f>
        <v/>
      </c>
      <c r="Z2869">
        <f>IF(A2869&lt;Y2869,"Yes","No")</f>
        <v/>
      </c>
    </row>
    <row r="2870">
      <c r="A2870" t="n">
        <v>2014</v>
      </c>
      <c r="B2870" t="inlineStr">
        <is>
          <t>Q1</t>
        </is>
      </c>
      <c r="C2870" t="inlineStr">
        <is>
          <t>Australia</t>
        </is>
      </c>
      <c r="D2870" t="inlineStr">
        <is>
          <t>Model 3</t>
        </is>
      </c>
      <c r="E2870" t="n">
        <v>4208</v>
      </c>
      <c r="F2870" t="n">
        <v>96122.87</v>
      </c>
      <c r="G2870" t="n">
        <v>21</v>
      </c>
      <c r="H2870" t="inlineStr">
        <is>
          <t>Performance</t>
        </is>
      </c>
      <c r="I2870" t="inlineStr">
        <is>
          <t>AWD</t>
        </is>
      </c>
      <c r="J2870" t="inlineStr">
        <is>
          <t>White</t>
        </is>
      </c>
      <c r="K2870" t="n">
        <v>419</v>
      </c>
      <c r="L2870" t="n">
        <v>48</v>
      </c>
      <c r="M2870" t="n">
        <v>23.71</v>
      </c>
      <c r="N2870" t="n">
        <v>6770.49</v>
      </c>
      <c r="O2870" t="n">
        <v>4.72</v>
      </c>
      <c r="P2870" t="n">
        <v>4</v>
      </c>
      <c r="Q2870" t="n">
        <v>0</v>
      </c>
      <c r="R2870" t="n">
        <v>2023.9</v>
      </c>
      <c r="S2870" t="b">
        <v>1</v>
      </c>
      <c r="T2870" t="n">
        <v>1442162</v>
      </c>
      <c r="U2870" t="n">
        <v>3</v>
      </c>
      <c r="V2870" t="n">
        <v>0.0832</v>
      </c>
      <c r="W2870" t="n">
        <v>2.25</v>
      </c>
      <c r="X2870" t="n">
        <v>83.69</v>
      </c>
      <c r="Y2870">
        <f>VLOOKUP(D2870,$AB$2:$AC$7,2,FALSE)</f>
        <v/>
      </c>
      <c r="Z2870">
        <f>IF(A2870&lt;Y2870,"Yes","No")</f>
        <v/>
      </c>
    </row>
    <row r="2871">
      <c r="A2871" t="n">
        <v>2022</v>
      </c>
      <c r="B2871" t="inlineStr">
        <is>
          <t>Q4</t>
        </is>
      </c>
      <c r="C2871" t="inlineStr">
        <is>
          <t>Australia</t>
        </is>
      </c>
      <c r="D2871" t="inlineStr">
        <is>
          <t>Cybertruck</t>
        </is>
      </c>
      <c r="E2871" t="n">
        <v>2885</v>
      </c>
      <c r="F2871" t="n">
        <v>79888.14</v>
      </c>
      <c r="G2871" t="n">
        <v>14</v>
      </c>
      <c r="H2871" t="inlineStr">
        <is>
          <t>Standard</t>
        </is>
      </c>
      <c r="I2871" t="inlineStr">
        <is>
          <t>RWD</t>
        </is>
      </c>
      <c r="J2871" t="inlineStr">
        <is>
          <t>Blue</t>
        </is>
      </c>
      <c r="K2871" t="n">
        <v>543</v>
      </c>
      <c r="L2871" t="n">
        <v>89</v>
      </c>
      <c r="M2871" t="n">
        <v>24.11</v>
      </c>
      <c r="N2871" t="n">
        <v>4226.37</v>
      </c>
      <c r="O2871" t="n">
        <v>4.9</v>
      </c>
      <c r="P2871" t="n">
        <v>8</v>
      </c>
      <c r="Q2871" t="n">
        <v>1</v>
      </c>
      <c r="R2871" t="n">
        <v>2024.4</v>
      </c>
      <c r="S2871" t="b">
        <v>1</v>
      </c>
      <c r="T2871" t="n">
        <v>320883</v>
      </c>
      <c r="U2871" t="n">
        <v>9</v>
      </c>
      <c r="V2871" t="n">
        <v>0.0288</v>
      </c>
      <c r="W2871" t="n">
        <v>0.53</v>
      </c>
      <c r="X2871" t="n">
        <v>87.02</v>
      </c>
      <c r="Y2871">
        <f>VLOOKUP(D2871,$AB$2:$AC$7,2,FALSE)</f>
        <v/>
      </c>
      <c r="Z2871">
        <f>IF(A2871&lt;Y2871,"Yes","No")</f>
        <v/>
      </c>
    </row>
    <row r="2872">
      <c r="A2872" t="n">
        <v>2019</v>
      </c>
      <c r="B2872" t="inlineStr">
        <is>
          <t>Q4</t>
        </is>
      </c>
      <c r="C2872" t="inlineStr">
        <is>
          <t>Asia</t>
        </is>
      </c>
      <c r="D2872" t="inlineStr">
        <is>
          <t>Model Y</t>
        </is>
      </c>
      <c r="E2872" t="n">
        <v>2251</v>
      </c>
      <c r="F2872" t="n">
        <v>54737.66</v>
      </c>
      <c r="G2872" t="n">
        <v>42</v>
      </c>
      <c r="H2872" t="inlineStr">
        <is>
          <t>Long Range</t>
        </is>
      </c>
      <c r="I2872" t="inlineStr">
        <is>
          <t>AWD</t>
        </is>
      </c>
      <c r="J2872" t="inlineStr">
        <is>
          <t>Silver</t>
        </is>
      </c>
      <c r="K2872" t="n">
        <v>615</v>
      </c>
      <c r="L2872" t="n">
        <v>84</v>
      </c>
      <c r="M2872" t="n">
        <v>15</v>
      </c>
      <c r="N2872" t="n">
        <v>4152.54</v>
      </c>
      <c r="O2872" t="n">
        <v>3.55</v>
      </c>
      <c r="P2872" t="n">
        <v>6</v>
      </c>
      <c r="Q2872" t="n">
        <v>2</v>
      </c>
      <c r="R2872" t="n">
        <v>2022.5</v>
      </c>
      <c r="S2872" t="b">
        <v>1</v>
      </c>
      <c r="T2872" t="n">
        <v>4780890</v>
      </c>
      <c r="U2872" t="n">
        <v>5</v>
      </c>
      <c r="V2872" t="n">
        <v>0.0431</v>
      </c>
      <c r="W2872" t="n">
        <v>1.52</v>
      </c>
      <c r="X2872" t="n">
        <v>88.51000000000001</v>
      </c>
      <c r="Y2872">
        <f>VLOOKUP(D2872,$AB$2:$AC$7,2,FALSE)</f>
        <v/>
      </c>
      <c r="Z2872">
        <f>IF(A2872&lt;Y2872,"Yes","No")</f>
        <v/>
      </c>
    </row>
    <row r="2873">
      <c r="A2873" t="n">
        <v>2022</v>
      </c>
      <c r="B2873" t="inlineStr">
        <is>
          <t>Q3</t>
        </is>
      </c>
      <c r="C2873" t="inlineStr">
        <is>
          <t>Europe</t>
        </is>
      </c>
      <c r="D2873" t="inlineStr">
        <is>
          <t>Model S</t>
        </is>
      </c>
      <c r="E2873" t="n">
        <v>434</v>
      </c>
      <c r="F2873" t="n">
        <v>84419.66</v>
      </c>
      <c r="G2873" t="n">
        <v>14</v>
      </c>
      <c r="H2873" t="inlineStr">
        <is>
          <t>Performance</t>
        </is>
      </c>
      <c r="I2873" t="inlineStr">
        <is>
          <t>AWD</t>
        </is>
      </c>
      <c r="J2873" t="inlineStr">
        <is>
          <t>White</t>
        </is>
      </c>
      <c r="K2873" t="n">
        <v>494</v>
      </c>
      <c r="L2873" t="n">
        <v>73</v>
      </c>
      <c r="M2873" t="n">
        <v>22.43</v>
      </c>
      <c r="N2873" t="n">
        <v>947.8200000000001</v>
      </c>
      <c r="O2873" t="n">
        <v>4.39</v>
      </c>
      <c r="P2873" t="n">
        <v>6</v>
      </c>
      <c r="Q2873" t="n">
        <v>1</v>
      </c>
      <c r="R2873" t="n">
        <v>2020.2</v>
      </c>
      <c r="S2873" t="b">
        <v>0</v>
      </c>
      <c r="T2873" t="n">
        <v>515508</v>
      </c>
      <c r="U2873" t="n">
        <v>10</v>
      </c>
      <c r="V2873" t="n">
        <v>0.0126</v>
      </c>
      <c r="W2873" t="n">
        <v>1.93</v>
      </c>
      <c r="X2873" t="n">
        <v>71.03</v>
      </c>
      <c r="Y2873">
        <f>VLOOKUP(D2873,$AB$2:$AC$7,2,FALSE)</f>
        <v/>
      </c>
      <c r="Z2873">
        <f>IF(A2873&lt;Y2873,"Yes","No")</f>
        <v/>
      </c>
    </row>
    <row r="2874">
      <c r="A2874" t="n">
        <v>2023</v>
      </c>
      <c r="B2874" t="inlineStr">
        <is>
          <t>Q2</t>
        </is>
      </c>
      <c r="C2874" t="inlineStr">
        <is>
          <t>South America</t>
        </is>
      </c>
      <c r="D2874" t="inlineStr">
        <is>
          <t>Model 3</t>
        </is>
      </c>
      <c r="E2874" t="n">
        <v>4882</v>
      </c>
      <c r="F2874" t="n">
        <v>81959.11</v>
      </c>
      <c r="G2874" t="n">
        <v>23</v>
      </c>
      <c r="H2874" t="inlineStr">
        <is>
          <t>Long Range</t>
        </is>
      </c>
      <c r="I2874" t="inlineStr">
        <is>
          <t>RWD</t>
        </is>
      </c>
      <c r="J2874" t="inlineStr">
        <is>
          <t>Blue</t>
        </is>
      </c>
      <c r="K2874" t="n">
        <v>354</v>
      </c>
      <c r="L2874" t="n">
        <v>31</v>
      </c>
      <c r="M2874" t="n">
        <v>23.34</v>
      </c>
      <c r="N2874" t="n">
        <v>9316.92</v>
      </c>
      <c r="O2874" t="n">
        <v>3.77</v>
      </c>
      <c r="P2874" t="n">
        <v>4</v>
      </c>
      <c r="Q2874" t="n">
        <v>1</v>
      </c>
      <c r="R2874" t="n">
        <v>2024.7</v>
      </c>
      <c r="S2874" t="b">
        <v>0</v>
      </c>
      <c r="T2874" t="n">
        <v>2546841</v>
      </c>
      <c r="U2874" t="n">
        <v>10</v>
      </c>
      <c r="V2874" t="n">
        <v>0.089</v>
      </c>
      <c r="W2874" t="n">
        <v>1.67</v>
      </c>
      <c r="X2874" t="n">
        <v>87.78</v>
      </c>
      <c r="Y2874">
        <f>VLOOKUP(D2874,$AB$2:$AC$7,2,FALSE)</f>
        <v/>
      </c>
      <c r="Z2874">
        <f>IF(A2874&lt;Y2874,"Yes","No")</f>
        <v/>
      </c>
    </row>
    <row r="2875">
      <c r="A2875" t="n">
        <v>2022</v>
      </c>
      <c r="B2875" t="inlineStr">
        <is>
          <t>Q2</t>
        </is>
      </c>
      <c r="C2875" t="inlineStr">
        <is>
          <t>Europe</t>
        </is>
      </c>
      <c r="D2875" t="inlineStr">
        <is>
          <t>Cybertruck</t>
        </is>
      </c>
      <c r="E2875" t="n">
        <v>117</v>
      </c>
      <c r="F2875" t="n">
        <v>112769.92</v>
      </c>
      <c r="G2875" t="n">
        <v>23</v>
      </c>
      <c r="H2875" t="inlineStr">
        <is>
          <t>Standard</t>
        </is>
      </c>
      <c r="I2875" t="inlineStr">
        <is>
          <t>RWD</t>
        </is>
      </c>
      <c r="J2875" t="inlineStr">
        <is>
          <t>Black</t>
        </is>
      </c>
      <c r="K2875" t="n">
        <v>478</v>
      </c>
      <c r="L2875" t="n">
        <v>58</v>
      </c>
      <c r="M2875" t="n">
        <v>22.48</v>
      </c>
      <c r="N2875" t="n">
        <v>206.04</v>
      </c>
      <c r="O2875" t="n">
        <v>4.9</v>
      </c>
      <c r="P2875" t="n">
        <v>8</v>
      </c>
      <c r="Q2875" t="n">
        <v>3</v>
      </c>
      <c r="R2875" t="n">
        <v>2024.1</v>
      </c>
      <c r="S2875" t="b">
        <v>0</v>
      </c>
      <c r="T2875" t="n">
        <v>3825030</v>
      </c>
      <c r="U2875" t="n">
        <v>12</v>
      </c>
      <c r="V2875" t="n">
        <v>0.0699</v>
      </c>
      <c r="W2875" t="n">
        <v>2.47</v>
      </c>
      <c r="X2875" t="n">
        <v>61.85</v>
      </c>
      <c r="Y2875">
        <f>VLOOKUP(D2875,$AB$2:$AC$7,2,FALSE)</f>
        <v/>
      </c>
      <c r="Z2875">
        <f>IF(A2875&lt;Y2875,"Yes","No")</f>
        <v/>
      </c>
    </row>
    <row r="2876">
      <c r="A2876" t="n">
        <v>2022</v>
      </c>
      <c r="B2876" t="inlineStr">
        <is>
          <t>Q3</t>
        </is>
      </c>
      <c r="C2876" t="inlineStr">
        <is>
          <t>Asia</t>
        </is>
      </c>
      <c r="D2876" t="inlineStr">
        <is>
          <t>Model X</t>
        </is>
      </c>
      <c r="E2876" t="n">
        <v>1124</v>
      </c>
      <c r="F2876" t="n">
        <v>84788.27</v>
      </c>
      <c r="G2876" t="n">
        <v>23</v>
      </c>
      <c r="H2876" t="inlineStr">
        <is>
          <t>Performance</t>
        </is>
      </c>
      <c r="I2876" t="inlineStr">
        <is>
          <t>AWD</t>
        </is>
      </c>
      <c r="J2876" t="inlineStr">
        <is>
          <t>White</t>
        </is>
      </c>
      <c r="K2876" t="n">
        <v>647</v>
      </c>
      <c r="L2876" t="n">
        <v>36</v>
      </c>
      <c r="M2876" t="n">
        <v>16.44</v>
      </c>
      <c r="N2876" t="n">
        <v>576.96</v>
      </c>
      <c r="O2876" t="n">
        <v>4.17</v>
      </c>
      <c r="P2876" t="n">
        <v>6</v>
      </c>
      <c r="Q2876" t="n">
        <v>1</v>
      </c>
      <c r="R2876" t="n">
        <v>2020.11</v>
      </c>
      <c r="S2876" t="b">
        <v>1</v>
      </c>
      <c r="T2876" t="n">
        <v>920114</v>
      </c>
      <c r="U2876" t="n">
        <v>2</v>
      </c>
      <c r="V2876" t="n">
        <v>0.0412</v>
      </c>
      <c r="W2876" t="n">
        <v>2.28</v>
      </c>
      <c r="X2876" t="n">
        <v>71.67</v>
      </c>
      <c r="Y2876">
        <f>VLOOKUP(D2876,$AB$2:$AC$7,2,FALSE)</f>
        <v/>
      </c>
      <c r="Z2876">
        <f>IF(A2876&lt;Y2876,"Yes","No")</f>
        <v/>
      </c>
    </row>
    <row r="2877">
      <c r="A2877" t="n">
        <v>2020</v>
      </c>
      <c r="B2877" t="inlineStr">
        <is>
          <t>Q4</t>
        </is>
      </c>
      <c r="C2877" t="inlineStr">
        <is>
          <t>South America</t>
        </is>
      </c>
      <c r="D2877" t="inlineStr">
        <is>
          <t>Semi</t>
        </is>
      </c>
      <c r="E2877" t="n">
        <v>2155</v>
      </c>
      <c r="F2877" t="n">
        <v>103243.85</v>
      </c>
      <c r="G2877" t="n">
        <v>4</v>
      </c>
      <c r="H2877" t="inlineStr">
        <is>
          <t>Performance</t>
        </is>
      </c>
      <c r="I2877" t="inlineStr">
        <is>
          <t>RWD</t>
        </is>
      </c>
      <c r="J2877" t="inlineStr">
        <is>
          <t>Red</t>
        </is>
      </c>
      <c r="K2877" t="n">
        <v>546</v>
      </c>
      <c r="L2877" t="n">
        <v>50</v>
      </c>
      <c r="M2877" t="n">
        <v>21.8</v>
      </c>
      <c r="N2877" t="n">
        <v>1347.04</v>
      </c>
      <c r="O2877" t="n">
        <v>3.66</v>
      </c>
      <c r="P2877" t="n">
        <v>8</v>
      </c>
      <c r="Q2877" t="n">
        <v>3</v>
      </c>
      <c r="R2877" t="n">
        <v>2022.11</v>
      </c>
      <c r="S2877" t="b">
        <v>1</v>
      </c>
      <c r="T2877" t="n">
        <v>350898</v>
      </c>
      <c r="U2877" t="n">
        <v>7</v>
      </c>
      <c r="V2877" t="n">
        <v>0.0461</v>
      </c>
      <c r="W2877" t="n">
        <v>0.89</v>
      </c>
      <c r="X2877" t="n">
        <v>63.89</v>
      </c>
      <c r="Y2877">
        <f>VLOOKUP(D2877,$AB$2:$AC$7,2,FALSE)</f>
        <v/>
      </c>
      <c r="Z2877">
        <f>IF(A2877&lt;Y2877,"Yes","No")</f>
        <v/>
      </c>
    </row>
    <row r="2878">
      <c r="A2878" t="n">
        <v>2014</v>
      </c>
      <c r="B2878" t="inlineStr">
        <is>
          <t>Q3</t>
        </is>
      </c>
      <c r="C2878" t="inlineStr">
        <is>
          <t>Australia</t>
        </is>
      </c>
      <c r="D2878" t="inlineStr">
        <is>
          <t>Model 3</t>
        </is>
      </c>
      <c r="E2878" t="n">
        <v>311</v>
      </c>
      <c r="F2878" t="n">
        <v>50320.03</v>
      </c>
      <c r="G2878" t="n">
        <v>49</v>
      </c>
      <c r="H2878" t="inlineStr">
        <is>
          <t>Long Range</t>
        </is>
      </c>
      <c r="I2878" t="inlineStr">
        <is>
          <t>RWD</t>
        </is>
      </c>
      <c r="J2878" t="inlineStr">
        <is>
          <t>Silver</t>
        </is>
      </c>
      <c r="K2878" t="n">
        <v>562</v>
      </c>
      <c r="L2878" t="n">
        <v>51</v>
      </c>
      <c r="M2878" t="n">
        <v>23.17</v>
      </c>
      <c r="N2878" t="n">
        <v>364</v>
      </c>
      <c r="O2878" t="n">
        <v>4.33</v>
      </c>
      <c r="P2878" t="n">
        <v>8</v>
      </c>
      <c r="Q2878" t="n">
        <v>3</v>
      </c>
      <c r="R2878" t="n">
        <v>2023.4</v>
      </c>
      <c r="S2878" t="b">
        <v>0</v>
      </c>
      <c r="T2878" t="n">
        <v>335888</v>
      </c>
      <c r="U2878" t="n">
        <v>5</v>
      </c>
      <c r="V2878" t="n">
        <v>0.0929</v>
      </c>
      <c r="W2878" t="n">
        <v>2.23</v>
      </c>
      <c r="X2878" t="n">
        <v>63.34</v>
      </c>
      <c r="Y2878">
        <f>VLOOKUP(D2878,$AB$2:$AC$7,2,FALSE)</f>
        <v/>
      </c>
      <c r="Z2878">
        <f>IF(A2878&lt;Y2878,"Yes","No")</f>
        <v/>
      </c>
    </row>
    <row r="2879">
      <c r="A2879" t="n">
        <v>2022</v>
      </c>
      <c r="B2879" t="inlineStr">
        <is>
          <t>Q2</t>
        </is>
      </c>
      <c r="C2879" t="inlineStr">
        <is>
          <t>Asia</t>
        </is>
      </c>
      <c r="D2879" t="inlineStr">
        <is>
          <t>Model X</t>
        </is>
      </c>
      <c r="E2879" t="n">
        <v>4651</v>
      </c>
      <c r="F2879" t="n">
        <v>71507.35000000001</v>
      </c>
      <c r="G2879" t="n">
        <v>22</v>
      </c>
      <c r="H2879" t="inlineStr">
        <is>
          <t>Long Range</t>
        </is>
      </c>
      <c r="I2879" t="inlineStr">
        <is>
          <t>RWD</t>
        </is>
      </c>
      <c r="J2879" t="inlineStr">
        <is>
          <t>Silver</t>
        </is>
      </c>
      <c r="K2879" t="n">
        <v>645</v>
      </c>
      <c r="L2879" t="n">
        <v>62</v>
      </c>
      <c r="M2879" t="n">
        <v>23.29</v>
      </c>
      <c r="N2879" t="n">
        <v>5101.33</v>
      </c>
      <c r="O2879" t="n">
        <v>3.9</v>
      </c>
      <c r="P2879" t="n">
        <v>4</v>
      </c>
      <c r="Q2879" t="n">
        <v>2</v>
      </c>
      <c r="R2879" t="n">
        <v>2020.1</v>
      </c>
      <c r="S2879" t="b">
        <v>0</v>
      </c>
      <c r="T2879" t="n">
        <v>4400806</v>
      </c>
      <c r="U2879" t="n">
        <v>5</v>
      </c>
      <c r="V2879" t="n">
        <v>0.0721</v>
      </c>
      <c r="W2879" t="n">
        <v>1.46</v>
      </c>
      <c r="X2879" t="n">
        <v>72.56999999999999</v>
      </c>
      <c r="Y2879">
        <f>VLOOKUP(D2879,$AB$2:$AC$7,2,FALSE)</f>
        <v/>
      </c>
      <c r="Z2879">
        <f>IF(A2879&lt;Y2879,"Yes","No")</f>
        <v/>
      </c>
    </row>
    <row r="2880">
      <c r="A2880" t="n">
        <v>2014</v>
      </c>
      <c r="B2880" t="inlineStr">
        <is>
          <t>Q1</t>
        </is>
      </c>
      <c r="C2880" t="inlineStr">
        <is>
          <t>South America</t>
        </is>
      </c>
      <c r="D2880" t="inlineStr">
        <is>
          <t>Model 3</t>
        </is>
      </c>
      <c r="E2880" t="n">
        <v>1847</v>
      </c>
      <c r="F2880" t="n">
        <v>76222.55</v>
      </c>
      <c r="G2880" t="n">
        <v>1</v>
      </c>
      <c r="H2880" t="inlineStr">
        <is>
          <t>Long Range</t>
        </is>
      </c>
      <c r="I2880" t="inlineStr">
        <is>
          <t>RWD</t>
        </is>
      </c>
      <c r="J2880" t="inlineStr">
        <is>
          <t>Red</t>
        </is>
      </c>
      <c r="K2880" t="n">
        <v>434</v>
      </c>
      <c r="L2880" t="n">
        <v>42</v>
      </c>
      <c r="M2880" t="n">
        <v>15.71</v>
      </c>
      <c r="N2880" t="n">
        <v>3166.14</v>
      </c>
      <c r="O2880" t="n">
        <v>3.53</v>
      </c>
      <c r="P2880" t="n">
        <v>8</v>
      </c>
      <c r="Q2880" t="n">
        <v>1</v>
      </c>
      <c r="R2880" t="n">
        <v>2021.8</v>
      </c>
      <c r="S2880" t="b">
        <v>1</v>
      </c>
      <c r="T2880" t="n">
        <v>1181259</v>
      </c>
      <c r="U2880" t="n">
        <v>6</v>
      </c>
      <c r="V2880" t="n">
        <v>0.0271</v>
      </c>
      <c r="W2880" t="n">
        <v>2.32</v>
      </c>
      <c r="X2880" t="n">
        <v>74.68000000000001</v>
      </c>
      <c r="Y2880">
        <f>VLOOKUP(D2880,$AB$2:$AC$7,2,FALSE)</f>
        <v/>
      </c>
      <c r="Z2880">
        <f>IF(A2880&lt;Y2880,"Yes","No")</f>
        <v/>
      </c>
    </row>
    <row r="2881">
      <c r="A2881" t="n">
        <v>2017</v>
      </c>
      <c r="B2881" t="inlineStr">
        <is>
          <t>Q1</t>
        </is>
      </c>
      <c r="C2881" t="inlineStr">
        <is>
          <t>North America</t>
        </is>
      </c>
      <c r="D2881" t="inlineStr">
        <is>
          <t>Model Y</t>
        </is>
      </c>
      <c r="E2881" t="n">
        <v>1147</v>
      </c>
      <c r="F2881" t="n">
        <v>64234.34</v>
      </c>
      <c r="G2881" t="n">
        <v>24</v>
      </c>
      <c r="H2881" t="inlineStr">
        <is>
          <t>Performance</t>
        </is>
      </c>
      <c r="I2881" t="inlineStr">
        <is>
          <t>RWD</t>
        </is>
      </c>
      <c r="J2881" t="inlineStr">
        <is>
          <t>Red</t>
        </is>
      </c>
      <c r="K2881" t="n">
        <v>607</v>
      </c>
      <c r="L2881" t="n">
        <v>53</v>
      </c>
      <c r="M2881" t="n">
        <v>13.85</v>
      </c>
      <c r="N2881" t="n">
        <v>1189.22</v>
      </c>
      <c r="O2881" t="n">
        <v>4.86</v>
      </c>
      <c r="P2881" t="n">
        <v>8</v>
      </c>
      <c r="Q2881" t="n">
        <v>3</v>
      </c>
      <c r="R2881" t="n">
        <v>2023.2</v>
      </c>
      <c r="S2881" t="b">
        <v>0</v>
      </c>
      <c r="T2881" t="n">
        <v>1799195</v>
      </c>
      <c r="U2881" t="n">
        <v>3</v>
      </c>
      <c r="V2881" t="n">
        <v>0.07190000000000001</v>
      </c>
      <c r="W2881" t="n">
        <v>1.73</v>
      </c>
      <c r="X2881" t="n">
        <v>65.95</v>
      </c>
      <c r="Y2881">
        <f>VLOOKUP(D2881,$AB$2:$AC$7,2,FALSE)</f>
        <v/>
      </c>
      <c r="Z2881">
        <f>IF(A2881&lt;Y2881,"Yes","No")</f>
        <v/>
      </c>
    </row>
    <row r="2882">
      <c r="A2882" t="n">
        <v>2012</v>
      </c>
      <c r="B2882" t="inlineStr">
        <is>
          <t>Q4</t>
        </is>
      </c>
      <c r="C2882" t="inlineStr">
        <is>
          <t>Europe</t>
        </is>
      </c>
      <c r="D2882" t="inlineStr">
        <is>
          <t>Semi</t>
        </is>
      </c>
      <c r="E2882" t="n">
        <v>3856</v>
      </c>
      <c r="F2882" t="n">
        <v>78472.75</v>
      </c>
      <c r="G2882" t="n">
        <v>25</v>
      </c>
      <c r="H2882" t="inlineStr">
        <is>
          <t>Standard</t>
        </is>
      </c>
      <c r="I2882" t="inlineStr">
        <is>
          <t>AWD</t>
        </is>
      </c>
      <c r="J2882" t="inlineStr">
        <is>
          <t>Silver</t>
        </is>
      </c>
      <c r="K2882" t="n">
        <v>643</v>
      </c>
      <c r="L2882" t="n">
        <v>34</v>
      </c>
      <c r="M2882" t="n">
        <v>19.79</v>
      </c>
      <c r="N2882" t="n">
        <v>6235.54</v>
      </c>
      <c r="O2882" t="n">
        <v>4.53</v>
      </c>
      <c r="P2882" t="n">
        <v>6</v>
      </c>
      <c r="Q2882" t="n">
        <v>2</v>
      </c>
      <c r="R2882" t="n">
        <v>2020.3</v>
      </c>
      <c r="S2882" t="b">
        <v>0</v>
      </c>
      <c r="T2882" t="n">
        <v>481236</v>
      </c>
      <c r="U2882" t="n">
        <v>12</v>
      </c>
      <c r="V2882" t="n">
        <v>0.0562</v>
      </c>
      <c r="W2882" t="n">
        <v>2.31</v>
      </c>
      <c r="X2882" t="n">
        <v>69.98999999999999</v>
      </c>
      <c r="Y2882">
        <f>VLOOKUP(D2882,$AB$2:$AC$7,2,FALSE)</f>
        <v/>
      </c>
      <c r="Z2882">
        <f>IF(A2882&lt;Y2882,"Yes","No")</f>
        <v/>
      </c>
    </row>
    <row r="2883">
      <c r="A2883" t="n">
        <v>2020</v>
      </c>
      <c r="B2883" t="inlineStr">
        <is>
          <t>Q4</t>
        </is>
      </c>
      <c r="C2883" t="inlineStr">
        <is>
          <t>Asia</t>
        </is>
      </c>
      <c r="D2883" t="inlineStr">
        <is>
          <t>Semi</t>
        </is>
      </c>
      <c r="E2883" t="n">
        <v>1789</v>
      </c>
      <c r="F2883" t="n">
        <v>66849.75999999999</v>
      </c>
      <c r="G2883" t="n">
        <v>19</v>
      </c>
      <c r="H2883" t="inlineStr">
        <is>
          <t>Standard</t>
        </is>
      </c>
      <c r="I2883" t="inlineStr">
        <is>
          <t>RWD</t>
        </is>
      </c>
      <c r="J2883" t="inlineStr">
        <is>
          <t>Silver</t>
        </is>
      </c>
      <c r="K2883" t="n">
        <v>498</v>
      </c>
      <c r="L2883" t="n">
        <v>40</v>
      </c>
      <c r="M2883" t="n">
        <v>23.17</v>
      </c>
      <c r="N2883" t="n">
        <v>1966.27</v>
      </c>
      <c r="O2883" t="n">
        <v>4.64</v>
      </c>
      <c r="P2883" t="n">
        <v>6</v>
      </c>
      <c r="Q2883" t="n">
        <v>1</v>
      </c>
      <c r="R2883" t="n">
        <v>2024.8</v>
      </c>
      <c r="S2883" t="b">
        <v>0</v>
      </c>
      <c r="T2883" t="n">
        <v>4022776</v>
      </c>
      <c r="U2883" t="n">
        <v>12</v>
      </c>
      <c r="V2883" t="n">
        <v>0.0405</v>
      </c>
      <c r="W2883" t="n">
        <v>1.4</v>
      </c>
      <c r="X2883" t="n">
        <v>66.83</v>
      </c>
      <c r="Y2883">
        <f>VLOOKUP(D2883,$AB$2:$AC$7,2,FALSE)</f>
        <v/>
      </c>
      <c r="Z2883">
        <f>IF(A2883&lt;Y2883,"Yes","No")</f>
        <v/>
      </c>
    </row>
    <row r="2884">
      <c r="A2884" t="n">
        <v>2020</v>
      </c>
      <c r="B2884" t="inlineStr">
        <is>
          <t>Q4</t>
        </is>
      </c>
      <c r="C2884" t="inlineStr">
        <is>
          <t>Australia</t>
        </is>
      </c>
      <c r="D2884" t="inlineStr">
        <is>
          <t>Cybertruck</t>
        </is>
      </c>
      <c r="E2884" t="n">
        <v>4285</v>
      </c>
      <c r="F2884" t="n">
        <v>41476.24</v>
      </c>
      <c r="G2884" t="n">
        <v>21</v>
      </c>
      <c r="H2884" t="inlineStr">
        <is>
          <t>Performance</t>
        </is>
      </c>
      <c r="I2884" t="inlineStr">
        <is>
          <t>AWD</t>
        </is>
      </c>
      <c r="J2884" t="inlineStr">
        <is>
          <t>Silver</t>
        </is>
      </c>
      <c r="K2884" t="n">
        <v>416</v>
      </c>
      <c r="L2884" t="n">
        <v>73</v>
      </c>
      <c r="M2884" t="n">
        <v>16.68</v>
      </c>
      <c r="N2884" t="n">
        <v>2889.22</v>
      </c>
      <c r="O2884" t="n">
        <v>4.79</v>
      </c>
      <c r="P2884" t="n">
        <v>5</v>
      </c>
      <c r="Q2884" t="n">
        <v>1</v>
      </c>
      <c r="R2884" t="n">
        <v>2023.4</v>
      </c>
      <c r="S2884" t="b">
        <v>1</v>
      </c>
      <c r="T2884" t="n">
        <v>1552900</v>
      </c>
      <c r="U2884" t="n">
        <v>8</v>
      </c>
      <c r="V2884" t="n">
        <v>0.0693</v>
      </c>
      <c r="W2884" t="n">
        <v>2.18</v>
      </c>
      <c r="X2884" t="n">
        <v>75.61</v>
      </c>
      <c r="Y2884">
        <f>VLOOKUP(D2884,$AB$2:$AC$7,2,FALSE)</f>
        <v/>
      </c>
      <c r="Z2884">
        <f>IF(A2884&lt;Y2884,"Yes","No")</f>
        <v/>
      </c>
    </row>
    <row r="2885">
      <c r="A2885" t="n">
        <v>2021</v>
      </c>
      <c r="B2885" t="inlineStr">
        <is>
          <t>Q3</t>
        </is>
      </c>
      <c r="C2885" t="inlineStr">
        <is>
          <t>Asia</t>
        </is>
      </c>
      <c r="D2885" t="inlineStr">
        <is>
          <t>Model X</t>
        </is>
      </c>
      <c r="E2885" t="n">
        <v>4654</v>
      </c>
      <c r="F2885" t="n">
        <v>83497.52</v>
      </c>
      <c r="G2885" t="n">
        <v>3</v>
      </c>
      <c r="H2885" t="inlineStr">
        <is>
          <t>Standard</t>
        </is>
      </c>
      <c r="I2885" t="inlineStr">
        <is>
          <t>AWD</t>
        </is>
      </c>
      <c r="J2885" t="inlineStr">
        <is>
          <t>Silver</t>
        </is>
      </c>
      <c r="K2885" t="n">
        <v>501</v>
      </c>
      <c r="L2885" t="n">
        <v>38</v>
      </c>
      <c r="M2885" t="n">
        <v>22.55</v>
      </c>
      <c r="N2885" t="n">
        <v>4501.68</v>
      </c>
      <c r="O2885" t="n">
        <v>4.42</v>
      </c>
      <c r="P2885" t="n">
        <v>4</v>
      </c>
      <c r="Q2885" t="n">
        <v>1</v>
      </c>
      <c r="R2885" t="n">
        <v>2020.6</v>
      </c>
      <c r="S2885" t="b">
        <v>0</v>
      </c>
      <c r="T2885" t="n">
        <v>4351702</v>
      </c>
      <c r="U2885" t="n">
        <v>8</v>
      </c>
      <c r="V2885" t="n">
        <v>0.0835</v>
      </c>
      <c r="W2885" t="n">
        <v>1.01</v>
      </c>
      <c r="X2885" t="n">
        <v>68.28</v>
      </c>
      <c r="Y2885">
        <f>VLOOKUP(D2885,$AB$2:$AC$7,2,FALSE)</f>
        <v/>
      </c>
      <c r="Z2885">
        <f>IF(A2885&lt;Y2885,"Yes","No")</f>
        <v/>
      </c>
    </row>
    <row r="2886">
      <c r="A2886" t="n">
        <v>2020</v>
      </c>
      <c r="B2886" t="inlineStr">
        <is>
          <t>Q2</t>
        </is>
      </c>
      <c r="C2886" t="inlineStr">
        <is>
          <t>South America</t>
        </is>
      </c>
      <c r="D2886" t="inlineStr">
        <is>
          <t>Model Y</t>
        </is>
      </c>
      <c r="E2886" t="n">
        <v>699</v>
      </c>
      <c r="F2886" t="n">
        <v>103481.46</v>
      </c>
      <c r="G2886" t="n">
        <v>0</v>
      </c>
      <c r="H2886" t="inlineStr">
        <is>
          <t>Long Range</t>
        </is>
      </c>
      <c r="I2886" t="inlineStr">
        <is>
          <t>AWD</t>
        </is>
      </c>
      <c r="J2886" t="inlineStr">
        <is>
          <t>Green</t>
        </is>
      </c>
      <c r="K2886" t="n">
        <v>611</v>
      </c>
      <c r="L2886" t="n">
        <v>58</v>
      </c>
      <c r="M2886" t="n">
        <v>13.33</v>
      </c>
      <c r="N2886" t="n">
        <v>517.55</v>
      </c>
      <c r="O2886" t="n">
        <v>3.57</v>
      </c>
      <c r="P2886" t="n">
        <v>5</v>
      </c>
      <c r="Q2886" t="n">
        <v>2</v>
      </c>
      <c r="R2886" t="n">
        <v>2023.6</v>
      </c>
      <c r="S2886" t="b">
        <v>1</v>
      </c>
      <c r="T2886" t="n">
        <v>651020</v>
      </c>
      <c r="U2886" t="n">
        <v>12</v>
      </c>
      <c r="V2886" t="n">
        <v>0.0698</v>
      </c>
      <c r="W2886" t="n">
        <v>0.75</v>
      </c>
      <c r="X2886" t="n">
        <v>64.54000000000001</v>
      </c>
      <c r="Y2886">
        <f>VLOOKUP(D2886,$AB$2:$AC$7,2,FALSE)</f>
        <v/>
      </c>
      <c r="Z2886">
        <f>IF(A2886&lt;Y2886,"Yes","No")</f>
        <v/>
      </c>
    </row>
    <row r="2887">
      <c r="A2887" t="n">
        <v>2018</v>
      </c>
      <c r="B2887" t="inlineStr">
        <is>
          <t>Q2</t>
        </is>
      </c>
      <c r="C2887" t="inlineStr">
        <is>
          <t>Asia</t>
        </is>
      </c>
      <c r="D2887" t="inlineStr">
        <is>
          <t>Model X</t>
        </is>
      </c>
      <c r="E2887" t="n">
        <v>1843</v>
      </c>
      <c r="F2887" t="n">
        <v>74194.37</v>
      </c>
      <c r="G2887" t="n">
        <v>51</v>
      </c>
      <c r="H2887" t="inlineStr">
        <is>
          <t>Standard</t>
        </is>
      </c>
      <c r="I2887" t="inlineStr">
        <is>
          <t>AWD</t>
        </is>
      </c>
      <c r="J2887" t="inlineStr">
        <is>
          <t>Green</t>
        </is>
      </c>
      <c r="K2887" t="n">
        <v>369</v>
      </c>
      <c r="L2887" t="n">
        <v>57</v>
      </c>
      <c r="M2887" t="n">
        <v>18.02</v>
      </c>
      <c r="N2887" t="n">
        <v>2212.8</v>
      </c>
      <c r="O2887" t="n">
        <v>4.05</v>
      </c>
      <c r="P2887" t="n">
        <v>8</v>
      </c>
      <c r="Q2887" t="n">
        <v>3</v>
      </c>
      <c r="R2887" t="n">
        <v>2023.1</v>
      </c>
      <c r="S2887" t="b">
        <v>1</v>
      </c>
      <c r="T2887" t="n">
        <v>3794195</v>
      </c>
      <c r="U2887" t="n">
        <v>2</v>
      </c>
      <c r="V2887" t="n">
        <v>0.0496</v>
      </c>
      <c r="W2887" t="n">
        <v>0.63</v>
      </c>
      <c r="X2887" t="n">
        <v>61.53</v>
      </c>
      <c r="Y2887">
        <f>VLOOKUP(D2887,$AB$2:$AC$7,2,FALSE)</f>
        <v/>
      </c>
      <c r="Z2887">
        <f>IF(A2887&lt;Y2887,"Yes","No")</f>
        <v/>
      </c>
    </row>
    <row r="2888">
      <c r="A2888" t="n">
        <v>2017</v>
      </c>
      <c r="B2888" t="inlineStr">
        <is>
          <t>Q3</t>
        </is>
      </c>
      <c r="C2888" t="inlineStr">
        <is>
          <t>Australia</t>
        </is>
      </c>
      <c r="D2888" t="inlineStr">
        <is>
          <t>Model X</t>
        </is>
      </c>
      <c r="E2888" t="n">
        <v>1963</v>
      </c>
      <c r="F2888" t="n">
        <v>112222.24</v>
      </c>
      <c r="G2888" t="n">
        <v>56</v>
      </c>
      <c r="H2888" t="inlineStr">
        <is>
          <t>Performance</t>
        </is>
      </c>
      <c r="I2888" t="inlineStr">
        <is>
          <t>AWD</t>
        </is>
      </c>
      <c r="J2888" t="inlineStr">
        <is>
          <t>White</t>
        </is>
      </c>
      <c r="K2888" t="n">
        <v>581</v>
      </c>
      <c r="L2888" t="n">
        <v>65</v>
      </c>
      <c r="M2888" t="n">
        <v>16.06</v>
      </c>
      <c r="N2888" t="n">
        <v>1789.74</v>
      </c>
      <c r="O2888" t="n">
        <v>3.64</v>
      </c>
      <c r="P2888" t="n">
        <v>4</v>
      </c>
      <c r="Q2888" t="n">
        <v>3</v>
      </c>
      <c r="R2888" t="n">
        <v>2020.11</v>
      </c>
      <c r="S2888" t="b">
        <v>0</v>
      </c>
      <c r="T2888" t="n">
        <v>3484575</v>
      </c>
      <c r="U2888" t="n">
        <v>11</v>
      </c>
      <c r="V2888" t="n">
        <v>0.0196</v>
      </c>
      <c r="W2888" t="n">
        <v>0.63</v>
      </c>
      <c r="X2888" t="n">
        <v>81.58</v>
      </c>
      <c r="Y2888">
        <f>VLOOKUP(D2888,$AB$2:$AC$7,2,FALSE)</f>
        <v/>
      </c>
      <c r="Z2888">
        <f>IF(A2888&lt;Y2888,"Yes","No")</f>
        <v/>
      </c>
    </row>
    <row r="2889">
      <c r="A2889" t="n">
        <v>2020</v>
      </c>
      <c r="B2889" t="inlineStr">
        <is>
          <t>Q1</t>
        </is>
      </c>
      <c r="C2889" t="inlineStr">
        <is>
          <t>South America</t>
        </is>
      </c>
      <c r="D2889" t="inlineStr">
        <is>
          <t>Cybertruck</t>
        </is>
      </c>
      <c r="E2889" t="n">
        <v>4045</v>
      </c>
      <c r="F2889" t="n">
        <v>103146.23</v>
      </c>
      <c r="G2889" t="n">
        <v>58</v>
      </c>
      <c r="H2889" t="inlineStr">
        <is>
          <t>Performance</t>
        </is>
      </c>
      <c r="I2889" t="inlineStr">
        <is>
          <t>AWD</t>
        </is>
      </c>
      <c r="J2889" t="inlineStr">
        <is>
          <t>White</t>
        </is>
      </c>
      <c r="K2889" t="n">
        <v>631</v>
      </c>
      <c r="L2889" t="n">
        <v>67</v>
      </c>
      <c r="M2889" t="n">
        <v>22.46</v>
      </c>
      <c r="N2889" t="n">
        <v>6297.93</v>
      </c>
      <c r="O2889" t="n">
        <v>4.85</v>
      </c>
      <c r="P2889" t="n">
        <v>5</v>
      </c>
      <c r="Q2889" t="n">
        <v>1</v>
      </c>
      <c r="R2889" t="n">
        <v>2024.4</v>
      </c>
      <c r="S2889" t="b">
        <v>0</v>
      </c>
      <c r="T2889" t="n">
        <v>4448212</v>
      </c>
      <c r="U2889" t="n">
        <v>6</v>
      </c>
      <c r="V2889" t="n">
        <v>0.0151</v>
      </c>
      <c r="W2889" t="n">
        <v>1.8</v>
      </c>
      <c r="X2889" t="n">
        <v>62.03</v>
      </c>
      <c r="Y2889">
        <f>VLOOKUP(D2889,$AB$2:$AC$7,2,FALSE)</f>
        <v/>
      </c>
      <c r="Z2889">
        <f>IF(A2889&lt;Y2889,"Yes","No")</f>
        <v/>
      </c>
    </row>
    <row r="2890">
      <c r="A2890" t="n">
        <v>2017</v>
      </c>
      <c r="B2890" t="inlineStr">
        <is>
          <t>Q4</t>
        </is>
      </c>
      <c r="C2890" t="inlineStr">
        <is>
          <t>North America</t>
        </is>
      </c>
      <c r="D2890" t="inlineStr">
        <is>
          <t>Model X</t>
        </is>
      </c>
      <c r="E2890" t="n">
        <v>3345</v>
      </c>
      <c r="F2890" t="n">
        <v>118874.7</v>
      </c>
      <c r="G2890" t="n">
        <v>56</v>
      </c>
      <c r="H2890" t="inlineStr">
        <is>
          <t>Standard</t>
        </is>
      </c>
      <c r="I2890" t="inlineStr">
        <is>
          <t>AWD</t>
        </is>
      </c>
      <c r="J2890" t="inlineStr">
        <is>
          <t>Red</t>
        </is>
      </c>
      <c r="K2890" t="n">
        <v>375</v>
      </c>
      <c r="L2890" t="n">
        <v>83</v>
      </c>
      <c r="M2890" t="n">
        <v>13.22</v>
      </c>
      <c r="N2890" t="n">
        <v>7718.68</v>
      </c>
      <c r="O2890" t="n">
        <v>4.56</v>
      </c>
      <c r="P2890" t="n">
        <v>4</v>
      </c>
      <c r="Q2890" t="n">
        <v>2</v>
      </c>
      <c r="R2890" t="n">
        <v>2020.7</v>
      </c>
      <c r="S2890" t="b">
        <v>0</v>
      </c>
      <c r="T2890" t="n">
        <v>3734904</v>
      </c>
      <c r="U2890" t="n">
        <v>10</v>
      </c>
      <c r="V2890" t="n">
        <v>0.0405</v>
      </c>
      <c r="W2890" t="n">
        <v>1.68</v>
      </c>
      <c r="X2890" t="n">
        <v>84.3</v>
      </c>
      <c r="Y2890">
        <f>VLOOKUP(D2890,$AB$2:$AC$7,2,FALSE)</f>
        <v/>
      </c>
      <c r="Z2890">
        <f>IF(A2890&lt;Y2890,"Yes","No")</f>
        <v/>
      </c>
    </row>
    <row r="2891">
      <c r="A2891" t="n">
        <v>2015</v>
      </c>
      <c r="B2891" t="inlineStr">
        <is>
          <t>Q4</t>
        </is>
      </c>
      <c r="C2891" t="inlineStr">
        <is>
          <t>North America</t>
        </is>
      </c>
      <c r="D2891" t="inlineStr">
        <is>
          <t>Cybertruck</t>
        </is>
      </c>
      <c r="E2891" t="n">
        <v>3465</v>
      </c>
      <c r="F2891" t="n">
        <v>119503.48</v>
      </c>
      <c r="G2891" t="n">
        <v>56</v>
      </c>
      <c r="H2891" t="inlineStr">
        <is>
          <t>Standard</t>
        </is>
      </c>
      <c r="I2891" t="inlineStr">
        <is>
          <t>RWD</t>
        </is>
      </c>
      <c r="J2891" t="inlineStr">
        <is>
          <t>Blue</t>
        </is>
      </c>
      <c r="K2891" t="n">
        <v>455</v>
      </c>
      <c r="L2891" t="n">
        <v>67</v>
      </c>
      <c r="M2891" t="n">
        <v>13.99</v>
      </c>
      <c r="N2891" t="n">
        <v>2714.69</v>
      </c>
      <c r="O2891" t="n">
        <v>4.79</v>
      </c>
      <c r="P2891" t="n">
        <v>6</v>
      </c>
      <c r="Q2891" t="n">
        <v>1</v>
      </c>
      <c r="R2891" t="n">
        <v>2021.8</v>
      </c>
      <c r="S2891" t="b">
        <v>1</v>
      </c>
      <c r="T2891" t="n">
        <v>3842378</v>
      </c>
      <c r="U2891" t="n">
        <v>12</v>
      </c>
      <c r="V2891" t="n">
        <v>0.0481</v>
      </c>
      <c r="W2891" t="n">
        <v>2.3</v>
      </c>
      <c r="X2891" t="n">
        <v>63.32</v>
      </c>
      <c r="Y2891">
        <f>VLOOKUP(D2891,$AB$2:$AC$7,2,FALSE)</f>
        <v/>
      </c>
      <c r="Z2891">
        <f>IF(A2891&lt;Y2891,"Yes","No")</f>
        <v/>
      </c>
    </row>
    <row r="2892">
      <c r="A2892" t="n">
        <v>2016</v>
      </c>
      <c r="B2892" t="inlineStr">
        <is>
          <t>Q4</t>
        </is>
      </c>
      <c r="C2892" t="inlineStr">
        <is>
          <t>North America</t>
        </is>
      </c>
      <c r="D2892" t="inlineStr">
        <is>
          <t>Model S</t>
        </is>
      </c>
      <c r="E2892" t="n">
        <v>1242</v>
      </c>
      <c r="F2892" t="n">
        <v>68470.53999999999</v>
      </c>
      <c r="G2892" t="n">
        <v>1</v>
      </c>
      <c r="H2892" t="inlineStr">
        <is>
          <t>Performance</t>
        </is>
      </c>
      <c r="I2892" t="inlineStr">
        <is>
          <t>RWD</t>
        </is>
      </c>
      <c r="J2892" t="inlineStr">
        <is>
          <t>Blue</t>
        </is>
      </c>
      <c r="K2892" t="n">
        <v>430</v>
      </c>
      <c r="L2892" t="n">
        <v>69</v>
      </c>
      <c r="M2892" t="n">
        <v>14.55</v>
      </c>
      <c r="N2892" t="n">
        <v>1584.06</v>
      </c>
      <c r="O2892" t="n">
        <v>3.74</v>
      </c>
      <c r="P2892" t="n">
        <v>5</v>
      </c>
      <c r="Q2892" t="n">
        <v>3</v>
      </c>
      <c r="R2892" t="n">
        <v>2021.1</v>
      </c>
      <c r="S2892" t="b">
        <v>1</v>
      </c>
      <c r="T2892" t="n">
        <v>2047034</v>
      </c>
      <c r="U2892" t="n">
        <v>6</v>
      </c>
      <c r="V2892" t="n">
        <v>0.0227</v>
      </c>
      <c r="W2892" t="n">
        <v>0.7</v>
      </c>
      <c r="X2892" t="n">
        <v>81.45999999999999</v>
      </c>
      <c r="Y2892">
        <f>VLOOKUP(D2892,$AB$2:$AC$7,2,FALSE)</f>
        <v/>
      </c>
      <c r="Z2892">
        <f>IF(A2892&lt;Y2892,"Yes","No")</f>
        <v/>
      </c>
    </row>
    <row r="2893">
      <c r="A2893" t="n">
        <v>2019</v>
      </c>
      <c r="B2893" t="inlineStr">
        <is>
          <t>Q4</t>
        </is>
      </c>
      <c r="C2893" t="inlineStr">
        <is>
          <t>Europe</t>
        </is>
      </c>
      <c r="D2893" t="inlineStr">
        <is>
          <t>Model S</t>
        </is>
      </c>
      <c r="E2893" t="n">
        <v>1256</v>
      </c>
      <c r="F2893" t="n">
        <v>94912.49000000001</v>
      </c>
      <c r="G2893" t="n">
        <v>32</v>
      </c>
      <c r="H2893" t="inlineStr">
        <is>
          <t>Long Range</t>
        </is>
      </c>
      <c r="I2893" t="inlineStr">
        <is>
          <t>AWD</t>
        </is>
      </c>
      <c r="J2893" t="inlineStr">
        <is>
          <t>Silver</t>
        </is>
      </c>
      <c r="K2893" t="n">
        <v>406</v>
      </c>
      <c r="L2893" t="n">
        <v>35</v>
      </c>
      <c r="M2893" t="n">
        <v>19.61</v>
      </c>
      <c r="N2893" t="n">
        <v>1135.76</v>
      </c>
      <c r="O2893" t="n">
        <v>4.38</v>
      </c>
      <c r="P2893" t="n">
        <v>6</v>
      </c>
      <c r="Q2893" t="n">
        <v>1</v>
      </c>
      <c r="R2893" t="n">
        <v>2022.1</v>
      </c>
      <c r="S2893" t="b">
        <v>1</v>
      </c>
      <c r="T2893" t="n">
        <v>1709426</v>
      </c>
      <c r="U2893" t="n">
        <v>7</v>
      </c>
      <c r="V2893" t="n">
        <v>0.0934</v>
      </c>
      <c r="W2893" t="n">
        <v>0.87</v>
      </c>
      <c r="X2893" t="n">
        <v>72.84999999999999</v>
      </c>
      <c r="Y2893">
        <f>VLOOKUP(D2893,$AB$2:$AC$7,2,FALSE)</f>
        <v/>
      </c>
      <c r="Z2893">
        <f>IF(A2893&lt;Y2893,"Yes","No")</f>
        <v/>
      </c>
    </row>
    <row r="2894">
      <c r="A2894" t="n">
        <v>2019</v>
      </c>
      <c r="B2894" t="inlineStr">
        <is>
          <t>Q3</t>
        </is>
      </c>
      <c r="C2894" t="inlineStr">
        <is>
          <t>Australia</t>
        </is>
      </c>
      <c r="D2894" t="inlineStr">
        <is>
          <t>Cybertruck</t>
        </is>
      </c>
      <c r="E2894" t="n">
        <v>4336</v>
      </c>
      <c r="F2894" t="n">
        <v>108241.1</v>
      </c>
      <c r="G2894" t="n">
        <v>33</v>
      </c>
      <c r="H2894" t="inlineStr">
        <is>
          <t>Standard</t>
        </is>
      </c>
      <c r="I2894" t="inlineStr">
        <is>
          <t>RWD</t>
        </is>
      </c>
      <c r="J2894" t="inlineStr">
        <is>
          <t>White</t>
        </is>
      </c>
      <c r="K2894" t="n">
        <v>700</v>
      </c>
      <c r="L2894" t="n">
        <v>69</v>
      </c>
      <c r="M2894" t="n">
        <v>23.72</v>
      </c>
      <c r="N2894" t="n">
        <v>7439.17</v>
      </c>
      <c r="O2894" t="n">
        <v>4.25</v>
      </c>
      <c r="P2894" t="n">
        <v>4</v>
      </c>
      <c r="Q2894" t="n">
        <v>1</v>
      </c>
      <c r="R2894" t="n">
        <v>2021.1</v>
      </c>
      <c r="S2894" t="b">
        <v>1</v>
      </c>
      <c r="T2894" t="n">
        <v>4223657</v>
      </c>
      <c r="U2894" t="n">
        <v>4</v>
      </c>
      <c r="V2894" t="n">
        <v>0.0278</v>
      </c>
      <c r="W2894" t="n">
        <v>0.76</v>
      </c>
      <c r="X2894" t="n">
        <v>75.56</v>
      </c>
      <c r="Y2894">
        <f>VLOOKUP(D2894,$AB$2:$AC$7,2,FALSE)</f>
        <v/>
      </c>
      <c r="Z2894">
        <f>IF(A2894&lt;Y2894,"Yes","No")</f>
        <v/>
      </c>
    </row>
    <row r="2895">
      <c r="A2895" t="n">
        <v>2022</v>
      </c>
      <c r="B2895" t="inlineStr">
        <is>
          <t>Q2</t>
        </is>
      </c>
      <c r="C2895" t="inlineStr">
        <is>
          <t>South America</t>
        </is>
      </c>
      <c r="D2895" t="inlineStr">
        <is>
          <t>Model 3</t>
        </is>
      </c>
      <c r="E2895" t="n">
        <v>3797</v>
      </c>
      <c r="F2895" t="n">
        <v>62169.25</v>
      </c>
      <c r="G2895" t="n">
        <v>5</v>
      </c>
      <c r="H2895" t="inlineStr">
        <is>
          <t>Standard</t>
        </is>
      </c>
      <c r="I2895" t="inlineStr">
        <is>
          <t>RWD</t>
        </is>
      </c>
      <c r="J2895" t="inlineStr">
        <is>
          <t>Red</t>
        </is>
      </c>
      <c r="K2895" t="n">
        <v>540</v>
      </c>
      <c r="L2895" t="n">
        <v>89</v>
      </c>
      <c r="M2895" t="n">
        <v>16.83</v>
      </c>
      <c r="N2895" t="n">
        <v>8017.68</v>
      </c>
      <c r="O2895" t="n">
        <v>3.54</v>
      </c>
      <c r="P2895" t="n">
        <v>6</v>
      </c>
      <c r="Q2895" t="n">
        <v>2</v>
      </c>
      <c r="R2895" t="n">
        <v>2023.6</v>
      </c>
      <c r="S2895" t="b">
        <v>0</v>
      </c>
      <c r="T2895" t="n">
        <v>1711952</v>
      </c>
      <c r="U2895" t="n">
        <v>4</v>
      </c>
      <c r="V2895" t="n">
        <v>0.0365</v>
      </c>
      <c r="W2895" t="n">
        <v>0.73</v>
      </c>
      <c r="X2895" t="n">
        <v>66.04000000000001</v>
      </c>
      <c r="Y2895">
        <f>VLOOKUP(D2895,$AB$2:$AC$7,2,FALSE)</f>
        <v/>
      </c>
      <c r="Z2895">
        <f>IF(A2895&lt;Y2895,"Yes","No")</f>
        <v/>
      </c>
    </row>
    <row r="2896">
      <c r="A2896" t="n">
        <v>2021</v>
      </c>
      <c r="B2896" t="inlineStr">
        <is>
          <t>Q1</t>
        </is>
      </c>
      <c r="C2896" t="inlineStr">
        <is>
          <t>Australia</t>
        </is>
      </c>
      <c r="D2896" t="inlineStr">
        <is>
          <t>Model S</t>
        </is>
      </c>
      <c r="E2896" t="n">
        <v>1345</v>
      </c>
      <c r="F2896" t="n">
        <v>96607.97</v>
      </c>
      <c r="G2896" t="n">
        <v>19</v>
      </c>
      <c r="H2896" t="inlineStr">
        <is>
          <t>Performance</t>
        </is>
      </c>
      <c r="I2896" t="inlineStr">
        <is>
          <t>AWD</t>
        </is>
      </c>
      <c r="J2896" t="inlineStr">
        <is>
          <t>White</t>
        </is>
      </c>
      <c r="K2896" t="n">
        <v>695</v>
      </c>
      <c r="L2896" t="n">
        <v>36</v>
      </c>
      <c r="M2896" t="n">
        <v>13.15</v>
      </c>
      <c r="N2896" t="n">
        <v>1936.07</v>
      </c>
      <c r="O2896" t="n">
        <v>3.65</v>
      </c>
      <c r="P2896" t="n">
        <v>8</v>
      </c>
      <c r="Q2896" t="n">
        <v>3</v>
      </c>
      <c r="R2896" t="n">
        <v>2023.6</v>
      </c>
      <c r="S2896" t="b">
        <v>1</v>
      </c>
      <c r="T2896" t="n">
        <v>3310280</v>
      </c>
      <c r="U2896" t="n">
        <v>2</v>
      </c>
      <c r="V2896" t="n">
        <v>0.01</v>
      </c>
      <c r="W2896" t="n">
        <v>2.17</v>
      </c>
      <c r="X2896" t="n">
        <v>88.55</v>
      </c>
      <c r="Y2896">
        <f>VLOOKUP(D2896,$AB$2:$AC$7,2,FALSE)</f>
        <v/>
      </c>
      <c r="Z2896">
        <f>IF(A2896&lt;Y2896,"Yes","No")</f>
        <v/>
      </c>
    </row>
    <row r="2897">
      <c r="A2897" t="n">
        <v>2024</v>
      </c>
      <c r="B2897" t="inlineStr">
        <is>
          <t>Q3</t>
        </is>
      </c>
      <c r="C2897" t="inlineStr">
        <is>
          <t>Asia</t>
        </is>
      </c>
      <c r="D2897" t="inlineStr">
        <is>
          <t>Model Y</t>
        </is>
      </c>
      <c r="E2897" t="n">
        <v>2359</v>
      </c>
      <c r="F2897" t="n">
        <v>46873.84</v>
      </c>
      <c r="G2897" t="n">
        <v>55</v>
      </c>
      <c r="H2897" t="inlineStr">
        <is>
          <t>Long Range</t>
        </is>
      </c>
      <c r="I2897" t="inlineStr">
        <is>
          <t>AWD</t>
        </is>
      </c>
      <c r="J2897" t="inlineStr">
        <is>
          <t>Blue</t>
        </is>
      </c>
      <c r="K2897" t="n">
        <v>459</v>
      </c>
      <c r="L2897" t="n">
        <v>59</v>
      </c>
      <c r="M2897" t="n">
        <v>15.49</v>
      </c>
      <c r="N2897" t="n">
        <v>5438.71</v>
      </c>
      <c r="O2897" t="n">
        <v>4.77</v>
      </c>
      <c r="P2897" t="n">
        <v>6</v>
      </c>
      <c r="Q2897" t="n">
        <v>1</v>
      </c>
      <c r="R2897" t="n">
        <v>2023.3</v>
      </c>
      <c r="S2897" t="b">
        <v>0</v>
      </c>
      <c r="T2897" t="n">
        <v>2719929</v>
      </c>
      <c r="U2897" t="n">
        <v>6</v>
      </c>
      <c r="V2897" t="n">
        <v>0.0612</v>
      </c>
      <c r="W2897" t="n">
        <v>1.45</v>
      </c>
      <c r="X2897" t="n">
        <v>88.51000000000001</v>
      </c>
      <c r="Y2897">
        <f>VLOOKUP(D2897,$AB$2:$AC$7,2,FALSE)</f>
        <v/>
      </c>
      <c r="Z2897">
        <f>IF(A2897&lt;Y2897,"Yes","No")</f>
        <v/>
      </c>
    </row>
    <row r="2898">
      <c r="A2898" t="n">
        <v>2014</v>
      </c>
      <c r="B2898" t="inlineStr">
        <is>
          <t>Q2</t>
        </is>
      </c>
      <c r="C2898" t="inlineStr">
        <is>
          <t>Australia</t>
        </is>
      </c>
      <c r="D2898" t="inlineStr">
        <is>
          <t>Cybertruck</t>
        </is>
      </c>
      <c r="E2898" t="n">
        <v>2626</v>
      </c>
      <c r="F2898" t="n">
        <v>114534.62</v>
      </c>
      <c r="G2898" t="n">
        <v>18</v>
      </c>
      <c r="H2898" t="inlineStr">
        <is>
          <t>Performance</t>
        </is>
      </c>
      <c r="I2898" t="inlineStr">
        <is>
          <t>AWD</t>
        </is>
      </c>
      <c r="J2898" t="inlineStr">
        <is>
          <t>Blue</t>
        </is>
      </c>
      <c r="K2898" t="n">
        <v>655</v>
      </c>
      <c r="L2898" t="n">
        <v>40</v>
      </c>
      <c r="M2898" t="n">
        <v>24.09</v>
      </c>
      <c r="N2898" t="n">
        <v>1557.27</v>
      </c>
      <c r="O2898" t="n">
        <v>4.37</v>
      </c>
      <c r="P2898" t="n">
        <v>5</v>
      </c>
      <c r="Q2898" t="n">
        <v>2</v>
      </c>
      <c r="R2898" t="n">
        <v>2024.6</v>
      </c>
      <c r="S2898" t="b">
        <v>1</v>
      </c>
      <c r="T2898" t="n">
        <v>2717060</v>
      </c>
      <c r="U2898" t="n">
        <v>2</v>
      </c>
      <c r="V2898" t="n">
        <v>0.0221</v>
      </c>
      <c r="W2898" t="n">
        <v>1.47</v>
      </c>
      <c r="X2898" t="n">
        <v>60.51</v>
      </c>
      <c r="Y2898">
        <f>VLOOKUP(D2898,$AB$2:$AC$7,2,FALSE)</f>
        <v/>
      </c>
      <c r="Z2898">
        <f>IF(A2898&lt;Y2898,"Yes","No")</f>
        <v/>
      </c>
    </row>
    <row r="2899">
      <c r="A2899" t="n">
        <v>2021</v>
      </c>
      <c r="B2899" t="inlineStr">
        <is>
          <t>Q3</t>
        </is>
      </c>
      <c r="C2899" t="inlineStr">
        <is>
          <t>Europe</t>
        </is>
      </c>
      <c r="D2899" t="inlineStr">
        <is>
          <t>Cybertruck</t>
        </is>
      </c>
      <c r="E2899" t="n">
        <v>3917</v>
      </c>
      <c r="F2899" t="n">
        <v>36876.03</v>
      </c>
      <c r="G2899" t="n">
        <v>27</v>
      </c>
      <c r="H2899" t="inlineStr">
        <is>
          <t>Performance</t>
        </is>
      </c>
      <c r="I2899" t="inlineStr">
        <is>
          <t>RWD</t>
        </is>
      </c>
      <c r="J2899" t="inlineStr">
        <is>
          <t>Red</t>
        </is>
      </c>
      <c r="K2899" t="n">
        <v>389</v>
      </c>
      <c r="L2899" t="n">
        <v>43</v>
      </c>
      <c r="M2899" t="n">
        <v>24.88</v>
      </c>
      <c r="N2899" t="n">
        <v>5829.08</v>
      </c>
      <c r="O2899" t="n">
        <v>4.33</v>
      </c>
      <c r="P2899" t="n">
        <v>8</v>
      </c>
      <c r="Q2899" t="n">
        <v>3</v>
      </c>
      <c r="R2899" t="n">
        <v>2024.3</v>
      </c>
      <c r="S2899" t="b">
        <v>0</v>
      </c>
      <c r="T2899" t="n">
        <v>1967521</v>
      </c>
      <c r="U2899" t="n">
        <v>9</v>
      </c>
      <c r="V2899" t="n">
        <v>0.0442</v>
      </c>
      <c r="W2899" t="n">
        <v>0.75</v>
      </c>
      <c r="X2899" t="n">
        <v>71.93000000000001</v>
      </c>
      <c r="Y2899">
        <f>VLOOKUP(D2899,$AB$2:$AC$7,2,FALSE)</f>
        <v/>
      </c>
      <c r="Z2899">
        <f>IF(A2899&lt;Y2899,"Yes","No")</f>
        <v/>
      </c>
    </row>
    <row r="2900">
      <c r="A2900" t="n">
        <v>2012</v>
      </c>
      <c r="B2900" t="inlineStr">
        <is>
          <t>Q3</t>
        </is>
      </c>
      <c r="C2900" t="inlineStr">
        <is>
          <t>South America</t>
        </is>
      </c>
      <c r="D2900" t="inlineStr">
        <is>
          <t>Semi</t>
        </is>
      </c>
      <c r="E2900" t="n">
        <v>4963</v>
      </c>
      <c r="F2900" t="n">
        <v>89946.89</v>
      </c>
      <c r="G2900" t="n">
        <v>7</v>
      </c>
      <c r="H2900" t="inlineStr">
        <is>
          <t>Performance</t>
        </is>
      </c>
      <c r="I2900" t="inlineStr">
        <is>
          <t>AWD</t>
        </is>
      </c>
      <c r="J2900" t="inlineStr">
        <is>
          <t>White</t>
        </is>
      </c>
      <c r="K2900" t="n">
        <v>691</v>
      </c>
      <c r="L2900" t="n">
        <v>49</v>
      </c>
      <c r="M2900" t="n">
        <v>22.32</v>
      </c>
      <c r="N2900" t="n">
        <v>8527.620000000001</v>
      </c>
      <c r="O2900" t="n">
        <v>4.98</v>
      </c>
      <c r="P2900" t="n">
        <v>6</v>
      </c>
      <c r="Q2900" t="n">
        <v>0</v>
      </c>
      <c r="R2900" t="n">
        <v>2022.2</v>
      </c>
      <c r="S2900" t="b">
        <v>0</v>
      </c>
      <c r="T2900" t="n">
        <v>2391806</v>
      </c>
      <c r="U2900" t="n">
        <v>11</v>
      </c>
      <c r="V2900" t="n">
        <v>0.0111</v>
      </c>
      <c r="W2900" t="n">
        <v>2.02</v>
      </c>
      <c r="X2900" t="n">
        <v>67.28</v>
      </c>
      <c r="Y2900">
        <f>VLOOKUP(D2900,$AB$2:$AC$7,2,FALSE)</f>
        <v/>
      </c>
      <c r="Z2900">
        <f>IF(A2900&lt;Y2900,"Yes","No")</f>
        <v/>
      </c>
    </row>
    <row r="2901">
      <c r="A2901" t="n">
        <v>2017</v>
      </c>
      <c r="B2901" t="inlineStr">
        <is>
          <t>Q4</t>
        </is>
      </c>
      <c r="C2901" t="inlineStr">
        <is>
          <t>Europe</t>
        </is>
      </c>
      <c r="D2901" t="inlineStr">
        <is>
          <t>Model Y</t>
        </is>
      </c>
      <c r="E2901" t="n">
        <v>137</v>
      </c>
      <c r="F2901" t="n">
        <v>110735.79</v>
      </c>
      <c r="G2901" t="n">
        <v>4</v>
      </c>
      <c r="H2901" t="inlineStr">
        <is>
          <t>Standard</t>
        </is>
      </c>
      <c r="I2901" t="inlineStr">
        <is>
          <t>RWD</t>
        </is>
      </c>
      <c r="J2901" t="inlineStr">
        <is>
          <t>Red</t>
        </is>
      </c>
      <c r="K2901" t="n">
        <v>379</v>
      </c>
      <c r="L2901" t="n">
        <v>79</v>
      </c>
      <c r="M2901" t="n">
        <v>20.19</v>
      </c>
      <c r="N2901" t="n">
        <v>201.52</v>
      </c>
      <c r="O2901" t="n">
        <v>3.66</v>
      </c>
      <c r="P2901" t="n">
        <v>6</v>
      </c>
      <c r="Q2901" t="n">
        <v>1</v>
      </c>
      <c r="R2901" t="n">
        <v>2023.3</v>
      </c>
      <c r="S2901" t="b">
        <v>1</v>
      </c>
      <c r="T2901" t="n">
        <v>3969042</v>
      </c>
      <c r="U2901" t="n">
        <v>9</v>
      </c>
      <c r="V2901" t="n">
        <v>0.09959999999999999</v>
      </c>
      <c r="W2901" t="n">
        <v>1.02</v>
      </c>
      <c r="X2901" t="n">
        <v>76.73999999999999</v>
      </c>
      <c r="Y2901">
        <f>VLOOKUP(D2901,$AB$2:$AC$7,2,FALSE)</f>
        <v/>
      </c>
      <c r="Z2901">
        <f>IF(A2901&lt;Y2901,"Yes","No")</f>
        <v/>
      </c>
    </row>
    <row r="2902">
      <c r="A2902" t="n">
        <v>2020</v>
      </c>
      <c r="B2902" t="inlineStr">
        <is>
          <t>Q3</t>
        </is>
      </c>
      <c r="C2902" t="inlineStr">
        <is>
          <t>Australia</t>
        </is>
      </c>
      <c r="D2902" t="inlineStr">
        <is>
          <t>Cybertruck</t>
        </is>
      </c>
      <c r="E2902" t="n">
        <v>3666</v>
      </c>
      <c r="F2902" t="n">
        <v>65898.45</v>
      </c>
      <c r="G2902" t="n">
        <v>13</v>
      </c>
      <c r="H2902" t="inlineStr">
        <is>
          <t>Standard</t>
        </is>
      </c>
      <c r="I2902" t="inlineStr">
        <is>
          <t>AWD</t>
        </is>
      </c>
      <c r="J2902" t="inlineStr">
        <is>
          <t>White</t>
        </is>
      </c>
      <c r="K2902" t="n">
        <v>498</v>
      </c>
      <c r="L2902" t="n">
        <v>50</v>
      </c>
      <c r="M2902" t="n">
        <v>24.33</v>
      </c>
      <c r="N2902" t="n">
        <v>7316.74</v>
      </c>
      <c r="O2902" t="n">
        <v>4.13</v>
      </c>
      <c r="P2902" t="n">
        <v>5</v>
      </c>
      <c r="Q2902" t="n">
        <v>1</v>
      </c>
      <c r="R2902" t="n">
        <v>2024.9</v>
      </c>
      <c r="S2902" t="b">
        <v>1</v>
      </c>
      <c r="T2902" t="n">
        <v>4458256</v>
      </c>
      <c r="U2902" t="n">
        <v>10</v>
      </c>
      <c r="V2902" t="n">
        <v>0.0311</v>
      </c>
      <c r="W2902" t="n">
        <v>2.19</v>
      </c>
      <c r="X2902" t="n">
        <v>85.05</v>
      </c>
      <c r="Y2902">
        <f>VLOOKUP(D2902,$AB$2:$AC$7,2,FALSE)</f>
        <v/>
      </c>
      <c r="Z2902">
        <f>IF(A2902&lt;Y2902,"Yes","No")</f>
        <v/>
      </c>
    </row>
    <row r="2903">
      <c r="A2903" t="n">
        <v>2012</v>
      </c>
      <c r="B2903" t="inlineStr">
        <is>
          <t>Q1</t>
        </is>
      </c>
      <c r="C2903" t="inlineStr">
        <is>
          <t>South America</t>
        </is>
      </c>
      <c r="D2903" t="inlineStr">
        <is>
          <t>Model Y</t>
        </is>
      </c>
      <c r="E2903" t="n">
        <v>2115</v>
      </c>
      <c r="F2903" t="n">
        <v>107118.56</v>
      </c>
      <c r="G2903" t="n">
        <v>54</v>
      </c>
      <c r="H2903" t="inlineStr">
        <is>
          <t>Performance</t>
        </is>
      </c>
      <c r="I2903" t="inlineStr">
        <is>
          <t>RWD</t>
        </is>
      </c>
      <c r="J2903" t="inlineStr">
        <is>
          <t>Silver</t>
        </is>
      </c>
      <c r="K2903" t="n">
        <v>420</v>
      </c>
      <c r="L2903" t="n">
        <v>79</v>
      </c>
      <c r="M2903" t="n">
        <v>19.63</v>
      </c>
      <c r="N2903" t="n">
        <v>4812.8</v>
      </c>
      <c r="O2903" t="n">
        <v>4.99</v>
      </c>
      <c r="P2903" t="n">
        <v>8</v>
      </c>
      <c r="Q2903" t="n">
        <v>2</v>
      </c>
      <c r="R2903" t="n">
        <v>2023.2</v>
      </c>
      <c r="S2903" t="b">
        <v>0</v>
      </c>
      <c r="T2903" t="n">
        <v>1669593</v>
      </c>
      <c r="U2903" t="n">
        <v>12</v>
      </c>
      <c r="V2903" t="n">
        <v>0.07969999999999999</v>
      </c>
      <c r="W2903" t="n">
        <v>0.89</v>
      </c>
      <c r="X2903" t="n">
        <v>80.61</v>
      </c>
      <c r="Y2903">
        <f>VLOOKUP(D2903,$AB$2:$AC$7,2,FALSE)</f>
        <v/>
      </c>
      <c r="Z2903">
        <f>IF(A2903&lt;Y2903,"Yes","No")</f>
        <v/>
      </c>
    </row>
    <row r="2904">
      <c r="A2904" t="n">
        <v>2017</v>
      </c>
      <c r="B2904" t="inlineStr">
        <is>
          <t>Q3</t>
        </is>
      </c>
      <c r="C2904" t="inlineStr">
        <is>
          <t>Australia</t>
        </is>
      </c>
      <c r="D2904" t="inlineStr">
        <is>
          <t>Cybertruck</t>
        </is>
      </c>
      <c r="E2904" t="n">
        <v>3382</v>
      </c>
      <c r="F2904" t="n">
        <v>105262.48</v>
      </c>
      <c r="G2904" t="n">
        <v>6</v>
      </c>
      <c r="H2904" t="inlineStr">
        <is>
          <t>Long Range</t>
        </is>
      </c>
      <c r="I2904" t="inlineStr">
        <is>
          <t>RWD</t>
        </is>
      </c>
      <c r="J2904" t="inlineStr">
        <is>
          <t>Silver</t>
        </is>
      </c>
      <c r="K2904" t="n">
        <v>479</v>
      </c>
      <c r="L2904" t="n">
        <v>36</v>
      </c>
      <c r="M2904" t="n">
        <v>21.92</v>
      </c>
      <c r="N2904" t="n">
        <v>3020.38</v>
      </c>
      <c r="O2904" t="n">
        <v>3.51</v>
      </c>
      <c r="P2904" t="n">
        <v>5</v>
      </c>
      <c r="Q2904" t="n">
        <v>1</v>
      </c>
      <c r="R2904" t="n">
        <v>2021.1</v>
      </c>
      <c r="S2904" t="b">
        <v>0</v>
      </c>
      <c r="T2904" t="n">
        <v>2552029</v>
      </c>
      <c r="U2904" t="n">
        <v>8</v>
      </c>
      <c r="V2904" t="n">
        <v>0.026</v>
      </c>
      <c r="W2904" t="n">
        <v>1.34</v>
      </c>
      <c r="X2904" t="n">
        <v>72.84999999999999</v>
      </c>
      <c r="Y2904">
        <f>VLOOKUP(D2904,$AB$2:$AC$7,2,FALSE)</f>
        <v/>
      </c>
      <c r="Z2904">
        <f>IF(A2904&lt;Y2904,"Yes","No")</f>
        <v/>
      </c>
    </row>
    <row r="2905">
      <c r="A2905" t="n">
        <v>2014</v>
      </c>
      <c r="B2905" t="inlineStr">
        <is>
          <t>Q2</t>
        </is>
      </c>
      <c r="C2905" t="inlineStr">
        <is>
          <t>Australia</t>
        </is>
      </c>
      <c r="D2905" t="inlineStr">
        <is>
          <t>Model S</t>
        </is>
      </c>
      <c r="E2905" t="n">
        <v>4901</v>
      </c>
      <c r="F2905" t="n">
        <v>88293.56</v>
      </c>
      <c r="G2905" t="n">
        <v>45</v>
      </c>
      <c r="H2905" t="inlineStr">
        <is>
          <t>Standard</t>
        </is>
      </c>
      <c r="I2905" t="inlineStr">
        <is>
          <t>AWD</t>
        </is>
      </c>
      <c r="J2905" t="inlineStr">
        <is>
          <t>Black</t>
        </is>
      </c>
      <c r="K2905" t="n">
        <v>607</v>
      </c>
      <c r="L2905" t="n">
        <v>74</v>
      </c>
      <c r="M2905" t="n">
        <v>21.01</v>
      </c>
      <c r="N2905" t="n">
        <v>11505.11</v>
      </c>
      <c r="O2905" t="n">
        <v>4.4</v>
      </c>
      <c r="P2905" t="n">
        <v>5</v>
      </c>
      <c r="Q2905" t="n">
        <v>0</v>
      </c>
      <c r="R2905" t="n">
        <v>2021.7</v>
      </c>
      <c r="S2905" t="b">
        <v>0</v>
      </c>
      <c r="T2905" t="n">
        <v>1389076</v>
      </c>
      <c r="U2905" t="n">
        <v>10</v>
      </c>
      <c r="V2905" t="n">
        <v>0.0149</v>
      </c>
      <c r="W2905" t="n">
        <v>0.65</v>
      </c>
      <c r="X2905" t="n">
        <v>63.22</v>
      </c>
      <c r="Y2905">
        <f>VLOOKUP(D2905,$AB$2:$AC$7,2,FALSE)</f>
        <v/>
      </c>
      <c r="Z2905">
        <f>IF(A2905&lt;Y2905,"Yes","No")</f>
        <v/>
      </c>
    </row>
    <row r="2906">
      <c r="A2906" t="n">
        <v>2014</v>
      </c>
      <c r="B2906" t="inlineStr">
        <is>
          <t>Q2</t>
        </is>
      </c>
      <c r="C2906" t="inlineStr">
        <is>
          <t>Australia</t>
        </is>
      </c>
      <c r="D2906" t="inlineStr">
        <is>
          <t>Model X</t>
        </is>
      </c>
      <c r="E2906" t="n">
        <v>4360</v>
      </c>
      <c r="F2906" t="n">
        <v>42237.05</v>
      </c>
      <c r="G2906" t="n">
        <v>50</v>
      </c>
      <c r="H2906" t="inlineStr">
        <is>
          <t>Long Range</t>
        </is>
      </c>
      <c r="I2906" t="inlineStr">
        <is>
          <t>RWD</t>
        </is>
      </c>
      <c r="J2906" t="inlineStr">
        <is>
          <t>Black</t>
        </is>
      </c>
      <c r="K2906" t="n">
        <v>647</v>
      </c>
      <c r="L2906" t="n">
        <v>71</v>
      </c>
      <c r="M2906" t="n">
        <v>20.75</v>
      </c>
      <c r="N2906" t="n">
        <v>5187.96</v>
      </c>
      <c r="O2906" t="n">
        <v>4.3</v>
      </c>
      <c r="P2906" t="n">
        <v>8</v>
      </c>
      <c r="Q2906" t="n">
        <v>1</v>
      </c>
      <c r="R2906" t="n">
        <v>2023.9</v>
      </c>
      <c r="S2906" t="b">
        <v>1</v>
      </c>
      <c r="T2906" t="n">
        <v>1169080</v>
      </c>
      <c r="U2906" t="n">
        <v>5</v>
      </c>
      <c r="V2906" t="n">
        <v>0.0116</v>
      </c>
      <c r="W2906" t="n">
        <v>1.88</v>
      </c>
      <c r="X2906" t="n">
        <v>64.45999999999999</v>
      </c>
      <c r="Y2906">
        <f>VLOOKUP(D2906,$AB$2:$AC$7,2,FALSE)</f>
        <v/>
      </c>
      <c r="Z2906">
        <f>IF(A2906&lt;Y2906,"Yes","No")</f>
        <v/>
      </c>
    </row>
    <row r="2907">
      <c r="A2907" t="n">
        <v>2017</v>
      </c>
      <c r="B2907" t="inlineStr">
        <is>
          <t>Q2</t>
        </is>
      </c>
      <c r="C2907" t="inlineStr">
        <is>
          <t>Australia</t>
        </is>
      </c>
      <c r="D2907" t="inlineStr">
        <is>
          <t>Model S</t>
        </is>
      </c>
      <c r="E2907" t="n">
        <v>383</v>
      </c>
      <c r="F2907" t="n">
        <v>40820.48</v>
      </c>
      <c r="G2907" t="n">
        <v>5</v>
      </c>
      <c r="H2907" t="inlineStr">
        <is>
          <t>Performance</t>
        </is>
      </c>
      <c r="I2907" t="inlineStr">
        <is>
          <t>AWD</t>
        </is>
      </c>
      <c r="J2907" t="inlineStr">
        <is>
          <t>Black</t>
        </is>
      </c>
      <c r="K2907" t="n">
        <v>475</v>
      </c>
      <c r="L2907" t="n">
        <v>88</v>
      </c>
      <c r="M2907" t="n">
        <v>13.2</v>
      </c>
      <c r="N2907" t="n">
        <v>354.24</v>
      </c>
      <c r="O2907" t="n">
        <v>4.29</v>
      </c>
      <c r="P2907" t="n">
        <v>4</v>
      </c>
      <c r="Q2907" t="n">
        <v>0</v>
      </c>
      <c r="R2907" t="n">
        <v>2021.3</v>
      </c>
      <c r="S2907" t="b">
        <v>1</v>
      </c>
      <c r="T2907" t="n">
        <v>1242579</v>
      </c>
      <c r="U2907" t="n">
        <v>6</v>
      </c>
      <c r="V2907" t="n">
        <v>0.0663</v>
      </c>
      <c r="W2907" t="n">
        <v>1.99</v>
      </c>
      <c r="X2907" t="n">
        <v>82.73</v>
      </c>
      <c r="Y2907">
        <f>VLOOKUP(D2907,$AB$2:$AC$7,2,FALSE)</f>
        <v/>
      </c>
      <c r="Z2907">
        <f>IF(A2907&lt;Y2907,"Yes","No")</f>
        <v/>
      </c>
    </row>
    <row r="2908">
      <c r="A2908" t="n">
        <v>2024</v>
      </c>
      <c r="B2908" t="inlineStr">
        <is>
          <t>Q4</t>
        </is>
      </c>
      <c r="C2908" t="inlineStr">
        <is>
          <t>Asia</t>
        </is>
      </c>
      <c r="D2908" t="inlineStr">
        <is>
          <t>Model 3</t>
        </is>
      </c>
      <c r="E2908" t="n">
        <v>829</v>
      </c>
      <c r="F2908" t="n">
        <v>40115.4</v>
      </c>
      <c r="G2908" t="n">
        <v>2</v>
      </c>
      <c r="H2908" t="inlineStr">
        <is>
          <t>Long Range</t>
        </is>
      </c>
      <c r="I2908" t="inlineStr">
        <is>
          <t>RWD</t>
        </is>
      </c>
      <c r="J2908" t="inlineStr">
        <is>
          <t>White</t>
        </is>
      </c>
      <c r="K2908" t="n">
        <v>441</v>
      </c>
      <c r="L2908" t="n">
        <v>88</v>
      </c>
      <c r="M2908" t="n">
        <v>23.36</v>
      </c>
      <c r="N2908" t="n">
        <v>1617.24</v>
      </c>
      <c r="O2908" t="n">
        <v>4.56</v>
      </c>
      <c r="P2908" t="n">
        <v>4</v>
      </c>
      <c r="Q2908" t="n">
        <v>0</v>
      </c>
      <c r="R2908" t="n">
        <v>2020.1</v>
      </c>
      <c r="S2908" t="b">
        <v>0</v>
      </c>
      <c r="T2908" t="n">
        <v>1079354</v>
      </c>
      <c r="U2908" t="n">
        <v>7</v>
      </c>
      <c r="V2908" t="n">
        <v>0.0554</v>
      </c>
      <c r="W2908" t="n">
        <v>1.52</v>
      </c>
      <c r="X2908" t="n">
        <v>71.14</v>
      </c>
      <c r="Y2908">
        <f>VLOOKUP(D2908,$AB$2:$AC$7,2,FALSE)</f>
        <v/>
      </c>
      <c r="Z2908">
        <f>IF(A2908&lt;Y2908,"Yes","No")</f>
        <v/>
      </c>
    </row>
    <row r="2909">
      <c r="A2909" t="n">
        <v>2013</v>
      </c>
      <c r="B2909" t="inlineStr">
        <is>
          <t>Q1</t>
        </is>
      </c>
      <c r="C2909" t="inlineStr">
        <is>
          <t>North America</t>
        </is>
      </c>
      <c r="D2909" t="inlineStr">
        <is>
          <t>Model X</t>
        </is>
      </c>
      <c r="E2909" t="n">
        <v>240</v>
      </c>
      <c r="F2909" t="n">
        <v>91451.56</v>
      </c>
      <c r="G2909" t="n">
        <v>19</v>
      </c>
      <c r="H2909" t="inlineStr">
        <is>
          <t>Standard</t>
        </is>
      </c>
      <c r="I2909" t="inlineStr">
        <is>
          <t>AWD</t>
        </is>
      </c>
      <c r="J2909" t="inlineStr">
        <is>
          <t>Black</t>
        </is>
      </c>
      <c r="K2909" t="n">
        <v>525</v>
      </c>
      <c r="L2909" t="n">
        <v>33</v>
      </c>
      <c r="M2909" t="n">
        <v>23.07</v>
      </c>
      <c r="N2909" t="n">
        <v>174.5</v>
      </c>
      <c r="O2909" t="n">
        <v>3.75</v>
      </c>
      <c r="P2909" t="n">
        <v>8</v>
      </c>
      <c r="Q2909" t="n">
        <v>2</v>
      </c>
      <c r="R2909" t="n">
        <v>2020.9</v>
      </c>
      <c r="S2909" t="b">
        <v>1</v>
      </c>
      <c r="T2909" t="n">
        <v>3415843</v>
      </c>
      <c r="U2909" t="n">
        <v>9</v>
      </c>
      <c r="V2909" t="n">
        <v>0.0822</v>
      </c>
      <c r="W2909" t="n">
        <v>0.89</v>
      </c>
      <c r="X2909" t="n">
        <v>61.65</v>
      </c>
      <c r="Y2909">
        <f>VLOOKUP(D2909,$AB$2:$AC$7,2,FALSE)</f>
        <v/>
      </c>
      <c r="Z2909">
        <f>IF(A2909&lt;Y2909,"Yes","No")</f>
        <v/>
      </c>
    </row>
    <row r="2910">
      <c r="A2910" t="n">
        <v>2019</v>
      </c>
      <c r="B2910" t="inlineStr">
        <is>
          <t>Q2</t>
        </is>
      </c>
      <c r="C2910" t="inlineStr">
        <is>
          <t>South America</t>
        </is>
      </c>
      <c r="D2910" t="inlineStr">
        <is>
          <t>Model S</t>
        </is>
      </c>
      <c r="E2910" t="n">
        <v>3644</v>
      </c>
      <c r="F2910" t="n">
        <v>87400.21000000001</v>
      </c>
      <c r="G2910" t="n">
        <v>6</v>
      </c>
      <c r="H2910" t="inlineStr">
        <is>
          <t>Long Range</t>
        </is>
      </c>
      <c r="I2910" t="inlineStr">
        <is>
          <t>AWD</t>
        </is>
      </c>
      <c r="J2910" t="inlineStr">
        <is>
          <t>Blue</t>
        </is>
      </c>
      <c r="K2910" t="n">
        <v>405</v>
      </c>
      <c r="L2910" t="n">
        <v>68</v>
      </c>
      <c r="M2910" t="n">
        <v>14.12</v>
      </c>
      <c r="N2910" t="n">
        <v>3832.46</v>
      </c>
      <c r="O2910" t="n">
        <v>3.67</v>
      </c>
      <c r="P2910" t="n">
        <v>4</v>
      </c>
      <c r="Q2910" t="n">
        <v>2</v>
      </c>
      <c r="R2910" t="n">
        <v>2023.12</v>
      </c>
      <c r="S2910" t="b">
        <v>1</v>
      </c>
      <c r="T2910" t="n">
        <v>4250832</v>
      </c>
      <c r="U2910" t="n">
        <v>7</v>
      </c>
      <c r="V2910" t="n">
        <v>0.07770000000000001</v>
      </c>
      <c r="W2910" t="n">
        <v>0.63</v>
      </c>
      <c r="X2910" t="n">
        <v>76.98</v>
      </c>
      <c r="Y2910">
        <f>VLOOKUP(D2910,$AB$2:$AC$7,2,FALSE)</f>
        <v/>
      </c>
      <c r="Z2910">
        <f>IF(A2910&lt;Y2910,"Yes","No")</f>
        <v/>
      </c>
    </row>
    <row r="2911">
      <c r="A2911" t="n">
        <v>2020</v>
      </c>
      <c r="B2911" t="inlineStr">
        <is>
          <t>Q2</t>
        </is>
      </c>
      <c r="C2911" t="inlineStr">
        <is>
          <t>Asia</t>
        </is>
      </c>
      <c r="D2911" t="inlineStr">
        <is>
          <t>Cybertruck</t>
        </is>
      </c>
      <c r="E2911" t="n">
        <v>2011</v>
      </c>
      <c r="F2911" t="n">
        <v>63841.43</v>
      </c>
      <c r="G2911" t="n">
        <v>38</v>
      </c>
      <c r="H2911" t="inlineStr">
        <is>
          <t>Standard</t>
        </is>
      </c>
      <c r="I2911" t="inlineStr">
        <is>
          <t>AWD</t>
        </is>
      </c>
      <c r="J2911" t="inlineStr">
        <is>
          <t>Blue</t>
        </is>
      </c>
      <c r="K2911" t="n">
        <v>521</v>
      </c>
      <c r="L2911" t="n">
        <v>86</v>
      </c>
      <c r="M2911" t="n">
        <v>15.73</v>
      </c>
      <c r="N2911" t="n">
        <v>2682.78</v>
      </c>
      <c r="O2911" t="n">
        <v>3.78</v>
      </c>
      <c r="P2911" t="n">
        <v>8</v>
      </c>
      <c r="Q2911" t="n">
        <v>0</v>
      </c>
      <c r="R2911" t="n">
        <v>2022.3</v>
      </c>
      <c r="S2911" t="b">
        <v>1</v>
      </c>
      <c r="T2911" t="n">
        <v>1718272</v>
      </c>
      <c r="U2911" t="n">
        <v>12</v>
      </c>
      <c r="V2911" t="n">
        <v>0.07489999999999999</v>
      </c>
      <c r="W2911" t="n">
        <v>1.45</v>
      </c>
      <c r="X2911" t="n">
        <v>60.41</v>
      </c>
      <c r="Y2911">
        <f>VLOOKUP(D2911,$AB$2:$AC$7,2,FALSE)</f>
        <v/>
      </c>
      <c r="Z2911">
        <f>IF(A2911&lt;Y2911,"Yes","No")</f>
        <v/>
      </c>
    </row>
    <row r="2912">
      <c r="A2912" t="n">
        <v>2024</v>
      </c>
      <c r="B2912" t="inlineStr">
        <is>
          <t>Q1</t>
        </is>
      </c>
      <c r="C2912" t="inlineStr">
        <is>
          <t>Australia</t>
        </is>
      </c>
      <c r="D2912" t="inlineStr">
        <is>
          <t>Cybertruck</t>
        </is>
      </c>
      <c r="E2912" t="n">
        <v>1633</v>
      </c>
      <c r="F2912" t="n">
        <v>65264.29</v>
      </c>
      <c r="G2912" t="n">
        <v>26</v>
      </c>
      <c r="H2912" t="inlineStr">
        <is>
          <t>Standard</t>
        </is>
      </c>
      <c r="I2912" t="inlineStr">
        <is>
          <t>RWD</t>
        </is>
      </c>
      <c r="J2912" t="inlineStr">
        <is>
          <t>White</t>
        </is>
      </c>
      <c r="K2912" t="n">
        <v>367</v>
      </c>
      <c r="L2912" t="n">
        <v>70</v>
      </c>
      <c r="M2912" t="n">
        <v>24.23</v>
      </c>
      <c r="N2912" t="n">
        <v>3002.99</v>
      </c>
      <c r="O2912" t="n">
        <v>4.29</v>
      </c>
      <c r="P2912" t="n">
        <v>6</v>
      </c>
      <c r="Q2912" t="n">
        <v>0</v>
      </c>
      <c r="R2912" t="n">
        <v>2020.9</v>
      </c>
      <c r="S2912" t="b">
        <v>0</v>
      </c>
      <c r="T2912" t="n">
        <v>3037961</v>
      </c>
      <c r="U2912" t="n">
        <v>9</v>
      </c>
      <c r="V2912" t="n">
        <v>0.0528</v>
      </c>
      <c r="W2912" t="n">
        <v>1.44</v>
      </c>
      <c r="X2912" t="n">
        <v>60.7</v>
      </c>
      <c r="Y2912">
        <f>VLOOKUP(D2912,$AB$2:$AC$7,2,FALSE)</f>
        <v/>
      </c>
      <c r="Z2912">
        <f>IF(A2912&lt;Y2912,"Yes","No")</f>
        <v/>
      </c>
    </row>
    <row r="2913">
      <c r="A2913" t="n">
        <v>2019</v>
      </c>
      <c r="B2913" t="inlineStr">
        <is>
          <t>Q3</t>
        </is>
      </c>
      <c r="C2913" t="inlineStr">
        <is>
          <t>Australia</t>
        </is>
      </c>
      <c r="D2913" t="inlineStr">
        <is>
          <t>Model Y</t>
        </is>
      </c>
      <c r="E2913" t="n">
        <v>3600</v>
      </c>
      <c r="F2913" t="n">
        <v>112298.44</v>
      </c>
      <c r="G2913" t="n">
        <v>58</v>
      </c>
      <c r="H2913" t="inlineStr">
        <is>
          <t>Long Range</t>
        </is>
      </c>
      <c r="I2913" t="inlineStr">
        <is>
          <t>AWD</t>
        </is>
      </c>
      <c r="J2913" t="inlineStr">
        <is>
          <t>Red</t>
        </is>
      </c>
      <c r="K2913" t="n">
        <v>549</v>
      </c>
      <c r="L2913" t="n">
        <v>36</v>
      </c>
      <c r="M2913" t="n">
        <v>24.35</v>
      </c>
      <c r="N2913" t="n">
        <v>3852.43</v>
      </c>
      <c r="O2913" t="n">
        <v>4.67</v>
      </c>
      <c r="P2913" t="n">
        <v>4</v>
      </c>
      <c r="Q2913" t="n">
        <v>1</v>
      </c>
      <c r="R2913" t="n">
        <v>2020.8</v>
      </c>
      <c r="S2913" t="b">
        <v>1</v>
      </c>
      <c r="T2913" t="n">
        <v>3026894</v>
      </c>
      <c r="U2913" t="n">
        <v>5</v>
      </c>
      <c r="V2913" t="n">
        <v>0.0606</v>
      </c>
      <c r="W2913" t="n">
        <v>1.56</v>
      </c>
      <c r="X2913" t="n">
        <v>85.78</v>
      </c>
      <c r="Y2913">
        <f>VLOOKUP(D2913,$AB$2:$AC$7,2,FALSE)</f>
        <v/>
      </c>
      <c r="Z2913">
        <f>IF(A2913&lt;Y2913,"Yes","No")</f>
        <v/>
      </c>
    </row>
    <row r="2914">
      <c r="A2914" t="n">
        <v>2013</v>
      </c>
      <c r="B2914" t="inlineStr">
        <is>
          <t>Q3</t>
        </is>
      </c>
      <c r="C2914" t="inlineStr">
        <is>
          <t>South America</t>
        </is>
      </c>
      <c r="D2914" t="inlineStr">
        <is>
          <t>Model Y</t>
        </is>
      </c>
      <c r="E2914" t="n">
        <v>4443</v>
      </c>
      <c r="F2914" t="n">
        <v>36798.38</v>
      </c>
      <c r="G2914" t="n">
        <v>46</v>
      </c>
      <c r="H2914" t="inlineStr">
        <is>
          <t>Long Range</t>
        </is>
      </c>
      <c r="I2914" t="inlineStr">
        <is>
          <t>RWD</t>
        </is>
      </c>
      <c r="J2914" t="inlineStr">
        <is>
          <t>Red</t>
        </is>
      </c>
      <c r="K2914" t="n">
        <v>569</v>
      </c>
      <c r="L2914" t="n">
        <v>68</v>
      </c>
      <c r="M2914" t="n">
        <v>13.01</v>
      </c>
      <c r="N2914" t="n">
        <v>9521.299999999999</v>
      </c>
      <c r="O2914" t="n">
        <v>3.98</v>
      </c>
      <c r="P2914" t="n">
        <v>6</v>
      </c>
      <c r="Q2914" t="n">
        <v>3</v>
      </c>
      <c r="R2914" t="n">
        <v>2022.6</v>
      </c>
      <c r="S2914" t="b">
        <v>1</v>
      </c>
      <c r="T2914" t="n">
        <v>3780728</v>
      </c>
      <c r="U2914" t="n">
        <v>6</v>
      </c>
      <c r="V2914" t="n">
        <v>0.0968</v>
      </c>
      <c r="W2914" t="n">
        <v>0.7</v>
      </c>
      <c r="X2914" t="n">
        <v>68.97</v>
      </c>
      <c r="Y2914">
        <f>VLOOKUP(D2914,$AB$2:$AC$7,2,FALSE)</f>
        <v/>
      </c>
      <c r="Z2914">
        <f>IF(A2914&lt;Y2914,"Yes","No")</f>
        <v/>
      </c>
    </row>
    <row r="2915">
      <c r="A2915" t="n">
        <v>2016</v>
      </c>
      <c r="B2915" t="inlineStr">
        <is>
          <t>Q2</t>
        </is>
      </c>
      <c r="C2915" t="inlineStr">
        <is>
          <t>South America</t>
        </is>
      </c>
      <c r="D2915" t="inlineStr">
        <is>
          <t>Model X</t>
        </is>
      </c>
      <c r="E2915" t="n">
        <v>2349</v>
      </c>
      <c r="F2915" t="n">
        <v>69910.91</v>
      </c>
      <c r="G2915" t="n">
        <v>38</v>
      </c>
      <c r="H2915" t="inlineStr">
        <is>
          <t>Standard</t>
        </is>
      </c>
      <c r="I2915" t="inlineStr">
        <is>
          <t>RWD</t>
        </is>
      </c>
      <c r="J2915" t="inlineStr">
        <is>
          <t>Blue</t>
        </is>
      </c>
      <c r="K2915" t="n">
        <v>439</v>
      </c>
      <c r="L2915" t="n">
        <v>56</v>
      </c>
      <c r="M2915" t="n">
        <v>22.26</v>
      </c>
      <c r="N2915" t="n">
        <v>3978.59</v>
      </c>
      <c r="O2915" t="n">
        <v>4.02</v>
      </c>
      <c r="P2915" t="n">
        <v>4</v>
      </c>
      <c r="Q2915" t="n">
        <v>1</v>
      </c>
      <c r="R2915" t="n">
        <v>2024.4</v>
      </c>
      <c r="S2915" t="b">
        <v>1</v>
      </c>
      <c r="T2915" t="n">
        <v>2442928</v>
      </c>
      <c r="U2915" t="n">
        <v>11</v>
      </c>
      <c r="V2915" t="n">
        <v>0.068</v>
      </c>
      <c r="W2915" t="n">
        <v>2.4</v>
      </c>
      <c r="X2915" t="n">
        <v>69.56999999999999</v>
      </c>
      <c r="Y2915">
        <f>VLOOKUP(D2915,$AB$2:$AC$7,2,FALSE)</f>
        <v/>
      </c>
      <c r="Z2915">
        <f>IF(A2915&lt;Y2915,"Yes","No")</f>
        <v/>
      </c>
    </row>
    <row r="2916">
      <c r="A2916" t="n">
        <v>2017</v>
      </c>
      <c r="B2916" t="inlineStr">
        <is>
          <t>Q2</t>
        </is>
      </c>
      <c r="C2916" t="inlineStr">
        <is>
          <t>South America</t>
        </is>
      </c>
      <c r="D2916" t="inlineStr">
        <is>
          <t>Semi</t>
        </is>
      </c>
      <c r="E2916" t="n">
        <v>1354</v>
      </c>
      <c r="F2916" t="n">
        <v>74282.82000000001</v>
      </c>
      <c r="G2916" t="n">
        <v>30</v>
      </c>
      <c r="H2916" t="inlineStr">
        <is>
          <t>Performance</t>
        </is>
      </c>
      <c r="I2916" t="inlineStr">
        <is>
          <t>RWD</t>
        </is>
      </c>
      <c r="J2916" t="inlineStr">
        <is>
          <t>Red</t>
        </is>
      </c>
      <c r="K2916" t="n">
        <v>447</v>
      </c>
      <c r="L2916" t="n">
        <v>53</v>
      </c>
      <c r="M2916" t="n">
        <v>19.4</v>
      </c>
      <c r="N2916" t="n">
        <v>2314.74</v>
      </c>
      <c r="O2916" t="n">
        <v>4.74</v>
      </c>
      <c r="P2916" t="n">
        <v>8</v>
      </c>
      <c r="Q2916" t="n">
        <v>0</v>
      </c>
      <c r="R2916" t="n">
        <v>2023.1</v>
      </c>
      <c r="S2916" t="b">
        <v>1</v>
      </c>
      <c r="T2916" t="n">
        <v>778581</v>
      </c>
      <c r="U2916" t="n">
        <v>5</v>
      </c>
      <c r="V2916" t="n">
        <v>0.0194</v>
      </c>
      <c r="W2916" t="n">
        <v>0.99</v>
      </c>
      <c r="X2916" t="n">
        <v>89.04000000000001</v>
      </c>
      <c r="Y2916">
        <f>VLOOKUP(D2916,$AB$2:$AC$7,2,FALSE)</f>
        <v/>
      </c>
      <c r="Z2916">
        <f>IF(A2916&lt;Y2916,"Yes","No")</f>
        <v/>
      </c>
    </row>
    <row r="2917">
      <c r="A2917" t="n">
        <v>2024</v>
      </c>
      <c r="B2917" t="inlineStr">
        <is>
          <t>Q4</t>
        </is>
      </c>
      <c r="C2917" t="inlineStr">
        <is>
          <t>South America</t>
        </is>
      </c>
      <c r="D2917" t="inlineStr">
        <is>
          <t>Model Y</t>
        </is>
      </c>
      <c r="E2917" t="n">
        <v>602</v>
      </c>
      <c r="F2917" t="n">
        <v>103069.54</v>
      </c>
      <c r="G2917" t="n">
        <v>34</v>
      </c>
      <c r="H2917" t="inlineStr">
        <is>
          <t>Long Range</t>
        </is>
      </c>
      <c r="I2917" t="inlineStr">
        <is>
          <t>RWD</t>
        </is>
      </c>
      <c r="J2917" t="inlineStr">
        <is>
          <t>Green</t>
        </is>
      </c>
      <c r="K2917" t="n">
        <v>618</v>
      </c>
      <c r="L2917" t="n">
        <v>71</v>
      </c>
      <c r="M2917" t="n">
        <v>23.17</v>
      </c>
      <c r="N2917" t="n">
        <v>500.45</v>
      </c>
      <c r="O2917" t="n">
        <v>4.78</v>
      </c>
      <c r="P2917" t="n">
        <v>4</v>
      </c>
      <c r="Q2917" t="n">
        <v>0</v>
      </c>
      <c r="R2917" t="n">
        <v>2023.8</v>
      </c>
      <c r="S2917" t="b">
        <v>1</v>
      </c>
      <c r="T2917" t="n">
        <v>2780578</v>
      </c>
      <c r="U2917" t="n">
        <v>10</v>
      </c>
      <c r="V2917" t="n">
        <v>0.0369</v>
      </c>
      <c r="W2917" t="n">
        <v>2.13</v>
      </c>
      <c r="X2917" t="n">
        <v>61.55</v>
      </c>
      <c r="Y2917">
        <f>VLOOKUP(D2917,$AB$2:$AC$7,2,FALSE)</f>
        <v/>
      </c>
      <c r="Z2917">
        <f>IF(A2917&lt;Y2917,"Yes","No")</f>
        <v/>
      </c>
    </row>
    <row r="2918">
      <c r="A2918" t="n">
        <v>2022</v>
      </c>
      <c r="B2918" t="inlineStr">
        <is>
          <t>Q1</t>
        </is>
      </c>
      <c r="C2918" t="inlineStr">
        <is>
          <t>Australia</t>
        </is>
      </c>
      <c r="D2918" t="inlineStr">
        <is>
          <t>Model 3</t>
        </is>
      </c>
      <c r="E2918" t="n">
        <v>2762</v>
      </c>
      <c r="F2918" t="n">
        <v>37205.84</v>
      </c>
      <c r="G2918" t="n">
        <v>49</v>
      </c>
      <c r="H2918" t="inlineStr">
        <is>
          <t>Long Range</t>
        </is>
      </c>
      <c r="I2918" t="inlineStr">
        <is>
          <t>RWD</t>
        </is>
      </c>
      <c r="J2918" t="inlineStr">
        <is>
          <t>Green</t>
        </is>
      </c>
      <c r="K2918" t="n">
        <v>546</v>
      </c>
      <c r="L2918" t="n">
        <v>72</v>
      </c>
      <c r="M2918" t="n">
        <v>17.74</v>
      </c>
      <c r="N2918" t="n">
        <v>3227.56</v>
      </c>
      <c r="O2918" t="n">
        <v>4.87</v>
      </c>
      <c r="P2918" t="n">
        <v>4</v>
      </c>
      <c r="Q2918" t="n">
        <v>3</v>
      </c>
      <c r="R2918" t="n">
        <v>2024.1</v>
      </c>
      <c r="S2918" t="b">
        <v>1</v>
      </c>
      <c r="T2918" t="n">
        <v>1631675</v>
      </c>
      <c r="U2918" t="n">
        <v>7</v>
      </c>
      <c r="V2918" t="n">
        <v>0.0767</v>
      </c>
      <c r="W2918" t="n">
        <v>1.97</v>
      </c>
      <c r="X2918" t="n">
        <v>85.84999999999999</v>
      </c>
      <c r="Y2918">
        <f>VLOOKUP(D2918,$AB$2:$AC$7,2,FALSE)</f>
        <v/>
      </c>
      <c r="Z2918">
        <f>IF(A2918&lt;Y2918,"Yes","No")</f>
        <v/>
      </c>
    </row>
    <row r="2919">
      <c r="A2919" t="n">
        <v>2020</v>
      </c>
      <c r="B2919" t="inlineStr">
        <is>
          <t>Q4</t>
        </is>
      </c>
      <c r="C2919" t="inlineStr">
        <is>
          <t>Europe</t>
        </is>
      </c>
      <c r="D2919" t="inlineStr">
        <is>
          <t>Model Y</t>
        </is>
      </c>
      <c r="E2919" t="n">
        <v>4626</v>
      </c>
      <c r="F2919" t="n">
        <v>57382.79</v>
      </c>
      <c r="G2919" t="n">
        <v>28</v>
      </c>
      <c r="H2919" t="inlineStr">
        <is>
          <t>Performance</t>
        </is>
      </c>
      <c r="I2919" t="inlineStr">
        <is>
          <t>AWD</t>
        </is>
      </c>
      <c r="J2919" t="inlineStr">
        <is>
          <t>White</t>
        </is>
      </c>
      <c r="K2919" t="n">
        <v>408</v>
      </c>
      <c r="L2919" t="n">
        <v>67</v>
      </c>
      <c r="M2919" t="n">
        <v>13.32</v>
      </c>
      <c r="N2919" t="n">
        <v>11562.63</v>
      </c>
      <c r="O2919" t="n">
        <v>4.73</v>
      </c>
      <c r="P2919" t="n">
        <v>8</v>
      </c>
      <c r="Q2919" t="n">
        <v>0</v>
      </c>
      <c r="R2919" t="n">
        <v>2023.8</v>
      </c>
      <c r="S2919" t="b">
        <v>1</v>
      </c>
      <c r="T2919" t="n">
        <v>1700889</v>
      </c>
      <c r="U2919" t="n">
        <v>9</v>
      </c>
      <c r="V2919" t="n">
        <v>0.0613</v>
      </c>
      <c r="W2919" t="n">
        <v>1.38</v>
      </c>
      <c r="X2919" t="n">
        <v>66.87</v>
      </c>
      <c r="Y2919">
        <f>VLOOKUP(D2919,$AB$2:$AC$7,2,FALSE)</f>
        <v/>
      </c>
      <c r="Z2919">
        <f>IF(A2919&lt;Y2919,"Yes","No")</f>
        <v/>
      </c>
    </row>
    <row r="2920">
      <c r="A2920" t="n">
        <v>2021</v>
      </c>
      <c r="B2920" t="inlineStr">
        <is>
          <t>Q1</t>
        </is>
      </c>
      <c r="C2920" t="inlineStr">
        <is>
          <t>Asia</t>
        </is>
      </c>
      <c r="D2920" t="inlineStr">
        <is>
          <t>Model 3</t>
        </is>
      </c>
      <c r="E2920" t="n">
        <v>1644</v>
      </c>
      <c r="F2920" t="n">
        <v>99611.59</v>
      </c>
      <c r="G2920" t="n">
        <v>7</v>
      </c>
      <c r="H2920" t="inlineStr">
        <is>
          <t>Performance</t>
        </is>
      </c>
      <c r="I2920" t="inlineStr">
        <is>
          <t>AWD</t>
        </is>
      </c>
      <c r="J2920" t="inlineStr">
        <is>
          <t>White</t>
        </is>
      </c>
      <c r="K2920" t="n">
        <v>413</v>
      </c>
      <c r="L2920" t="n">
        <v>84</v>
      </c>
      <c r="M2920" t="n">
        <v>23.14</v>
      </c>
      <c r="N2920" t="n">
        <v>4053.02</v>
      </c>
      <c r="O2920" t="n">
        <v>3.92</v>
      </c>
      <c r="P2920" t="n">
        <v>4</v>
      </c>
      <c r="Q2920" t="n">
        <v>2</v>
      </c>
      <c r="R2920" t="n">
        <v>2024.6</v>
      </c>
      <c r="S2920" t="b">
        <v>0</v>
      </c>
      <c r="T2920" t="n">
        <v>483876</v>
      </c>
      <c r="U2920" t="n">
        <v>4</v>
      </c>
      <c r="V2920" t="n">
        <v>0.0284</v>
      </c>
      <c r="W2920" t="n">
        <v>1</v>
      </c>
      <c r="X2920" t="n">
        <v>73.48999999999999</v>
      </c>
      <c r="Y2920">
        <f>VLOOKUP(D2920,$AB$2:$AC$7,2,FALSE)</f>
        <v/>
      </c>
      <c r="Z2920">
        <f>IF(A2920&lt;Y2920,"Yes","No")</f>
        <v/>
      </c>
    </row>
    <row r="2921">
      <c r="A2921" t="n">
        <v>2024</v>
      </c>
      <c r="B2921" t="inlineStr">
        <is>
          <t>Q3</t>
        </is>
      </c>
      <c r="C2921" t="inlineStr">
        <is>
          <t>Asia</t>
        </is>
      </c>
      <c r="D2921" t="inlineStr">
        <is>
          <t>Model Y</t>
        </is>
      </c>
      <c r="E2921" t="n">
        <v>1035</v>
      </c>
      <c r="F2921" t="n">
        <v>107679.69</v>
      </c>
      <c r="G2921" t="n">
        <v>58</v>
      </c>
      <c r="H2921" t="inlineStr">
        <is>
          <t>Long Range</t>
        </is>
      </c>
      <c r="I2921" t="inlineStr">
        <is>
          <t>RWD</t>
        </is>
      </c>
      <c r="J2921" t="inlineStr">
        <is>
          <t>Red</t>
        </is>
      </c>
      <c r="K2921" t="n">
        <v>461</v>
      </c>
      <c r="L2921" t="n">
        <v>82</v>
      </c>
      <c r="M2921" t="n">
        <v>18.68</v>
      </c>
      <c r="N2921" t="n">
        <v>1187.09</v>
      </c>
      <c r="O2921" t="n">
        <v>4.61</v>
      </c>
      <c r="P2921" t="n">
        <v>4</v>
      </c>
      <c r="Q2921" t="n">
        <v>0</v>
      </c>
      <c r="R2921" t="n">
        <v>2023.5</v>
      </c>
      <c r="S2921" t="b">
        <v>1</v>
      </c>
      <c r="T2921" t="n">
        <v>4383598</v>
      </c>
      <c r="U2921" t="n">
        <v>4</v>
      </c>
      <c r="V2921" t="n">
        <v>0.0493</v>
      </c>
      <c r="W2921" t="n">
        <v>0.79</v>
      </c>
      <c r="X2921" t="n">
        <v>61.66</v>
      </c>
      <c r="Y2921">
        <f>VLOOKUP(D2921,$AB$2:$AC$7,2,FALSE)</f>
        <v/>
      </c>
      <c r="Z2921">
        <f>IF(A2921&lt;Y2921,"Yes","No")</f>
        <v/>
      </c>
    </row>
    <row r="2922">
      <c r="A2922" t="n">
        <v>2014</v>
      </c>
      <c r="B2922" t="inlineStr">
        <is>
          <t>Q1</t>
        </is>
      </c>
      <c r="C2922" t="inlineStr">
        <is>
          <t>Europe</t>
        </is>
      </c>
      <c r="D2922" t="inlineStr">
        <is>
          <t>Semi</t>
        </is>
      </c>
      <c r="E2922" t="n">
        <v>930</v>
      </c>
      <c r="F2922" t="n">
        <v>112378.72</v>
      </c>
      <c r="G2922" t="n">
        <v>51</v>
      </c>
      <c r="H2922" t="inlineStr">
        <is>
          <t>Standard</t>
        </is>
      </c>
      <c r="I2922" t="inlineStr">
        <is>
          <t>RWD</t>
        </is>
      </c>
      <c r="J2922" t="inlineStr">
        <is>
          <t>Black</t>
        </is>
      </c>
      <c r="K2922" t="n">
        <v>374</v>
      </c>
      <c r="L2922" t="n">
        <v>60</v>
      </c>
      <c r="M2922" t="n">
        <v>20.91</v>
      </c>
      <c r="N2922" t="n">
        <v>1729.03</v>
      </c>
      <c r="O2922" t="n">
        <v>4.14</v>
      </c>
      <c r="P2922" t="n">
        <v>8</v>
      </c>
      <c r="Q2922" t="n">
        <v>2</v>
      </c>
      <c r="R2922" t="n">
        <v>2023.6</v>
      </c>
      <c r="S2922" t="b">
        <v>0</v>
      </c>
      <c r="T2922" t="n">
        <v>972240</v>
      </c>
      <c r="U2922" t="n">
        <v>10</v>
      </c>
      <c r="V2922" t="n">
        <v>0.049</v>
      </c>
      <c r="W2922" t="n">
        <v>1.7</v>
      </c>
      <c r="X2922" t="n">
        <v>89.66</v>
      </c>
      <c r="Y2922">
        <f>VLOOKUP(D2922,$AB$2:$AC$7,2,FALSE)</f>
        <v/>
      </c>
      <c r="Z2922">
        <f>IF(A2922&lt;Y2922,"Yes","No")</f>
        <v/>
      </c>
    </row>
    <row r="2923">
      <c r="A2923" t="n">
        <v>2014</v>
      </c>
      <c r="B2923" t="inlineStr">
        <is>
          <t>Q3</t>
        </is>
      </c>
      <c r="C2923" t="inlineStr">
        <is>
          <t>North America</t>
        </is>
      </c>
      <c r="D2923" t="inlineStr">
        <is>
          <t>Model S</t>
        </is>
      </c>
      <c r="E2923" t="n">
        <v>3623</v>
      </c>
      <c r="F2923" t="n">
        <v>107207.3</v>
      </c>
      <c r="G2923" t="n">
        <v>29</v>
      </c>
      <c r="H2923" t="inlineStr">
        <is>
          <t>Standard</t>
        </is>
      </c>
      <c r="I2923" t="inlineStr">
        <is>
          <t>RWD</t>
        </is>
      </c>
      <c r="J2923" t="inlineStr">
        <is>
          <t>White</t>
        </is>
      </c>
      <c r="K2923" t="n">
        <v>613</v>
      </c>
      <c r="L2923" t="n">
        <v>58</v>
      </c>
      <c r="M2923" t="n">
        <v>22.63</v>
      </c>
      <c r="N2923" t="n">
        <v>6473.2</v>
      </c>
      <c r="O2923" t="n">
        <v>4.37</v>
      </c>
      <c r="P2923" t="n">
        <v>5</v>
      </c>
      <c r="Q2923" t="n">
        <v>1</v>
      </c>
      <c r="R2923" t="n">
        <v>2020.11</v>
      </c>
      <c r="S2923" t="b">
        <v>0</v>
      </c>
      <c r="T2923" t="n">
        <v>1009234</v>
      </c>
      <c r="U2923" t="n">
        <v>3</v>
      </c>
      <c r="V2923" t="n">
        <v>0.0107</v>
      </c>
      <c r="W2923" t="n">
        <v>2.35</v>
      </c>
      <c r="X2923" t="n">
        <v>78.98</v>
      </c>
      <c r="Y2923">
        <f>VLOOKUP(D2923,$AB$2:$AC$7,2,FALSE)</f>
        <v/>
      </c>
      <c r="Z2923">
        <f>IF(A2923&lt;Y2923,"Yes","No")</f>
        <v/>
      </c>
    </row>
    <row r="2924">
      <c r="A2924" t="n">
        <v>2013</v>
      </c>
      <c r="B2924" t="inlineStr">
        <is>
          <t>Q4</t>
        </is>
      </c>
      <c r="C2924" t="inlineStr">
        <is>
          <t>South America</t>
        </is>
      </c>
      <c r="D2924" t="inlineStr">
        <is>
          <t>Model 3</t>
        </is>
      </c>
      <c r="E2924" t="n">
        <v>691</v>
      </c>
      <c r="F2924" t="n">
        <v>119656.4</v>
      </c>
      <c r="G2924" t="n">
        <v>21</v>
      </c>
      <c r="H2924" t="inlineStr">
        <is>
          <t>Long Range</t>
        </is>
      </c>
      <c r="I2924" t="inlineStr">
        <is>
          <t>AWD</t>
        </is>
      </c>
      <c r="J2924" t="inlineStr">
        <is>
          <t>Silver</t>
        </is>
      </c>
      <c r="K2924" t="n">
        <v>380</v>
      </c>
      <c r="L2924" t="n">
        <v>67</v>
      </c>
      <c r="M2924" t="n">
        <v>21.26</v>
      </c>
      <c r="N2924" t="n">
        <v>1302.46</v>
      </c>
      <c r="O2924" t="n">
        <v>4.11</v>
      </c>
      <c r="P2924" t="n">
        <v>4</v>
      </c>
      <c r="Q2924" t="n">
        <v>3</v>
      </c>
      <c r="R2924" t="n">
        <v>2023.6</v>
      </c>
      <c r="S2924" t="b">
        <v>1</v>
      </c>
      <c r="T2924" t="n">
        <v>4510927</v>
      </c>
      <c r="U2924" t="n">
        <v>10</v>
      </c>
      <c r="V2924" t="n">
        <v>0.0898</v>
      </c>
      <c r="W2924" t="n">
        <v>2.14</v>
      </c>
      <c r="X2924" t="n">
        <v>84.09999999999999</v>
      </c>
      <c r="Y2924">
        <f>VLOOKUP(D2924,$AB$2:$AC$7,2,FALSE)</f>
        <v/>
      </c>
      <c r="Z2924">
        <f>IF(A2924&lt;Y2924,"Yes","No")</f>
        <v/>
      </c>
    </row>
    <row r="2925">
      <c r="A2925" t="n">
        <v>2018</v>
      </c>
      <c r="B2925" t="inlineStr">
        <is>
          <t>Q1</t>
        </is>
      </c>
      <c r="C2925" t="inlineStr">
        <is>
          <t>Australia</t>
        </is>
      </c>
      <c r="D2925" t="inlineStr">
        <is>
          <t>Model S</t>
        </is>
      </c>
      <c r="E2925" t="n">
        <v>3741</v>
      </c>
      <c r="F2925" t="n">
        <v>41576.56</v>
      </c>
      <c r="G2925" t="n">
        <v>60</v>
      </c>
      <c r="H2925" t="inlineStr">
        <is>
          <t>Long Range</t>
        </is>
      </c>
      <c r="I2925" t="inlineStr">
        <is>
          <t>RWD</t>
        </is>
      </c>
      <c r="J2925" t="inlineStr">
        <is>
          <t>Green</t>
        </is>
      </c>
      <c r="K2925" t="n">
        <v>378</v>
      </c>
      <c r="L2925" t="n">
        <v>87</v>
      </c>
      <c r="M2925" t="n">
        <v>18.41</v>
      </c>
      <c r="N2925" t="n">
        <v>5917.06</v>
      </c>
      <c r="O2925" t="n">
        <v>4.36</v>
      </c>
      <c r="P2925" t="n">
        <v>4</v>
      </c>
      <c r="Q2925" t="n">
        <v>3</v>
      </c>
      <c r="R2925" t="n">
        <v>2024.3</v>
      </c>
      <c r="S2925" t="b">
        <v>0</v>
      </c>
      <c r="T2925" t="n">
        <v>2331698</v>
      </c>
      <c r="U2925" t="n">
        <v>2</v>
      </c>
      <c r="V2925" t="n">
        <v>0.0806</v>
      </c>
      <c r="W2925" t="n">
        <v>2.41</v>
      </c>
      <c r="X2925" t="n">
        <v>68.09</v>
      </c>
      <c r="Y2925">
        <f>VLOOKUP(D2925,$AB$2:$AC$7,2,FALSE)</f>
        <v/>
      </c>
      <c r="Z2925">
        <f>IF(A2925&lt;Y2925,"Yes","No")</f>
        <v/>
      </c>
    </row>
    <row r="2926">
      <c r="A2926" t="n">
        <v>2022</v>
      </c>
      <c r="B2926" t="inlineStr">
        <is>
          <t>Q3</t>
        </is>
      </c>
      <c r="C2926" t="inlineStr">
        <is>
          <t>Asia</t>
        </is>
      </c>
      <c r="D2926" t="inlineStr">
        <is>
          <t>Model 3</t>
        </is>
      </c>
      <c r="E2926" t="n">
        <v>2299</v>
      </c>
      <c r="F2926" t="n">
        <v>40221.32</v>
      </c>
      <c r="G2926" t="n">
        <v>56</v>
      </c>
      <c r="H2926" t="inlineStr">
        <is>
          <t>Performance</t>
        </is>
      </c>
      <c r="I2926" t="inlineStr">
        <is>
          <t>RWD</t>
        </is>
      </c>
      <c r="J2926" t="inlineStr">
        <is>
          <t>Green</t>
        </is>
      </c>
      <c r="K2926" t="n">
        <v>510</v>
      </c>
      <c r="L2926" t="n">
        <v>67</v>
      </c>
      <c r="M2926" t="n">
        <v>20.13</v>
      </c>
      <c r="N2926" t="n">
        <v>1539.89</v>
      </c>
      <c r="O2926" t="n">
        <v>4.27</v>
      </c>
      <c r="P2926" t="n">
        <v>8</v>
      </c>
      <c r="Q2926" t="n">
        <v>0</v>
      </c>
      <c r="R2926" t="n">
        <v>2023.6</v>
      </c>
      <c r="S2926" t="b">
        <v>0</v>
      </c>
      <c r="T2926" t="n">
        <v>3270128</v>
      </c>
      <c r="U2926" t="n">
        <v>12</v>
      </c>
      <c r="V2926" t="n">
        <v>0.0322</v>
      </c>
      <c r="W2926" t="n">
        <v>1.48</v>
      </c>
      <c r="X2926" t="n">
        <v>60.03</v>
      </c>
      <c r="Y2926">
        <f>VLOOKUP(D2926,$AB$2:$AC$7,2,FALSE)</f>
        <v/>
      </c>
      <c r="Z2926">
        <f>IF(A2926&lt;Y2926,"Yes","No")</f>
        <v/>
      </c>
    </row>
    <row r="2927">
      <c r="A2927" t="n">
        <v>2015</v>
      </c>
      <c r="B2927" t="inlineStr">
        <is>
          <t>Q1</t>
        </is>
      </c>
      <c r="C2927" t="inlineStr">
        <is>
          <t>South America</t>
        </is>
      </c>
      <c r="D2927" t="inlineStr">
        <is>
          <t>Model Y</t>
        </is>
      </c>
      <c r="E2927" t="n">
        <v>4308</v>
      </c>
      <c r="F2927" t="n">
        <v>52160.34</v>
      </c>
      <c r="G2927" t="n">
        <v>3</v>
      </c>
      <c r="H2927" t="inlineStr">
        <is>
          <t>Standard</t>
        </is>
      </c>
      <c r="I2927" t="inlineStr">
        <is>
          <t>RWD</t>
        </is>
      </c>
      <c r="J2927" t="inlineStr">
        <is>
          <t>Green</t>
        </is>
      </c>
      <c r="K2927" t="n">
        <v>454</v>
      </c>
      <c r="L2927" t="n">
        <v>65</v>
      </c>
      <c r="M2927" t="n">
        <v>21.81</v>
      </c>
      <c r="N2927" t="n">
        <v>5538.53</v>
      </c>
      <c r="O2927" t="n">
        <v>4.83</v>
      </c>
      <c r="P2927" t="n">
        <v>5</v>
      </c>
      <c r="Q2927" t="n">
        <v>3</v>
      </c>
      <c r="R2927" t="n">
        <v>2020.2</v>
      </c>
      <c r="S2927" t="b">
        <v>1</v>
      </c>
      <c r="T2927" t="n">
        <v>1208894</v>
      </c>
      <c r="U2927" t="n">
        <v>8</v>
      </c>
      <c r="V2927" t="n">
        <v>0.08309999999999999</v>
      </c>
      <c r="W2927" t="n">
        <v>1.67</v>
      </c>
      <c r="X2927" t="n">
        <v>75.75</v>
      </c>
      <c r="Y2927">
        <f>VLOOKUP(D2927,$AB$2:$AC$7,2,FALSE)</f>
        <v/>
      </c>
      <c r="Z2927">
        <f>IF(A2927&lt;Y2927,"Yes","No")</f>
        <v/>
      </c>
    </row>
    <row r="2928">
      <c r="A2928" t="n">
        <v>2019</v>
      </c>
      <c r="B2928" t="inlineStr">
        <is>
          <t>Q2</t>
        </is>
      </c>
      <c r="C2928" t="inlineStr">
        <is>
          <t>Europe</t>
        </is>
      </c>
      <c r="D2928" t="inlineStr">
        <is>
          <t>Model X</t>
        </is>
      </c>
      <c r="E2928" t="n">
        <v>4736</v>
      </c>
      <c r="F2928" t="n">
        <v>113218.51</v>
      </c>
      <c r="G2928" t="n">
        <v>26</v>
      </c>
      <c r="H2928" t="inlineStr">
        <is>
          <t>Standard</t>
        </is>
      </c>
      <c r="I2928" t="inlineStr">
        <is>
          <t>AWD</t>
        </is>
      </c>
      <c r="J2928" t="inlineStr">
        <is>
          <t>White</t>
        </is>
      </c>
      <c r="K2928" t="n">
        <v>623</v>
      </c>
      <c r="L2928" t="n">
        <v>61</v>
      </c>
      <c r="M2928" t="n">
        <v>18.69</v>
      </c>
      <c r="N2928" t="n">
        <v>8818.01</v>
      </c>
      <c r="O2928" t="n">
        <v>3.57</v>
      </c>
      <c r="P2928" t="n">
        <v>5</v>
      </c>
      <c r="Q2928" t="n">
        <v>0</v>
      </c>
      <c r="R2928" t="n">
        <v>2020.12</v>
      </c>
      <c r="S2928" t="b">
        <v>0</v>
      </c>
      <c r="T2928" t="n">
        <v>1204218</v>
      </c>
      <c r="U2928" t="n">
        <v>6</v>
      </c>
      <c r="V2928" t="n">
        <v>0.0427</v>
      </c>
      <c r="W2928" t="n">
        <v>0.66</v>
      </c>
      <c r="X2928" t="n">
        <v>63.7</v>
      </c>
      <c r="Y2928">
        <f>VLOOKUP(D2928,$AB$2:$AC$7,2,FALSE)</f>
        <v/>
      </c>
      <c r="Z2928">
        <f>IF(A2928&lt;Y2928,"Yes","No")</f>
        <v/>
      </c>
    </row>
    <row r="2929">
      <c r="A2929" t="n">
        <v>2017</v>
      </c>
      <c r="B2929" t="inlineStr">
        <is>
          <t>Q4</t>
        </is>
      </c>
      <c r="C2929" t="inlineStr">
        <is>
          <t>North America</t>
        </is>
      </c>
      <c r="D2929" t="inlineStr">
        <is>
          <t>Cybertruck</t>
        </is>
      </c>
      <c r="E2929" t="n">
        <v>1191</v>
      </c>
      <c r="F2929" t="n">
        <v>100624</v>
      </c>
      <c r="G2929" t="n">
        <v>21</v>
      </c>
      <c r="H2929" t="inlineStr">
        <is>
          <t>Standard</t>
        </is>
      </c>
      <c r="I2929" t="inlineStr">
        <is>
          <t>AWD</t>
        </is>
      </c>
      <c r="J2929" t="inlineStr">
        <is>
          <t>Blue</t>
        </is>
      </c>
      <c r="K2929" t="n">
        <v>409</v>
      </c>
      <c r="L2929" t="n">
        <v>74</v>
      </c>
      <c r="M2929" t="n">
        <v>13.11</v>
      </c>
      <c r="N2929" t="n">
        <v>1858.23</v>
      </c>
      <c r="O2929" t="n">
        <v>4.11</v>
      </c>
      <c r="P2929" t="n">
        <v>8</v>
      </c>
      <c r="Q2929" t="n">
        <v>2</v>
      </c>
      <c r="R2929" t="n">
        <v>2023.6</v>
      </c>
      <c r="S2929" t="b">
        <v>0</v>
      </c>
      <c r="T2929" t="n">
        <v>372652</v>
      </c>
      <c r="U2929" t="n">
        <v>6</v>
      </c>
      <c r="V2929" t="n">
        <v>0.0265</v>
      </c>
      <c r="W2929" t="n">
        <v>1.93</v>
      </c>
      <c r="X2929" t="n">
        <v>88.08</v>
      </c>
      <c r="Y2929">
        <f>VLOOKUP(D2929,$AB$2:$AC$7,2,FALSE)</f>
        <v/>
      </c>
      <c r="Z2929">
        <f>IF(A2929&lt;Y2929,"Yes","No")</f>
        <v/>
      </c>
    </row>
    <row r="2930">
      <c r="A2930" t="n">
        <v>2013</v>
      </c>
      <c r="B2930" t="inlineStr">
        <is>
          <t>Q1</t>
        </is>
      </c>
      <c r="C2930" t="inlineStr">
        <is>
          <t>Europe</t>
        </is>
      </c>
      <c r="D2930" t="inlineStr">
        <is>
          <t>Model Y</t>
        </is>
      </c>
      <c r="E2930" t="n">
        <v>2237</v>
      </c>
      <c r="F2930" t="n">
        <v>84563.49000000001</v>
      </c>
      <c r="G2930" t="n">
        <v>28</v>
      </c>
      <c r="H2930" t="inlineStr">
        <is>
          <t>Standard</t>
        </is>
      </c>
      <c r="I2930" t="inlineStr">
        <is>
          <t>RWD</t>
        </is>
      </c>
      <c r="J2930" t="inlineStr">
        <is>
          <t>White</t>
        </is>
      </c>
      <c r="K2930" t="n">
        <v>535</v>
      </c>
      <c r="L2930" t="n">
        <v>56</v>
      </c>
      <c r="M2930" t="n">
        <v>18.95</v>
      </c>
      <c r="N2930" t="n">
        <v>1448.13</v>
      </c>
      <c r="O2930" t="n">
        <v>4.74</v>
      </c>
      <c r="P2930" t="n">
        <v>5</v>
      </c>
      <c r="Q2930" t="n">
        <v>2</v>
      </c>
      <c r="R2930" t="n">
        <v>2024.9</v>
      </c>
      <c r="S2930" t="b">
        <v>0</v>
      </c>
      <c r="T2930" t="n">
        <v>3728802</v>
      </c>
      <c r="U2930" t="n">
        <v>12</v>
      </c>
      <c r="V2930" t="n">
        <v>0.09030000000000001</v>
      </c>
      <c r="W2930" t="n">
        <v>0.65</v>
      </c>
      <c r="X2930" t="n">
        <v>70.55</v>
      </c>
      <c r="Y2930">
        <f>VLOOKUP(D2930,$AB$2:$AC$7,2,FALSE)</f>
        <v/>
      </c>
      <c r="Z2930">
        <f>IF(A2930&lt;Y2930,"Yes","No")</f>
        <v/>
      </c>
    </row>
    <row r="2931">
      <c r="A2931" t="n">
        <v>2023</v>
      </c>
      <c r="B2931" t="inlineStr">
        <is>
          <t>Q2</t>
        </is>
      </c>
      <c r="C2931" t="inlineStr">
        <is>
          <t>North America</t>
        </is>
      </c>
      <c r="D2931" t="inlineStr">
        <is>
          <t>Semi</t>
        </is>
      </c>
      <c r="E2931" t="n">
        <v>2081</v>
      </c>
      <c r="F2931" t="n">
        <v>116414.76</v>
      </c>
      <c r="G2931" t="n">
        <v>4</v>
      </c>
      <c r="H2931" t="inlineStr">
        <is>
          <t>Performance</t>
        </is>
      </c>
      <c r="I2931" t="inlineStr">
        <is>
          <t>AWD</t>
        </is>
      </c>
      <c r="J2931" t="inlineStr">
        <is>
          <t>Black</t>
        </is>
      </c>
      <c r="K2931" t="n">
        <v>648</v>
      </c>
      <c r="L2931" t="n">
        <v>54</v>
      </c>
      <c r="M2931" t="n">
        <v>19.31</v>
      </c>
      <c r="N2931" t="n">
        <v>2046.63</v>
      </c>
      <c r="O2931" t="n">
        <v>4.39</v>
      </c>
      <c r="P2931" t="n">
        <v>4</v>
      </c>
      <c r="Q2931" t="n">
        <v>1</v>
      </c>
      <c r="R2931" t="n">
        <v>2024.3</v>
      </c>
      <c r="S2931" t="b">
        <v>0</v>
      </c>
      <c r="T2931" t="n">
        <v>3732442</v>
      </c>
      <c r="U2931" t="n">
        <v>9</v>
      </c>
      <c r="V2931" t="n">
        <v>0.0752</v>
      </c>
      <c r="W2931" t="n">
        <v>0.86</v>
      </c>
      <c r="X2931" t="n">
        <v>60.49</v>
      </c>
      <c r="Y2931">
        <f>VLOOKUP(D2931,$AB$2:$AC$7,2,FALSE)</f>
        <v/>
      </c>
      <c r="Z2931">
        <f>IF(A2931&lt;Y2931,"Yes","No")</f>
        <v/>
      </c>
    </row>
    <row r="2932">
      <c r="A2932" t="n">
        <v>2024</v>
      </c>
      <c r="B2932" t="inlineStr">
        <is>
          <t>Q1</t>
        </is>
      </c>
      <c r="C2932" t="inlineStr">
        <is>
          <t>North America</t>
        </is>
      </c>
      <c r="D2932" t="inlineStr">
        <is>
          <t>Model 3</t>
        </is>
      </c>
      <c r="E2932" t="n">
        <v>3047</v>
      </c>
      <c r="F2932" t="n">
        <v>37355.57</v>
      </c>
      <c r="G2932" t="n">
        <v>41</v>
      </c>
      <c r="H2932" t="inlineStr">
        <is>
          <t>Performance</t>
        </is>
      </c>
      <c r="I2932" t="inlineStr">
        <is>
          <t>AWD</t>
        </is>
      </c>
      <c r="J2932" t="inlineStr">
        <is>
          <t>Black</t>
        </is>
      </c>
      <c r="K2932" t="n">
        <v>558</v>
      </c>
      <c r="L2932" t="n">
        <v>56</v>
      </c>
      <c r="M2932" t="n">
        <v>19.23</v>
      </c>
      <c r="N2932" t="n">
        <v>6751.59</v>
      </c>
      <c r="O2932" t="n">
        <v>3.93</v>
      </c>
      <c r="P2932" t="n">
        <v>6</v>
      </c>
      <c r="Q2932" t="n">
        <v>1</v>
      </c>
      <c r="R2932" t="n">
        <v>2023.9</v>
      </c>
      <c r="S2932" t="b">
        <v>1</v>
      </c>
      <c r="T2932" t="n">
        <v>3676806</v>
      </c>
      <c r="U2932" t="n">
        <v>9</v>
      </c>
      <c r="V2932" t="n">
        <v>0.0533</v>
      </c>
      <c r="W2932" t="n">
        <v>1.09</v>
      </c>
      <c r="X2932" t="n">
        <v>65.63</v>
      </c>
      <c r="Y2932">
        <f>VLOOKUP(D2932,$AB$2:$AC$7,2,FALSE)</f>
        <v/>
      </c>
      <c r="Z2932">
        <f>IF(A2932&lt;Y2932,"Yes","No")</f>
        <v/>
      </c>
    </row>
    <row r="2933">
      <c r="A2933" t="n">
        <v>2016</v>
      </c>
      <c r="B2933" t="inlineStr">
        <is>
          <t>Q3</t>
        </is>
      </c>
      <c r="C2933" t="inlineStr">
        <is>
          <t>Australia</t>
        </is>
      </c>
      <c r="D2933" t="inlineStr">
        <is>
          <t>Model S</t>
        </is>
      </c>
      <c r="E2933" t="n">
        <v>4738</v>
      </c>
      <c r="F2933" t="n">
        <v>112167.9</v>
      </c>
      <c r="G2933" t="n">
        <v>60</v>
      </c>
      <c r="H2933" t="inlineStr">
        <is>
          <t>Long Range</t>
        </is>
      </c>
      <c r="I2933" t="inlineStr">
        <is>
          <t>RWD</t>
        </is>
      </c>
      <c r="J2933" t="inlineStr">
        <is>
          <t>Silver</t>
        </is>
      </c>
      <c r="K2933" t="n">
        <v>572</v>
      </c>
      <c r="L2933" t="n">
        <v>64</v>
      </c>
      <c r="M2933" t="n">
        <v>16.04</v>
      </c>
      <c r="N2933" t="n">
        <v>3859.8</v>
      </c>
      <c r="O2933" t="n">
        <v>4.18</v>
      </c>
      <c r="P2933" t="n">
        <v>8</v>
      </c>
      <c r="Q2933" t="n">
        <v>0</v>
      </c>
      <c r="R2933" t="n">
        <v>2022.2</v>
      </c>
      <c r="S2933" t="b">
        <v>1</v>
      </c>
      <c r="T2933" t="n">
        <v>4658832</v>
      </c>
      <c r="U2933" t="n">
        <v>3</v>
      </c>
      <c r="V2933" t="n">
        <v>0.053</v>
      </c>
      <c r="W2933" t="n">
        <v>0.72</v>
      </c>
      <c r="X2933" t="n">
        <v>62.7</v>
      </c>
      <c r="Y2933">
        <f>VLOOKUP(D2933,$AB$2:$AC$7,2,FALSE)</f>
        <v/>
      </c>
      <c r="Z2933">
        <f>IF(A2933&lt;Y2933,"Yes","No")</f>
        <v/>
      </c>
    </row>
    <row r="2934">
      <c r="A2934" t="n">
        <v>2021</v>
      </c>
      <c r="B2934" t="inlineStr">
        <is>
          <t>Q3</t>
        </is>
      </c>
      <c r="C2934" t="inlineStr">
        <is>
          <t>Asia</t>
        </is>
      </c>
      <c r="D2934" t="inlineStr">
        <is>
          <t>Model X</t>
        </is>
      </c>
      <c r="E2934" t="n">
        <v>1567</v>
      </c>
      <c r="F2934" t="n">
        <v>89926.67</v>
      </c>
      <c r="G2934" t="n">
        <v>35</v>
      </c>
      <c r="H2934" t="inlineStr">
        <is>
          <t>Standard</t>
        </is>
      </c>
      <c r="I2934" t="inlineStr">
        <is>
          <t>RWD</t>
        </is>
      </c>
      <c r="J2934" t="inlineStr">
        <is>
          <t>Black</t>
        </is>
      </c>
      <c r="K2934" t="n">
        <v>438</v>
      </c>
      <c r="L2934" t="n">
        <v>47</v>
      </c>
      <c r="M2934" t="n">
        <v>18.92</v>
      </c>
      <c r="N2934" t="n">
        <v>3613.52</v>
      </c>
      <c r="O2934" t="n">
        <v>3.97</v>
      </c>
      <c r="P2934" t="n">
        <v>6</v>
      </c>
      <c r="Q2934" t="n">
        <v>2</v>
      </c>
      <c r="R2934" t="n">
        <v>2022.8</v>
      </c>
      <c r="S2934" t="b">
        <v>1</v>
      </c>
      <c r="T2934" t="n">
        <v>1485984</v>
      </c>
      <c r="U2934" t="n">
        <v>2</v>
      </c>
      <c r="V2934" t="n">
        <v>0.0133</v>
      </c>
      <c r="W2934" t="n">
        <v>0.96</v>
      </c>
      <c r="X2934" t="n">
        <v>88.86</v>
      </c>
      <c r="Y2934">
        <f>VLOOKUP(D2934,$AB$2:$AC$7,2,FALSE)</f>
        <v/>
      </c>
      <c r="Z2934">
        <f>IF(A2934&lt;Y2934,"Yes","No")</f>
        <v/>
      </c>
    </row>
    <row r="2935">
      <c r="A2935" t="n">
        <v>2018</v>
      </c>
      <c r="B2935" t="inlineStr">
        <is>
          <t>Q1</t>
        </is>
      </c>
      <c r="C2935" t="inlineStr">
        <is>
          <t>South America</t>
        </is>
      </c>
      <c r="D2935" t="inlineStr">
        <is>
          <t>Model S</t>
        </is>
      </c>
      <c r="E2935" t="n">
        <v>3168</v>
      </c>
      <c r="F2935" t="n">
        <v>102308.39</v>
      </c>
      <c r="G2935" t="n">
        <v>11</v>
      </c>
      <c r="H2935" t="inlineStr">
        <is>
          <t>Long Range</t>
        </is>
      </c>
      <c r="I2935" t="inlineStr">
        <is>
          <t>AWD</t>
        </is>
      </c>
      <c r="J2935" t="inlineStr">
        <is>
          <t>Black</t>
        </is>
      </c>
      <c r="K2935" t="n">
        <v>666</v>
      </c>
      <c r="L2935" t="n">
        <v>70</v>
      </c>
      <c r="M2935" t="n">
        <v>20.2</v>
      </c>
      <c r="N2935" t="n">
        <v>5629.91</v>
      </c>
      <c r="O2935" t="n">
        <v>4.09</v>
      </c>
      <c r="P2935" t="n">
        <v>8</v>
      </c>
      <c r="Q2935" t="n">
        <v>2</v>
      </c>
      <c r="R2935" t="n">
        <v>2021.3</v>
      </c>
      <c r="S2935" t="b">
        <v>1</v>
      </c>
      <c r="T2935" t="n">
        <v>4944706</v>
      </c>
      <c r="U2935" t="n">
        <v>3</v>
      </c>
      <c r="V2935" t="n">
        <v>0.0596</v>
      </c>
      <c r="W2935" t="n">
        <v>1.9</v>
      </c>
      <c r="X2935" t="n">
        <v>70.22</v>
      </c>
      <c r="Y2935">
        <f>VLOOKUP(D2935,$AB$2:$AC$7,2,FALSE)</f>
        <v/>
      </c>
      <c r="Z2935">
        <f>IF(A2935&lt;Y2935,"Yes","No")</f>
        <v/>
      </c>
    </row>
    <row r="2936">
      <c r="A2936" t="n">
        <v>2021</v>
      </c>
      <c r="B2936" t="inlineStr">
        <is>
          <t>Q1</t>
        </is>
      </c>
      <c r="C2936" t="inlineStr">
        <is>
          <t>Asia</t>
        </is>
      </c>
      <c r="D2936" t="inlineStr">
        <is>
          <t>Cybertruck</t>
        </is>
      </c>
      <c r="E2936" t="n">
        <v>4387</v>
      </c>
      <c r="F2936" t="n">
        <v>60552.95</v>
      </c>
      <c r="G2936" t="n">
        <v>7</v>
      </c>
      <c r="H2936" t="inlineStr">
        <is>
          <t>Performance</t>
        </is>
      </c>
      <c r="I2936" t="inlineStr">
        <is>
          <t>RWD</t>
        </is>
      </c>
      <c r="J2936" t="inlineStr">
        <is>
          <t>Silver</t>
        </is>
      </c>
      <c r="K2936" t="n">
        <v>443</v>
      </c>
      <c r="L2936" t="n">
        <v>47</v>
      </c>
      <c r="M2936" t="n">
        <v>18.01</v>
      </c>
      <c r="N2936" t="n">
        <v>4786.6</v>
      </c>
      <c r="O2936" t="n">
        <v>4.87</v>
      </c>
      <c r="P2936" t="n">
        <v>4</v>
      </c>
      <c r="Q2936" t="n">
        <v>0</v>
      </c>
      <c r="R2936" t="n">
        <v>2024.9</v>
      </c>
      <c r="S2936" t="b">
        <v>1</v>
      </c>
      <c r="T2936" t="n">
        <v>2048883</v>
      </c>
      <c r="U2936" t="n">
        <v>6</v>
      </c>
      <c r="V2936" t="n">
        <v>0.0461</v>
      </c>
      <c r="W2936" t="n">
        <v>0.59</v>
      </c>
      <c r="X2936" t="n">
        <v>60.54</v>
      </c>
      <c r="Y2936">
        <f>VLOOKUP(D2936,$AB$2:$AC$7,2,FALSE)</f>
        <v/>
      </c>
      <c r="Z2936">
        <f>IF(A2936&lt;Y2936,"Yes","No")</f>
        <v/>
      </c>
    </row>
    <row r="2937">
      <c r="A2937" t="n">
        <v>2013</v>
      </c>
      <c r="B2937" t="inlineStr">
        <is>
          <t>Q4</t>
        </is>
      </c>
      <c r="C2937" t="inlineStr">
        <is>
          <t>South America</t>
        </is>
      </c>
      <c r="D2937" t="inlineStr">
        <is>
          <t>Model 3</t>
        </is>
      </c>
      <c r="E2937" t="n">
        <v>4472</v>
      </c>
      <c r="F2937" t="n">
        <v>102447.56</v>
      </c>
      <c r="G2937" t="n">
        <v>31</v>
      </c>
      <c r="H2937" t="inlineStr">
        <is>
          <t>Standard</t>
        </is>
      </c>
      <c r="I2937" t="inlineStr">
        <is>
          <t>AWD</t>
        </is>
      </c>
      <c r="J2937" t="inlineStr">
        <is>
          <t>Red</t>
        </is>
      </c>
      <c r="K2937" t="n">
        <v>552</v>
      </c>
      <c r="L2937" t="n">
        <v>45</v>
      </c>
      <c r="M2937" t="n">
        <v>18.98</v>
      </c>
      <c r="N2937" t="n">
        <v>2276.33</v>
      </c>
      <c r="O2937" t="n">
        <v>4.53</v>
      </c>
      <c r="P2937" t="n">
        <v>5</v>
      </c>
      <c r="Q2937" t="n">
        <v>0</v>
      </c>
      <c r="R2937" t="n">
        <v>2024.6</v>
      </c>
      <c r="S2937" t="b">
        <v>1</v>
      </c>
      <c r="T2937" t="n">
        <v>4806108</v>
      </c>
      <c r="U2937" t="n">
        <v>4</v>
      </c>
      <c r="V2937" t="n">
        <v>0.0223</v>
      </c>
      <c r="W2937" t="n">
        <v>0.63</v>
      </c>
      <c r="X2937" t="n">
        <v>67.44</v>
      </c>
      <c r="Y2937">
        <f>VLOOKUP(D2937,$AB$2:$AC$7,2,FALSE)</f>
        <v/>
      </c>
      <c r="Z2937">
        <f>IF(A2937&lt;Y2937,"Yes","No")</f>
        <v/>
      </c>
    </row>
    <row r="2938">
      <c r="A2938" t="n">
        <v>2012</v>
      </c>
      <c r="B2938" t="inlineStr">
        <is>
          <t>Q3</t>
        </is>
      </c>
      <c r="C2938" t="inlineStr">
        <is>
          <t>Asia</t>
        </is>
      </c>
      <c r="D2938" t="inlineStr">
        <is>
          <t>Model Y</t>
        </is>
      </c>
      <c r="E2938" t="n">
        <v>2390</v>
      </c>
      <c r="F2938" t="n">
        <v>86994.10000000001</v>
      </c>
      <c r="G2938" t="n">
        <v>20</v>
      </c>
      <c r="H2938" t="inlineStr">
        <is>
          <t>Performance</t>
        </is>
      </c>
      <c r="I2938" t="inlineStr">
        <is>
          <t>AWD</t>
        </is>
      </c>
      <c r="J2938" t="inlineStr">
        <is>
          <t>Red</t>
        </is>
      </c>
      <c r="K2938" t="n">
        <v>593</v>
      </c>
      <c r="L2938" t="n">
        <v>52</v>
      </c>
      <c r="M2938" t="n">
        <v>24.69</v>
      </c>
      <c r="N2938" t="n">
        <v>5117.2</v>
      </c>
      <c r="O2938" t="n">
        <v>3.59</v>
      </c>
      <c r="P2938" t="n">
        <v>4</v>
      </c>
      <c r="Q2938" t="n">
        <v>0</v>
      </c>
      <c r="R2938" t="n">
        <v>2023.6</v>
      </c>
      <c r="S2938" t="b">
        <v>0</v>
      </c>
      <c r="T2938" t="n">
        <v>306167</v>
      </c>
      <c r="U2938" t="n">
        <v>6</v>
      </c>
      <c r="V2938" t="n">
        <v>0.0633</v>
      </c>
      <c r="W2938" t="n">
        <v>0.98</v>
      </c>
      <c r="X2938" t="n">
        <v>73.5</v>
      </c>
      <c r="Y2938">
        <f>VLOOKUP(D2938,$AB$2:$AC$7,2,FALSE)</f>
        <v/>
      </c>
      <c r="Z2938">
        <f>IF(A2938&lt;Y2938,"Yes","No")</f>
        <v/>
      </c>
    </row>
    <row r="2939">
      <c r="A2939" t="n">
        <v>2013</v>
      </c>
      <c r="B2939" t="inlineStr">
        <is>
          <t>Q3</t>
        </is>
      </c>
      <c r="C2939" t="inlineStr">
        <is>
          <t>North America</t>
        </is>
      </c>
      <c r="D2939" t="inlineStr">
        <is>
          <t>Model 3</t>
        </is>
      </c>
      <c r="E2939" t="n">
        <v>3914</v>
      </c>
      <c r="F2939" t="n">
        <v>115070.6</v>
      </c>
      <c r="G2939" t="n">
        <v>1</v>
      </c>
      <c r="H2939" t="inlineStr">
        <is>
          <t>Standard</t>
        </is>
      </c>
      <c r="I2939" t="inlineStr">
        <is>
          <t>RWD</t>
        </is>
      </c>
      <c r="J2939" t="inlineStr">
        <is>
          <t>Black</t>
        </is>
      </c>
      <c r="K2939" t="n">
        <v>449</v>
      </c>
      <c r="L2939" t="n">
        <v>86</v>
      </c>
      <c r="M2939" t="n">
        <v>19.25</v>
      </c>
      <c r="N2939" t="n">
        <v>6634.04</v>
      </c>
      <c r="O2939" t="n">
        <v>3.7</v>
      </c>
      <c r="P2939" t="n">
        <v>5</v>
      </c>
      <c r="Q2939" t="n">
        <v>1</v>
      </c>
      <c r="R2939" t="n">
        <v>2024.2</v>
      </c>
      <c r="S2939" t="b">
        <v>1</v>
      </c>
      <c r="T2939" t="n">
        <v>2120017</v>
      </c>
      <c r="U2939" t="n">
        <v>10</v>
      </c>
      <c r="V2939" t="n">
        <v>0.07049999999999999</v>
      </c>
      <c r="W2939" t="n">
        <v>1.97</v>
      </c>
      <c r="X2939" t="n">
        <v>62.41</v>
      </c>
      <c r="Y2939">
        <f>VLOOKUP(D2939,$AB$2:$AC$7,2,FALSE)</f>
        <v/>
      </c>
      <c r="Z2939">
        <f>IF(A2939&lt;Y2939,"Yes","No")</f>
        <v/>
      </c>
    </row>
    <row r="2940">
      <c r="A2940" t="n">
        <v>2020</v>
      </c>
      <c r="B2940" t="inlineStr">
        <is>
          <t>Q4</t>
        </is>
      </c>
      <c r="C2940" t="inlineStr">
        <is>
          <t>Asia</t>
        </is>
      </c>
      <c r="D2940" t="inlineStr">
        <is>
          <t>Semi</t>
        </is>
      </c>
      <c r="E2940" t="n">
        <v>420</v>
      </c>
      <c r="F2940" t="n">
        <v>39704.9</v>
      </c>
      <c r="G2940" t="n">
        <v>31</v>
      </c>
      <c r="H2940" t="inlineStr">
        <is>
          <t>Long Range</t>
        </is>
      </c>
      <c r="I2940" t="inlineStr">
        <is>
          <t>AWD</t>
        </is>
      </c>
      <c r="J2940" t="inlineStr">
        <is>
          <t>Black</t>
        </is>
      </c>
      <c r="K2940" t="n">
        <v>547</v>
      </c>
      <c r="L2940" t="n">
        <v>40</v>
      </c>
      <c r="M2940" t="n">
        <v>19.44</v>
      </c>
      <c r="N2940" t="n">
        <v>820.6799999999999</v>
      </c>
      <c r="O2940" t="n">
        <v>3.88</v>
      </c>
      <c r="P2940" t="n">
        <v>5</v>
      </c>
      <c r="Q2940" t="n">
        <v>1</v>
      </c>
      <c r="R2940" t="n">
        <v>2023.7</v>
      </c>
      <c r="S2940" t="b">
        <v>1</v>
      </c>
      <c r="T2940" t="n">
        <v>1886377</v>
      </c>
      <c r="U2940" t="n">
        <v>7</v>
      </c>
      <c r="V2940" t="n">
        <v>0.0439</v>
      </c>
      <c r="W2940" t="n">
        <v>2.43</v>
      </c>
      <c r="X2940" t="n">
        <v>77.78</v>
      </c>
      <c r="Y2940">
        <f>VLOOKUP(D2940,$AB$2:$AC$7,2,FALSE)</f>
        <v/>
      </c>
      <c r="Z2940">
        <f>IF(A2940&lt;Y2940,"Yes","No")</f>
        <v/>
      </c>
    </row>
    <row r="2941">
      <c r="A2941" t="n">
        <v>2016</v>
      </c>
      <c r="B2941" t="inlineStr">
        <is>
          <t>Q2</t>
        </is>
      </c>
      <c r="C2941" t="inlineStr">
        <is>
          <t>Asia</t>
        </is>
      </c>
      <c r="D2941" t="inlineStr">
        <is>
          <t>Model Y</t>
        </is>
      </c>
      <c r="E2941" t="n">
        <v>1460</v>
      </c>
      <c r="F2941" t="n">
        <v>107913.49</v>
      </c>
      <c r="G2941" t="n">
        <v>10</v>
      </c>
      <c r="H2941" t="inlineStr">
        <is>
          <t>Long Range</t>
        </is>
      </c>
      <c r="I2941" t="inlineStr">
        <is>
          <t>RWD</t>
        </is>
      </c>
      <c r="J2941" t="inlineStr">
        <is>
          <t>Blue</t>
        </is>
      </c>
      <c r="K2941" t="n">
        <v>426</v>
      </c>
      <c r="L2941" t="n">
        <v>62</v>
      </c>
      <c r="M2941" t="n">
        <v>23.37</v>
      </c>
      <c r="N2941" t="n">
        <v>2603.68</v>
      </c>
      <c r="O2941" t="n">
        <v>3.83</v>
      </c>
      <c r="P2941" t="n">
        <v>5</v>
      </c>
      <c r="Q2941" t="n">
        <v>1</v>
      </c>
      <c r="R2941" t="n">
        <v>2023.1</v>
      </c>
      <c r="S2941" t="b">
        <v>1</v>
      </c>
      <c r="T2941" t="n">
        <v>1611830</v>
      </c>
      <c r="U2941" t="n">
        <v>4</v>
      </c>
      <c r="V2941" t="n">
        <v>0.0235</v>
      </c>
      <c r="W2941" t="n">
        <v>1.39</v>
      </c>
      <c r="X2941" t="n">
        <v>71.26000000000001</v>
      </c>
      <c r="Y2941">
        <f>VLOOKUP(D2941,$AB$2:$AC$7,2,FALSE)</f>
        <v/>
      </c>
      <c r="Z2941">
        <f>IF(A2941&lt;Y2941,"Yes","No")</f>
        <v/>
      </c>
    </row>
    <row r="2942">
      <c r="A2942" t="n">
        <v>2019</v>
      </c>
      <c r="B2942" t="inlineStr">
        <is>
          <t>Q3</t>
        </is>
      </c>
      <c r="C2942" t="inlineStr">
        <is>
          <t>South America</t>
        </is>
      </c>
      <c r="D2942" t="inlineStr">
        <is>
          <t>Model 3</t>
        </is>
      </c>
      <c r="E2942" t="n">
        <v>2550</v>
      </c>
      <c r="F2942" t="n">
        <v>92951.56</v>
      </c>
      <c r="G2942" t="n">
        <v>42</v>
      </c>
      <c r="H2942" t="inlineStr">
        <is>
          <t>Standard</t>
        </is>
      </c>
      <c r="I2942" t="inlineStr">
        <is>
          <t>RWD</t>
        </is>
      </c>
      <c r="J2942" t="inlineStr">
        <is>
          <t>Black</t>
        </is>
      </c>
      <c r="K2942" t="n">
        <v>362</v>
      </c>
      <c r="L2942" t="n">
        <v>69</v>
      </c>
      <c r="M2942" t="n">
        <v>22.75</v>
      </c>
      <c r="N2942" t="n">
        <v>3861.81</v>
      </c>
      <c r="O2942" t="n">
        <v>4.81</v>
      </c>
      <c r="P2942" t="n">
        <v>4</v>
      </c>
      <c r="Q2942" t="n">
        <v>0</v>
      </c>
      <c r="R2942" t="n">
        <v>2024.12</v>
      </c>
      <c r="S2942" t="b">
        <v>1</v>
      </c>
      <c r="T2942" t="n">
        <v>2524141</v>
      </c>
      <c r="U2942" t="n">
        <v>12</v>
      </c>
      <c r="V2942" t="n">
        <v>0.0228</v>
      </c>
      <c r="W2942" t="n">
        <v>0.72</v>
      </c>
      <c r="X2942" t="n">
        <v>85.48999999999999</v>
      </c>
      <c r="Y2942">
        <f>VLOOKUP(D2942,$AB$2:$AC$7,2,FALSE)</f>
        <v/>
      </c>
      <c r="Z2942">
        <f>IF(A2942&lt;Y2942,"Yes","No")</f>
        <v/>
      </c>
    </row>
    <row r="2943">
      <c r="A2943" t="n">
        <v>2021</v>
      </c>
      <c r="B2943" t="inlineStr">
        <is>
          <t>Q4</t>
        </is>
      </c>
      <c r="C2943" t="inlineStr">
        <is>
          <t>Europe</t>
        </is>
      </c>
      <c r="D2943" t="inlineStr">
        <is>
          <t>Model X</t>
        </is>
      </c>
      <c r="E2943" t="n">
        <v>4985</v>
      </c>
      <c r="F2943" t="n">
        <v>76843.67</v>
      </c>
      <c r="G2943" t="n">
        <v>10</v>
      </c>
      <c r="H2943" t="inlineStr">
        <is>
          <t>Standard</t>
        </is>
      </c>
      <c r="I2943" t="inlineStr">
        <is>
          <t>AWD</t>
        </is>
      </c>
      <c r="J2943" t="inlineStr">
        <is>
          <t>Black</t>
        </is>
      </c>
      <c r="K2943" t="n">
        <v>365</v>
      </c>
      <c r="L2943" t="n">
        <v>78</v>
      </c>
      <c r="M2943" t="n">
        <v>20.44</v>
      </c>
      <c r="N2943" t="n">
        <v>8361.6</v>
      </c>
      <c r="O2943" t="n">
        <v>4.65</v>
      </c>
      <c r="P2943" t="n">
        <v>4</v>
      </c>
      <c r="Q2943" t="n">
        <v>0</v>
      </c>
      <c r="R2943" t="n">
        <v>2024.3</v>
      </c>
      <c r="S2943" t="b">
        <v>1</v>
      </c>
      <c r="T2943" t="n">
        <v>3518425</v>
      </c>
      <c r="U2943" t="n">
        <v>9</v>
      </c>
      <c r="V2943" t="n">
        <v>0.0495</v>
      </c>
      <c r="W2943" t="n">
        <v>1.24</v>
      </c>
      <c r="X2943" t="n">
        <v>62.49</v>
      </c>
      <c r="Y2943">
        <f>VLOOKUP(D2943,$AB$2:$AC$7,2,FALSE)</f>
        <v/>
      </c>
      <c r="Z2943">
        <f>IF(A2943&lt;Y2943,"Yes","No")</f>
        <v/>
      </c>
    </row>
    <row r="2944">
      <c r="A2944" t="n">
        <v>2017</v>
      </c>
      <c r="B2944" t="inlineStr">
        <is>
          <t>Q3</t>
        </is>
      </c>
      <c r="C2944" t="inlineStr">
        <is>
          <t>Asia</t>
        </is>
      </c>
      <c r="D2944" t="inlineStr">
        <is>
          <t>Semi</t>
        </is>
      </c>
      <c r="E2944" t="n">
        <v>4916</v>
      </c>
      <c r="F2944" t="n">
        <v>61492.87</v>
      </c>
      <c r="G2944" t="n">
        <v>17</v>
      </c>
      <c r="H2944" t="inlineStr">
        <is>
          <t>Performance</t>
        </is>
      </c>
      <c r="I2944" t="inlineStr">
        <is>
          <t>RWD</t>
        </is>
      </c>
      <c r="J2944" t="inlineStr">
        <is>
          <t>Black</t>
        </is>
      </c>
      <c r="K2944" t="n">
        <v>657</v>
      </c>
      <c r="L2944" t="n">
        <v>87</v>
      </c>
      <c r="M2944" t="n">
        <v>20.75</v>
      </c>
      <c r="N2944" t="n">
        <v>11517.36</v>
      </c>
      <c r="O2944" t="n">
        <v>4.23</v>
      </c>
      <c r="P2944" t="n">
        <v>8</v>
      </c>
      <c r="Q2944" t="n">
        <v>1</v>
      </c>
      <c r="R2944" t="n">
        <v>2021.4</v>
      </c>
      <c r="S2944" t="b">
        <v>1</v>
      </c>
      <c r="T2944" t="n">
        <v>2228469</v>
      </c>
      <c r="U2944" t="n">
        <v>10</v>
      </c>
      <c r="V2944" t="n">
        <v>0.0292</v>
      </c>
      <c r="W2944" t="n">
        <v>1.47</v>
      </c>
      <c r="X2944" t="n">
        <v>70.59</v>
      </c>
      <c r="Y2944">
        <f>VLOOKUP(D2944,$AB$2:$AC$7,2,FALSE)</f>
        <v/>
      </c>
      <c r="Z2944">
        <f>IF(A2944&lt;Y2944,"Yes","No")</f>
        <v/>
      </c>
    </row>
    <row r="2945">
      <c r="A2945" t="n">
        <v>2023</v>
      </c>
      <c r="B2945" t="inlineStr">
        <is>
          <t>Q4</t>
        </is>
      </c>
      <c r="C2945" t="inlineStr">
        <is>
          <t>Europe</t>
        </is>
      </c>
      <c r="D2945" t="inlineStr">
        <is>
          <t>Model Y</t>
        </is>
      </c>
      <c r="E2945" t="n">
        <v>4484</v>
      </c>
      <c r="F2945" t="n">
        <v>63923.39</v>
      </c>
      <c r="G2945" t="n">
        <v>14</v>
      </c>
      <c r="H2945" t="inlineStr">
        <is>
          <t>Performance</t>
        </is>
      </c>
      <c r="I2945" t="inlineStr">
        <is>
          <t>AWD</t>
        </is>
      </c>
      <c r="J2945" t="inlineStr">
        <is>
          <t>Red</t>
        </is>
      </c>
      <c r="K2945" t="n">
        <v>404</v>
      </c>
      <c r="L2945" t="n">
        <v>85</v>
      </c>
      <c r="M2945" t="n">
        <v>23.9</v>
      </c>
      <c r="N2945" t="n">
        <v>5734.05</v>
      </c>
      <c r="O2945" t="n">
        <v>3.82</v>
      </c>
      <c r="P2945" t="n">
        <v>5</v>
      </c>
      <c r="Q2945" t="n">
        <v>3</v>
      </c>
      <c r="R2945" t="n">
        <v>2022.6</v>
      </c>
      <c r="S2945" t="b">
        <v>0</v>
      </c>
      <c r="T2945" t="n">
        <v>3272473</v>
      </c>
      <c r="U2945" t="n">
        <v>9</v>
      </c>
      <c r="V2945" t="n">
        <v>0.0919</v>
      </c>
      <c r="W2945" t="n">
        <v>2.18</v>
      </c>
      <c r="X2945" t="n">
        <v>61.05</v>
      </c>
      <c r="Y2945">
        <f>VLOOKUP(D2945,$AB$2:$AC$7,2,FALSE)</f>
        <v/>
      </c>
      <c r="Z2945">
        <f>IF(A2945&lt;Y2945,"Yes","No")</f>
        <v/>
      </c>
    </row>
    <row r="2946">
      <c r="A2946" t="n">
        <v>2019</v>
      </c>
      <c r="B2946" t="inlineStr">
        <is>
          <t>Q1</t>
        </is>
      </c>
      <c r="C2946" t="inlineStr">
        <is>
          <t>Australia</t>
        </is>
      </c>
      <c r="D2946" t="inlineStr">
        <is>
          <t>Model S</t>
        </is>
      </c>
      <c r="E2946" t="n">
        <v>3012</v>
      </c>
      <c r="F2946" t="n">
        <v>87876.7</v>
      </c>
      <c r="G2946" t="n">
        <v>5</v>
      </c>
      <c r="H2946" t="inlineStr">
        <is>
          <t>Performance</t>
        </is>
      </c>
      <c r="I2946" t="inlineStr">
        <is>
          <t>AWD</t>
        </is>
      </c>
      <c r="J2946" t="inlineStr">
        <is>
          <t>Black</t>
        </is>
      </c>
      <c r="K2946" t="n">
        <v>465</v>
      </c>
      <c r="L2946" t="n">
        <v>44</v>
      </c>
      <c r="M2946" t="n">
        <v>17.39</v>
      </c>
      <c r="N2946" t="n">
        <v>2511.38</v>
      </c>
      <c r="O2946" t="n">
        <v>4.45</v>
      </c>
      <c r="P2946" t="n">
        <v>6</v>
      </c>
      <c r="Q2946" t="n">
        <v>2</v>
      </c>
      <c r="R2946" t="n">
        <v>2020.2</v>
      </c>
      <c r="S2946" t="b">
        <v>1</v>
      </c>
      <c r="T2946" t="n">
        <v>2912100</v>
      </c>
      <c r="U2946" t="n">
        <v>10</v>
      </c>
      <c r="V2946" t="n">
        <v>0.0375</v>
      </c>
      <c r="W2946" t="n">
        <v>2.02</v>
      </c>
      <c r="X2946" t="n">
        <v>61.65</v>
      </c>
      <c r="Y2946">
        <f>VLOOKUP(D2946,$AB$2:$AC$7,2,FALSE)</f>
        <v/>
      </c>
      <c r="Z2946">
        <f>IF(A2946&lt;Y2946,"Yes","No")</f>
        <v/>
      </c>
    </row>
    <row r="2947">
      <c r="A2947" t="n">
        <v>2023</v>
      </c>
      <c r="B2947" t="inlineStr">
        <is>
          <t>Q2</t>
        </is>
      </c>
      <c r="C2947" t="inlineStr">
        <is>
          <t>Asia</t>
        </is>
      </c>
      <c r="D2947" t="inlineStr">
        <is>
          <t>Model S</t>
        </is>
      </c>
      <c r="E2947" t="n">
        <v>689</v>
      </c>
      <c r="F2947" t="n">
        <v>111105.29</v>
      </c>
      <c r="G2947" t="n">
        <v>28</v>
      </c>
      <c r="H2947" t="inlineStr">
        <is>
          <t>Standard</t>
        </is>
      </c>
      <c r="I2947" t="inlineStr">
        <is>
          <t>AWD</t>
        </is>
      </c>
      <c r="J2947" t="inlineStr">
        <is>
          <t>Red</t>
        </is>
      </c>
      <c r="K2947" t="n">
        <v>688</v>
      </c>
      <c r="L2947" t="n">
        <v>70</v>
      </c>
      <c r="M2947" t="n">
        <v>20.86</v>
      </c>
      <c r="N2947" t="n">
        <v>526.8099999999999</v>
      </c>
      <c r="O2947" t="n">
        <v>3.62</v>
      </c>
      <c r="P2947" t="n">
        <v>8</v>
      </c>
      <c r="Q2947" t="n">
        <v>1</v>
      </c>
      <c r="R2947" t="n">
        <v>2024.3</v>
      </c>
      <c r="S2947" t="b">
        <v>1</v>
      </c>
      <c r="T2947" t="n">
        <v>3707918</v>
      </c>
      <c r="U2947" t="n">
        <v>2</v>
      </c>
      <c r="V2947" t="n">
        <v>0.09660000000000001</v>
      </c>
      <c r="W2947" t="n">
        <v>1.29</v>
      </c>
      <c r="X2947" t="n">
        <v>71.81999999999999</v>
      </c>
      <c r="Y2947">
        <f>VLOOKUP(D2947,$AB$2:$AC$7,2,FALSE)</f>
        <v/>
      </c>
      <c r="Z2947">
        <f>IF(A2947&lt;Y2947,"Yes","No")</f>
        <v/>
      </c>
    </row>
    <row r="2948">
      <c r="A2948" t="n">
        <v>2020</v>
      </c>
      <c r="B2948" t="inlineStr">
        <is>
          <t>Q4</t>
        </is>
      </c>
      <c r="C2948" t="inlineStr">
        <is>
          <t>Australia</t>
        </is>
      </c>
      <c r="D2948" t="inlineStr">
        <is>
          <t>Model 3</t>
        </is>
      </c>
      <c r="E2948" t="n">
        <v>56</v>
      </c>
      <c r="F2948" t="n">
        <v>98754.24000000001</v>
      </c>
      <c r="G2948" t="n">
        <v>1</v>
      </c>
      <c r="H2948" t="inlineStr">
        <is>
          <t>Performance</t>
        </is>
      </c>
      <c r="I2948" t="inlineStr">
        <is>
          <t>RWD</t>
        </is>
      </c>
      <c r="J2948" t="inlineStr">
        <is>
          <t>White</t>
        </is>
      </c>
      <c r="K2948" t="n">
        <v>628</v>
      </c>
      <c r="L2948" t="n">
        <v>64</v>
      </c>
      <c r="M2948" t="n">
        <v>17.89</v>
      </c>
      <c r="N2948" t="n">
        <v>53.58</v>
      </c>
      <c r="O2948" t="n">
        <v>4.39</v>
      </c>
      <c r="P2948" t="n">
        <v>8</v>
      </c>
      <c r="Q2948" t="n">
        <v>2</v>
      </c>
      <c r="R2948" t="n">
        <v>2023.9</v>
      </c>
      <c r="S2948" t="b">
        <v>1</v>
      </c>
      <c r="T2948" t="n">
        <v>4933239</v>
      </c>
      <c r="U2948" t="n">
        <v>4</v>
      </c>
      <c r="V2948" t="n">
        <v>0.06619999999999999</v>
      </c>
      <c r="W2948" t="n">
        <v>2.02</v>
      </c>
      <c r="X2948" t="n">
        <v>77.22</v>
      </c>
      <c r="Y2948">
        <f>VLOOKUP(D2948,$AB$2:$AC$7,2,FALSE)</f>
        <v/>
      </c>
      <c r="Z2948">
        <f>IF(A2948&lt;Y2948,"Yes","No")</f>
        <v/>
      </c>
    </row>
    <row r="2949">
      <c r="A2949" t="n">
        <v>2013</v>
      </c>
      <c r="B2949" t="inlineStr">
        <is>
          <t>Q1</t>
        </is>
      </c>
      <c r="C2949" t="inlineStr">
        <is>
          <t>North America</t>
        </is>
      </c>
      <c r="D2949" t="inlineStr">
        <is>
          <t>Model 3</t>
        </is>
      </c>
      <c r="E2949" t="n">
        <v>4354</v>
      </c>
      <c r="F2949" t="n">
        <v>60941.41</v>
      </c>
      <c r="G2949" t="n">
        <v>41</v>
      </c>
      <c r="H2949" t="inlineStr">
        <is>
          <t>Standard</t>
        </is>
      </c>
      <c r="I2949" t="inlineStr">
        <is>
          <t>AWD</t>
        </is>
      </c>
      <c r="J2949" t="inlineStr">
        <is>
          <t>White</t>
        </is>
      </c>
      <c r="K2949" t="n">
        <v>357</v>
      </c>
      <c r="L2949" t="n">
        <v>82</v>
      </c>
      <c r="M2949" t="n">
        <v>19.82</v>
      </c>
      <c r="N2949" t="n">
        <v>3451.75</v>
      </c>
      <c r="O2949" t="n">
        <v>4.16</v>
      </c>
      <c r="P2949" t="n">
        <v>5</v>
      </c>
      <c r="Q2949" t="n">
        <v>1</v>
      </c>
      <c r="R2949" t="n">
        <v>2024.12</v>
      </c>
      <c r="S2949" t="b">
        <v>0</v>
      </c>
      <c r="T2949" t="n">
        <v>2531699</v>
      </c>
      <c r="U2949" t="n">
        <v>10</v>
      </c>
      <c r="V2949" t="n">
        <v>0.077</v>
      </c>
      <c r="W2949" t="n">
        <v>0.88</v>
      </c>
      <c r="X2949" t="n">
        <v>80.62</v>
      </c>
      <c r="Y2949">
        <f>VLOOKUP(D2949,$AB$2:$AC$7,2,FALSE)</f>
        <v/>
      </c>
      <c r="Z2949">
        <f>IF(A2949&lt;Y2949,"Yes","No")</f>
        <v/>
      </c>
    </row>
    <row r="2950">
      <c r="A2950" t="n">
        <v>2014</v>
      </c>
      <c r="B2950" t="inlineStr">
        <is>
          <t>Q1</t>
        </is>
      </c>
      <c r="C2950" t="inlineStr">
        <is>
          <t>North America</t>
        </is>
      </c>
      <c r="D2950" t="inlineStr">
        <is>
          <t>Model 3</t>
        </is>
      </c>
      <c r="E2950" t="n">
        <v>157</v>
      </c>
      <c r="F2950" t="n">
        <v>107038.57</v>
      </c>
      <c r="G2950" t="n">
        <v>53</v>
      </c>
      <c r="H2950" t="inlineStr">
        <is>
          <t>Long Range</t>
        </is>
      </c>
      <c r="I2950" t="inlineStr">
        <is>
          <t>AWD</t>
        </is>
      </c>
      <c r="J2950" t="inlineStr">
        <is>
          <t>Black</t>
        </is>
      </c>
      <c r="K2950" t="n">
        <v>437</v>
      </c>
      <c r="L2950" t="n">
        <v>45</v>
      </c>
      <c r="M2950" t="n">
        <v>20.21</v>
      </c>
      <c r="N2950" t="n">
        <v>377.13</v>
      </c>
      <c r="O2950" t="n">
        <v>4.87</v>
      </c>
      <c r="P2950" t="n">
        <v>4</v>
      </c>
      <c r="Q2950" t="n">
        <v>0</v>
      </c>
      <c r="R2950" t="n">
        <v>2024.7</v>
      </c>
      <c r="S2950" t="b">
        <v>0</v>
      </c>
      <c r="T2950" t="n">
        <v>2692971</v>
      </c>
      <c r="U2950" t="n">
        <v>12</v>
      </c>
      <c r="V2950" t="n">
        <v>0.0788</v>
      </c>
      <c r="W2950" t="n">
        <v>2.46</v>
      </c>
      <c r="X2950" t="n">
        <v>70.17</v>
      </c>
      <c r="Y2950">
        <f>VLOOKUP(D2950,$AB$2:$AC$7,2,FALSE)</f>
        <v/>
      </c>
      <c r="Z2950">
        <f>IF(A2950&lt;Y2950,"Yes","No")</f>
        <v/>
      </c>
    </row>
    <row r="2951">
      <c r="A2951" t="n">
        <v>2023</v>
      </c>
      <c r="B2951" t="inlineStr">
        <is>
          <t>Q4</t>
        </is>
      </c>
      <c r="C2951" t="inlineStr">
        <is>
          <t>Asia</t>
        </is>
      </c>
      <c r="D2951" t="inlineStr">
        <is>
          <t>Semi</t>
        </is>
      </c>
      <c r="E2951" t="n">
        <v>2115</v>
      </c>
      <c r="F2951" t="n">
        <v>113571.56</v>
      </c>
      <c r="G2951" t="n">
        <v>51</v>
      </c>
      <c r="H2951" t="inlineStr">
        <is>
          <t>Long Range</t>
        </is>
      </c>
      <c r="I2951" t="inlineStr">
        <is>
          <t>AWD</t>
        </is>
      </c>
      <c r="J2951" t="inlineStr">
        <is>
          <t>Black</t>
        </is>
      </c>
      <c r="K2951" t="n">
        <v>668</v>
      </c>
      <c r="L2951" t="n">
        <v>56</v>
      </c>
      <c r="M2951" t="n">
        <v>22.32</v>
      </c>
      <c r="N2951" t="n">
        <v>4979.2</v>
      </c>
      <c r="O2951" t="n">
        <v>4.39</v>
      </c>
      <c r="P2951" t="n">
        <v>5</v>
      </c>
      <c r="Q2951" t="n">
        <v>3</v>
      </c>
      <c r="R2951" t="n">
        <v>2024.1</v>
      </c>
      <c r="S2951" t="b">
        <v>1</v>
      </c>
      <c r="T2951" t="n">
        <v>4521178</v>
      </c>
      <c r="U2951" t="n">
        <v>2</v>
      </c>
      <c r="V2951" t="n">
        <v>0.0103</v>
      </c>
      <c r="W2951" t="n">
        <v>1.41</v>
      </c>
      <c r="X2951" t="n">
        <v>65.97</v>
      </c>
      <c r="Y2951">
        <f>VLOOKUP(D2951,$AB$2:$AC$7,2,FALSE)</f>
        <v/>
      </c>
      <c r="Z2951">
        <f>IF(A2951&lt;Y2951,"Yes","No")</f>
        <v/>
      </c>
    </row>
    <row r="2952">
      <c r="A2952" t="n">
        <v>2014</v>
      </c>
      <c r="B2952" t="inlineStr">
        <is>
          <t>Q4</t>
        </is>
      </c>
      <c r="C2952" t="inlineStr">
        <is>
          <t>North America</t>
        </is>
      </c>
      <c r="D2952" t="inlineStr">
        <is>
          <t>Semi</t>
        </is>
      </c>
      <c r="E2952" t="n">
        <v>155</v>
      </c>
      <c r="F2952" t="n">
        <v>105308.88</v>
      </c>
      <c r="G2952" t="n">
        <v>32</v>
      </c>
      <c r="H2952" t="inlineStr">
        <is>
          <t>Performance</t>
        </is>
      </c>
      <c r="I2952" t="inlineStr">
        <is>
          <t>RWD</t>
        </is>
      </c>
      <c r="J2952" t="inlineStr">
        <is>
          <t>Green</t>
        </is>
      </c>
      <c r="K2952" t="n">
        <v>447</v>
      </c>
      <c r="L2952" t="n">
        <v>88</v>
      </c>
      <c r="M2952" t="n">
        <v>19.76</v>
      </c>
      <c r="N2952" t="n">
        <v>139.88</v>
      </c>
      <c r="O2952" t="n">
        <v>4.98</v>
      </c>
      <c r="P2952" t="n">
        <v>8</v>
      </c>
      <c r="Q2952" t="n">
        <v>1</v>
      </c>
      <c r="R2952" t="n">
        <v>2020.1</v>
      </c>
      <c r="S2952" t="b">
        <v>0</v>
      </c>
      <c r="T2952" t="n">
        <v>1883978</v>
      </c>
      <c r="U2952" t="n">
        <v>10</v>
      </c>
      <c r="V2952" t="n">
        <v>0.0566</v>
      </c>
      <c r="W2952" t="n">
        <v>1.79</v>
      </c>
      <c r="X2952" t="n">
        <v>78.01000000000001</v>
      </c>
      <c r="Y2952">
        <f>VLOOKUP(D2952,$AB$2:$AC$7,2,FALSE)</f>
        <v/>
      </c>
      <c r="Z2952">
        <f>IF(A2952&lt;Y2952,"Yes","No")</f>
        <v/>
      </c>
    </row>
    <row r="2953">
      <c r="A2953" t="n">
        <v>2013</v>
      </c>
      <c r="B2953" t="inlineStr">
        <is>
          <t>Q2</t>
        </is>
      </c>
      <c r="C2953" t="inlineStr">
        <is>
          <t>South America</t>
        </is>
      </c>
      <c r="D2953" t="inlineStr">
        <is>
          <t>Semi</t>
        </is>
      </c>
      <c r="E2953" t="n">
        <v>116</v>
      </c>
      <c r="F2953" t="n">
        <v>61437.49</v>
      </c>
      <c r="G2953" t="n">
        <v>56</v>
      </c>
      <c r="H2953" t="inlineStr">
        <is>
          <t>Performance</t>
        </is>
      </c>
      <c r="I2953" t="inlineStr">
        <is>
          <t>RWD</t>
        </is>
      </c>
      <c r="J2953" t="inlineStr">
        <is>
          <t>Black</t>
        </is>
      </c>
      <c r="K2953" t="n">
        <v>607</v>
      </c>
      <c r="L2953" t="n">
        <v>86</v>
      </c>
      <c r="M2953" t="n">
        <v>23</v>
      </c>
      <c r="N2953" t="n">
        <v>91.59999999999999</v>
      </c>
      <c r="O2953" t="n">
        <v>4.61</v>
      </c>
      <c r="P2953" t="n">
        <v>4</v>
      </c>
      <c r="Q2953" t="n">
        <v>3</v>
      </c>
      <c r="R2953" t="n">
        <v>2020.2</v>
      </c>
      <c r="S2953" t="b">
        <v>1</v>
      </c>
      <c r="T2953" t="n">
        <v>4227512</v>
      </c>
      <c r="U2953" t="n">
        <v>4</v>
      </c>
      <c r="V2953" t="n">
        <v>0.0771</v>
      </c>
      <c r="W2953" t="n">
        <v>2.18</v>
      </c>
      <c r="X2953" t="n">
        <v>78.70999999999999</v>
      </c>
      <c r="Y2953">
        <f>VLOOKUP(D2953,$AB$2:$AC$7,2,FALSE)</f>
        <v/>
      </c>
      <c r="Z2953">
        <f>IF(A2953&lt;Y2953,"Yes","No")</f>
        <v/>
      </c>
    </row>
    <row r="2954">
      <c r="A2954" t="n">
        <v>2015</v>
      </c>
      <c r="B2954" t="inlineStr">
        <is>
          <t>Q2</t>
        </is>
      </c>
      <c r="C2954" t="inlineStr">
        <is>
          <t>North America</t>
        </is>
      </c>
      <c r="D2954" t="inlineStr">
        <is>
          <t>Model 3</t>
        </is>
      </c>
      <c r="E2954" t="n">
        <v>824</v>
      </c>
      <c r="F2954" t="n">
        <v>38333.31</v>
      </c>
      <c r="G2954" t="n">
        <v>23</v>
      </c>
      <c r="H2954" t="inlineStr">
        <is>
          <t>Standard</t>
        </is>
      </c>
      <c r="I2954" t="inlineStr">
        <is>
          <t>AWD</t>
        </is>
      </c>
      <c r="J2954" t="inlineStr">
        <is>
          <t>Blue</t>
        </is>
      </c>
      <c r="K2954" t="n">
        <v>374</v>
      </c>
      <c r="L2954" t="n">
        <v>84</v>
      </c>
      <c r="M2954" t="n">
        <v>21.95</v>
      </c>
      <c r="N2954" t="n">
        <v>1219.77</v>
      </c>
      <c r="O2954" t="n">
        <v>4.27</v>
      </c>
      <c r="P2954" t="n">
        <v>8</v>
      </c>
      <c r="Q2954" t="n">
        <v>0</v>
      </c>
      <c r="R2954" t="n">
        <v>2022.11</v>
      </c>
      <c r="S2954" t="b">
        <v>1</v>
      </c>
      <c r="T2954" t="n">
        <v>381693</v>
      </c>
      <c r="U2954" t="n">
        <v>11</v>
      </c>
      <c r="V2954" t="n">
        <v>0.0494</v>
      </c>
      <c r="W2954" t="n">
        <v>2.21</v>
      </c>
      <c r="X2954" t="n">
        <v>73.73999999999999</v>
      </c>
      <c r="Y2954">
        <f>VLOOKUP(D2954,$AB$2:$AC$7,2,FALSE)</f>
        <v/>
      </c>
      <c r="Z2954">
        <f>IF(A2954&lt;Y2954,"Yes","No")</f>
        <v/>
      </c>
    </row>
    <row r="2955">
      <c r="A2955" t="n">
        <v>2022</v>
      </c>
      <c r="B2955" t="inlineStr">
        <is>
          <t>Q4</t>
        </is>
      </c>
      <c r="C2955" t="inlineStr">
        <is>
          <t>Australia</t>
        </is>
      </c>
      <c r="D2955" t="inlineStr">
        <is>
          <t>Semi</t>
        </is>
      </c>
      <c r="E2955" t="n">
        <v>2024</v>
      </c>
      <c r="F2955" t="n">
        <v>43717.44</v>
      </c>
      <c r="G2955" t="n">
        <v>2</v>
      </c>
      <c r="H2955" t="inlineStr">
        <is>
          <t>Standard</t>
        </is>
      </c>
      <c r="I2955" t="inlineStr">
        <is>
          <t>RWD</t>
        </is>
      </c>
      <c r="J2955" t="inlineStr">
        <is>
          <t>White</t>
        </is>
      </c>
      <c r="K2955" t="n">
        <v>452</v>
      </c>
      <c r="L2955" t="n">
        <v>34</v>
      </c>
      <c r="M2955" t="n">
        <v>20.16</v>
      </c>
      <c r="N2955" t="n">
        <v>4485.67</v>
      </c>
      <c r="O2955" t="n">
        <v>4.86</v>
      </c>
      <c r="P2955" t="n">
        <v>6</v>
      </c>
      <c r="Q2955" t="n">
        <v>1</v>
      </c>
      <c r="R2955" t="n">
        <v>2021.4</v>
      </c>
      <c r="S2955" t="b">
        <v>0</v>
      </c>
      <c r="T2955" t="n">
        <v>2843334</v>
      </c>
      <c r="U2955" t="n">
        <v>5</v>
      </c>
      <c r="V2955" t="n">
        <v>0.0248</v>
      </c>
      <c r="W2955" t="n">
        <v>0.66</v>
      </c>
      <c r="X2955" t="n">
        <v>86.66</v>
      </c>
      <c r="Y2955">
        <f>VLOOKUP(D2955,$AB$2:$AC$7,2,FALSE)</f>
        <v/>
      </c>
      <c r="Z2955">
        <f>IF(A2955&lt;Y2955,"Yes","No")</f>
        <v/>
      </c>
    </row>
    <row r="2956">
      <c r="A2956" t="n">
        <v>2019</v>
      </c>
      <c r="B2956" t="inlineStr">
        <is>
          <t>Q2</t>
        </is>
      </c>
      <c r="C2956" t="inlineStr">
        <is>
          <t>Asia</t>
        </is>
      </c>
      <c r="D2956" t="inlineStr">
        <is>
          <t>Model S</t>
        </is>
      </c>
      <c r="E2956" t="n">
        <v>3997</v>
      </c>
      <c r="F2956" t="n">
        <v>115217.25</v>
      </c>
      <c r="G2956" t="n">
        <v>51</v>
      </c>
      <c r="H2956" t="inlineStr">
        <is>
          <t>Standard</t>
        </is>
      </c>
      <c r="I2956" t="inlineStr">
        <is>
          <t>AWD</t>
        </is>
      </c>
      <c r="J2956" t="inlineStr">
        <is>
          <t>Black</t>
        </is>
      </c>
      <c r="K2956" t="n">
        <v>415</v>
      </c>
      <c r="L2956" t="n">
        <v>79</v>
      </c>
      <c r="M2956" t="n">
        <v>18.5</v>
      </c>
      <c r="N2956" t="n">
        <v>9716.030000000001</v>
      </c>
      <c r="O2956" t="n">
        <v>3.56</v>
      </c>
      <c r="P2956" t="n">
        <v>6</v>
      </c>
      <c r="Q2956" t="n">
        <v>2</v>
      </c>
      <c r="R2956" t="n">
        <v>2022.9</v>
      </c>
      <c r="S2956" t="b">
        <v>1</v>
      </c>
      <c r="T2956" t="n">
        <v>797687</v>
      </c>
      <c r="U2956" t="n">
        <v>9</v>
      </c>
      <c r="V2956" t="n">
        <v>0.0941</v>
      </c>
      <c r="W2956" t="n">
        <v>2.06</v>
      </c>
      <c r="X2956" t="n">
        <v>88.37</v>
      </c>
      <c r="Y2956">
        <f>VLOOKUP(D2956,$AB$2:$AC$7,2,FALSE)</f>
        <v/>
      </c>
      <c r="Z2956">
        <f>IF(A2956&lt;Y2956,"Yes","No")</f>
        <v/>
      </c>
    </row>
    <row r="2957">
      <c r="A2957" t="n">
        <v>2016</v>
      </c>
      <c r="B2957" t="inlineStr">
        <is>
          <t>Q2</t>
        </is>
      </c>
      <c r="C2957" t="inlineStr">
        <is>
          <t>Australia</t>
        </is>
      </c>
      <c r="D2957" t="inlineStr">
        <is>
          <t>Model S</t>
        </is>
      </c>
      <c r="E2957" t="n">
        <v>652</v>
      </c>
      <c r="F2957" t="n">
        <v>68849.98</v>
      </c>
      <c r="G2957" t="n">
        <v>27</v>
      </c>
      <c r="H2957" t="inlineStr">
        <is>
          <t>Performance</t>
        </is>
      </c>
      <c r="I2957" t="inlineStr">
        <is>
          <t>RWD</t>
        </is>
      </c>
      <c r="J2957" t="inlineStr">
        <is>
          <t>Green</t>
        </is>
      </c>
      <c r="K2957" t="n">
        <v>546</v>
      </c>
      <c r="L2957" t="n">
        <v>44</v>
      </c>
      <c r="M2957" t="n">
        <v>21.83</v>
      </c>
      <c r="N2957" t="n">
        <v>1534.16</v>
      </c>
      <c r="O2957" t="n">
        <v>3.8</v>
      </c>
      <c r="P2957" t="n">
        <v>5</v>
      </c>
      <c r="Q2957" t="n">
        <v>1</v>
      </c>
      <c r="R2957" t="n">
        <v>2022.8</v>
      </c>
      <c r="S2957" t="b">
        <v>0</v>
      </c>
      <c r="T2957" t="n">
        <v>4673880</v>
      </c>
      <c r="U2957" t="n">
        <v>6</v>
      </c>
      <c r="V2957" t="n">
        <v>0.0578</v>
      </c>
      <c r="W2957" t="n">
        <v>1.31</v>
      </c>
      <c r="X2957" t="n">
        <v>77.98999999999999</v>
      </c>
      <c r="Y2957">
        <f>VLOOKUP(D2957,$AB$2:$AC$7,2,FALSE)</f>
        <v/>
      </c>
      <c r="Z2957">
        <f>IF(A2957&lt;Y2957,"Yes","No")</f>
        <v/>
      </c>
    </row>
    <row r="2958">
      <c r="A2958" t="n">
        <v>2019</v>
      </c>
      <c r="B2958" t="inlineStr">
        <is>
          <t>Q1</t>
        </is>
      </c>
      <c r="C2958" t="inlineStr">
        <is>
          <t>North America</t>
        </is>
      </c>
      <c r="D2958" t="inlineStr">
        <is>
          <t>Model 3</t>
        </is>
      </c>
      <c r="E2958" t="n">
        <v>4255</v>
      </c>
      <c r="F2958" t="n">
        <v>87242.14</v>
      </c>
      <c r="G2958" t="n">
        <v>34</v>
      </c>
      <c r="H2958" t="inlineStr">
        <is>
          <t>Standard</t>
        </is>
      </c>
      <c r="I2958" t="inlineStr">
        <is>
          <t>AWD</t>
        </is>
      </c>
      <c r="J2958" t="inlineStr">
        <is>
          <t>Black</t>
        </is>
      </c>
      <c r="K2958" t="n">
        <v>641</v>
      </c>
      <c r="L2958" t="n">
        <v>50</v>
      </c>
      <c r="M2958" t="n">
        <v>22.88</v>
      </c>
      <c r="N2958" t="n">
        <v>6852.15</v>
      </c>
      <c r="O2958" t="n">
        <v>3.69</v>
      </c>
      <c r="P2958" t="n">
        <v>5</v>
      </c>
      <c r="Q2958" t="n">
        <v>1</v>
      </c>
      <c r="R2958" t="n">
        <v>2022.9</v>
      </c>
      <c r="S2958" t="b">
        <v>0</v>
      </c>
      <c r="T2958" t="n">
        <v>1243204</v>
      </c>
      <c r="U2958" t="n">
        <v>5</v>
      </c>
      <c r="V2958" t="n">
        <v>0.0346</v>
      </c>
      <c r="W2958" t="n">
        <v>2.23</v>
      </c>
      <c r="X2958" t="n">
        <v>79.7</v>
      </c>
      <c r="Y2958">
        <f>VLOOKUP(D2958,$AB$2:$AC$7,2,FALSE)</f>
        <v/>
      </c>
      <c r="Z2958">
        <f>IF(A2958&lt;Y2958,"Yes","No")</f>
        <v/>
      </c>
    </row>
    <row r="2959">
      <c r="A2959" t="n">
        <v>2015</v>
      </c>
      <c r="B2959" t="inlineStr">
        <is>
          <t>Q3</t>
        </is>
      </c>
      <c r="C2959" t="inlineStr">
        <is>
          <t>Europe</t>
        </is>
      </c>
      <c r="D2959" t="inlineStr">
        <is>
          <t>Model 3</t>
        </is>
      </c>
      <c r="E2959" t="n">
        <v>3472</v>
      </c>
      <c r="F2959" t="n">
        <v>60678.84</v>
      </c>
      <c r="G2959" t="n">
        <v>1</v>
      </c>
      <c r="H2959" t="inlineStr">
        <is>
          <t>Standard</t>
        </is>
      </c>
      <c r="I2959" t="inlineStr">
        <is>
          <t>RWD</t>
        </is>
      </c>
      <c r="J2959" t="inlineStr">
        <is>
          <t>Green</t>
        </is>
      </c>
      <c r="K2959" t="n">
        <v>490</v>
      </c>
      <c r="L2959" t="n">
        <v>90</v>
      </c>
      <c r="M2959" t="n">
        <v>22.6</v>
      </c>
      <c r="N2959" t="n">
        <v>3071.35</v>
      </c>
      <c r="O2959" t="n">
        <v>3.51</v>
      </c>
      <c r="P2959" t="n">
        <v>8</v>
      </c>
      <c r="Q2959" t="n">
        <v>3</v>
      </c>
      <c r="R2959" t="n">
        <v>2022.8</v>
      </c>
      <c r="S2959" t="b">
        <v>0</v>
      </c>
      <c r="T2959" t="n">
        <v>3633146</v>
      </c>
      <c r="U2959" t="n">
        <v>2</v>
      </c>
      <c r="V2959" t="n">
        <v>0.0755</v>
      </c>
      <c r="W2959" t="n">
        <v>1.31</v>
      </c>
      <c r="X2959" t="n">
        <v>78.97</v>
      </c>
      <c r="Y2959">
        <f>VLOOKUP(D2959,$AB$2:$AC$7,2,FALSE)</f>
        <v/>
      </c>
      <c r="Z2959">
        <f>IF(A2959&lt;Y2959,"Yes","No")</f>
        <v/>
      </c>
    </row>
    <row r="2960">
      <c r="A2960" t="n">
        <v>2014</v>
      </c>
      <c r="B2960" t="inlineStr">
        <is>
          <t>Q3</t>
        </is>
      </c>
      <c r="C2960" t="inlineStr">
        <is>
          <t>North America</t>
        </is>
      </c>
      <c r="D2960" t="inlineStr">
        <is>
          <t>Model Y</t>
        </is>
      </c>
      <c r="E2960" t="n">
        <v>2164</v>
      </c>
      <c r="F2960" t="n">
        <v>55238.36</v>
      </c>
      <c r="G2960" t="n">
        <v>11</v>
      </c>
      <c r="H2960" t="inlineStr">
        <is>
          <t>Standard</t>
        </is>
      </c>
      <c r="I2960" t="inlineStr">
        <is>
          <t>AWD</t>
        </is>
      </c>
      <c r="J2960" t="inlineStr">
        <is>
          <t>Silver</t>
        </is>
      </c>
      <c r="K2960" t="n">
        <v>509</v>
      </c>
      <c r="L2960" t="n">
        <v>45</v>
      </c>
      <c r="M2960" t="n">
        <v>24.94</v>
      </c>
      <c r="N2960" t="n">
        <v>3404.13</v>
      </c>
      <c r="O2960" t="n">
        <v>4.27</v>
      </c>
      <c r="P2960" t="n">
        <v>5</v>
      </c>
      <c r="Q2960" t="n">
        <v>0</v>
      </c>
      <c r="R2960" t="n">
        <v>2021.12</v>
      </c>
      <c r="S2960" t="b">
        <v>1</v>
      </c>
      <c r="T2960" t="n">
        <v>3751305</v>
      </c>
      <c r="U2960" t="n">
        <v>11</v>
      </c>
      <c r="V2960" t="n">
        <v>0.0471</v>
      </c>
      <c r="W2960" t="n">
        <v>1.28</v>
      </c>
      <c r="X2960" t="n">
        <v>88.41</v>
      </c>
      <c r="Y2960">
        <f>VLOOKUP(D2960,$AB$2:$AC$7,2,FALSE)</f>
        <v/>
      </c>
      <c r="Z2960">
        <f>IF(A2960&lt;Y2960,"Yes","No")</f>
        <v/>
      </c>
    </row>
    <row r="2961">
      <c r="A2961" t="n">
        <v>2012</v>
      </c>
      <c r="B2961" t="inlineStr">
        <is>
          <t>Q2</t>
        </is>
      </c>
      <c r="C2961" t="inlineStr">
        <is>
          <t>Australia</t>
        </is>
      </c>
      <c r="D2961" t="inlineStr">
        <is>
          <t>Semi</t>
        </is>
      </c>
      <c r="E2961" t="n">
        <v>4594</v>
      </c>
      <c r="F2961" t="n">
        <v>75414.66</v>
      </c>
      <c r="G2961" t="n">
        <v>47</v>
      </c>
      <c r="H2961" t="inlineStr">
        <is>
          <t>Performance</t>
        </is>
      </c>
      <c r="I2961" t="inlineStr">
        <is>
          <t>RWD</t>
        </is>
      </c>
      <c r="J2961" t="inlineStr">
        <is>
          <t>Red</t>
        </is>
      </c>
      <c r="K2961" t="n">
        <v>672</v>
      </c>
      <c r="L2961" t="n">
        <v>70</v>
      </c>
      <c r="M2961" t="n">
        <v>14.23</v>
      </c>
      <c r="N2961" t="n">
        <v>9894.469999999999</v>
      </c>
      <c r="O2961" t="n">
        <v>4.14</v>
      </c>
      <c r="P2961" t="n">
        <v>8</v>
      </c>
      <c r="Q2961" t="n">
        <v>0</v>
      </c>
      <c r="R2961" t="n">
        <v>2021.5</v>
      </c>
      <c r="S2961" t="b">
        <v>0</v>
      </c>
      <c r="T2961" t="n">
        <v>3251301</v>
      </c>
      <c r="U2961" t="n">
        <v>12</v>
      </c>
      <c r="V2961" t="n">
        <v>0.09859999999999999</v>
      </c>
      <c r="W2961" t="n">
        <v>1.15</v>
      </c>
      <c r="X2961" t="n">
        <v>80.72</v>
      </c>
      <c r="Y2961">
        <f>VLOOKUP(D2961,$AB$2:$AC$7,2,FALSE)</f>
        <v/>
      </c>
      <c r="Z2961">
        <f>IF(A2961&lt;Y2961,"Yes","No")</f>
        <v/>
      </c>
    </row>
    <row r="2962">
      <c r="A2962" t="n">
        <v>2019</v>
      </c>
      <c r="B2962" t="inlineStr">
        <is>
          <t>Q4</t>
        </is>
      </c>
      <c r="C2962" t="inlineStr">
        <is>
          <t>Australia</t>
        </is>
      </c>
      <c r="D2962" t="inlineStr">
        <is>
          <t>Model X</t>
        </is>
      </c>
      <c r="E2962" t="n">
        <v>3554</v>
      </c>
      <c r="F2962" t="n">
        <v>82905.87</v>
      </c>
      <c r="G2962" t="n">
        <v>58</v>
      </c>
      <c r="H2962" t="inlineStr">
        <is>
          <t>Long Range</t>
        </is>
      </c>
      <c r="I2962" t="inlineStr">
        <is>
          <t>RWD</t>
        </is>
      </c>
      <c r="J2962" t="inlineStr">
        <is>
          <t>Silver</t>
        </is>
      </c>
      <c r="K2962" t="n">
        <v>696</v>
      </c>
      <c r="L2962" t="n">
        <v>87</v>
      </c>
      <c r="M2962" t="n">
        <v>20.66</v>
      </c>
      <c r="N2962" t="n">
        <v>2062.31</v>
      </c>
      <c r="O2962" t="n">
        <v>4.33</v>
      </c>
      <c r="P2962" t="n">
        <v>5</v>
      </c>
      <c r="Q2962" t="n">
        <v>3</v>
      </c>
      <c r="R2962" t="n">
        <v>2023.12</v>
      </c>
      <c r="S2962" t="b">
        <v>0</v>
      </c>
      <c r="T2962" t="n">
        <v>3544271</v>
      </c>
      <c r="U2962" t="n">
        <v>11</v>
      </c>
      <c r="V2962" t="n">
        <v>0.0978</v>
      </c>
      <c r="W2962" t="n">
        <v>1.06</v>
      </c>
      <c r="X2962" t="n">
        <v>81.45999999999999</v>
      </c>
      <c r="Y2962">
        <f>VLOOKUP(D2962,$AB$2:$AC$7,2,FALSE)</f>
        <v/>
      </c>
      <c r="Z2962">
        <f>IF(A2962&lt;Y2962,"Yes","No")</f>
        <v/>
      </c>
    </row>
    <row r="2963">
      <c r="A2963" t="n">
        <v>2014</v>
      </c>
      <c r="B2963" t="inlineStr">
        <is>
          <t>Q3</t>
        </is>
      </c>
      <c r="C2963" t="inlineStr">
        <is>
          <t>Asia</t>
        </is>
      </c>
      <c r="D2963" t="inlineStr">
        <is>
          <t>Model X</t>
        </is>
      </c>
      <c r="E2963" t="n">
        <v>3882</v>
      </c>
      <c r="F2963" t="n">
        <v>67218.94</v>
      </c>
      <c r="G2963" t="n">
        <v>18</v>
      </c>
      <c r="H2963" t="inlineStr">
        <is>
          <t>Long Range</t>
        </is>
      </c>
      <c r="I2963" t="inlineStr">
        <is>
          <t>RWD</t>
        </is>
      </c>
      <c r="J2963" t="inlineStr">
        <is>
          <t>Green</t>
        </is>
      </c>
      <c r="K2963" t="n">
        <v>635</v>
      </c>
      <c r="L2963" t="n">
        <v>40</v>
      </c>
      <c r="M2963" t="n">
        <v>13.49</v>
      </c>
      <c r="N2963" t="n">
        <v>2787.94</v>
      </c>
      <c r="O2963" t="n">
        <v>4.24</v>
      </c>
      <c r="P2963" t="n">
        <v>8</v>
      </c>
      <c r="Q2963" t="n">
        <v>1</v>
      </c>
      <c r="R2963" t="n">
        <v>2022.3</v>
      </c>
      <c r="S2963" t="b">
        <v>1</v>
      </c>
      <c r="T2963" t="n">
        <v>2067397</v>
      </c>
      <c r="U2963" t="n">
        <v>9</v>
      </c>
      <c r="V2963" t="n">
        <v>0.0216</v>
      </c>
      <c r="W2963" t="n">
        <v>1.03</v>
      </c>
      <c r="X2963" t="n">
        <v>86.31999999999999</v>
      </c>
      <c r="Y2963">
        <f>VLOOKUP(D2963,$AB$2:$AC$7,2,FALSE)</f>
        <v/>
      </c>
      <c r="Z2963">
        <f>IF(A2963&lt;Y2963,"Yes","No")</f>
        <v/>
      </c>
    </row>
    <row r="2964">
      <c r="A2964" t="n">
        <v>2012</v>
      </c>
      <c r="B2964" t="inlineStr">
        <is>
          <t>Q3</t>
        </is>
      </c>
      <c r="C2964" t="inlineStr">
        <is>
          <t>Australia</t>
        </is>
      </c>
      <c r="D2964" t="inlineStr">
        <is>
          <t>Semi</t>
        </is>
      </c>
      <c r="E2964" t="n">
        <v>3053</v>
      </c>
      <c r="F2964" t="n">
        <v>54320.18</v>
      </c>
      <c r="G2964" t="n">
        <v>56</v>
      </c>
      <c r="H2964" t="inlineStr">
        <is>
          <t>Long Range</t>
        </is>
      </c>
      <c r="I2964" t="inlineStr">
        <is>
          <t>AWD</t>
        </is>
      </c>
      <c r="J2964" t="inlineStr">
        <is>
          <t>Red</t>
        </is>
      </c>
      <c r="K2964" t="n">
        <v>685</v>
      </c>
      <c r="L2964" t="n">
        <v>61</v>
      </c>
      <c r="M2964" t="n">
        <v>20.63</v>
      </c>
      <c r="N2964" t="n">
        <v>7513.66</v>
      </c>
      <c r="O2964" t="n">
        <v>4.71</v>
      </c>
      <c r="P2964" t="n">
        <v>8</v>
      </c>
      <c r="Q2964" t="n">
        <v>1</v>
      </c>
      <c r="R2964" t="n">
        <v>2023.8</v>
      </c>
      <c r="S2964" t="b">
        <v>0</v>
      </c>
      <c r="T2964" t="n">
        <v>4901101</v>
      </c>
      <c r="U2964" t="n">
        <v>10</v>
      </c>
      <c r="V2964" t="n">
        <v>0.0274</v>
      </c>
      <c r="W2964" t="n">
        <v>0.59</v>
      </c>
      <c r="X2964" t="n">
        <v>85.51000000000001</v>
      </c>
      <c r="Y2964">
        <f>VLOOKUP(D2964,$AB$2:$AC$7,2,FALSE)</f>
        <v/>
      </c>
      <c r="Z2964">
        <f>IF(A2964&lt;Y2964,"Yes","No")</f>
        <v/>
      </c>
    </row>
    <row r="2965">
      <c r="A2965" t="n">
        <v>2014</v>
      </c>
      <c r="B2965" t="inlineStr">
        <is>
          <t>Q1</t>
        </is>
      </c>
      <c r="C2965" t="inlineStr">
        <is>
          <t>Europe</t>
        </is>
      </c>
      <c r="D2965" t="inlineStr">
        <is>
          <t>Model S</t>
        </is>
      </c>
      <c r="E2965" t="n">
        <v>2249</v>
      </c>
      <c r="F2965" t="n">
        <v>51224.1</v>
      </c>
      <c r="G2965" t="n">
        <v>3</v>
      </c>
      <c r="H2965" t="inlineStr">
        <is>
          <t>Long Range</t>
        </is>
      </c>
      <c r="I2965" t="inlineStr">
        <is>
          <t>RWD</t>
        </is>
      </c>
      <c r="J2965" t="inlineStr">
        <is>
          <t>Silver</t>
        </is>
      </c>
      <c r="K2965" t="n">
        <v>359</v>
      </c>
      <c r="L2965" t="n">
        <v>76</v>
      </c>
      <c r="M2965" t="n">
        <v>13.34</v>
      </c>
      <c r="N2965" t="n">
        <v>1538.62</v>
      </c>
      <c r="O2965" t="n">
        <v>4.87</v>
      </c>
      <c r="P2965" t="n">
        <v>6</v>
      </c>
      <c r="Q2965" t="n">
        <v>1</v>
      </c>
      <c r="R2965" t="n">
        <v>2021.4</v>
      </c>
      <c r="S2965" t="b">
        <v>0</v>
      </c>
      <c r="T2965" t="n">
        <v>622855</v>
      </c>
      <c r="U2965" t="n">
        <v>11</v>
      </c>
      <c r="V2965" t="n">
        <v>0.06510000000000001</v>
      </c>
      <c r="W2965" t="n">
        <v>1.24</v>
      </c>
      <c r="X2965" t="n">
        <v>60.29</v>
      </c>
      <c r="Y2965">
        <f>VLOOKUP(D2965,$AB$2:$AC$7,2,FALSE)</f>
        <v/>
      </c>
      <c r="Z2965">
        <f>IF(A2965&lt;Y2965,"Yes","No")</f>
        <v/>
      </c>
    </row>
    <row r="2966">
      <c r="A2966" t="n">
        <v>2024</v>
      </c>
      <c r="B2966" t="inlineStr">
        <is>
          <t>Q4</t>
        </is>
      </c>
      <c r="C2966" t="inlineStr">
        <is>
          <t>Europe</t>
        </is>
      </c>
      <c r="D2966" t="inlineStr">
        <is>
          <t>Model Y</t>
        </is>
      </c>
      <c r="E2966" t="n">
        <v>1055</v>
      </c>
      <c r="F2966" t="n">
        <v>82359.00999999999</v>
      </c>
      <c r="G2966" t="n">
        <v>3</v>
      </c>
      <c r="H2966" t="inlineStr">
        <is>
          <t>Long Range</t>
        </is>
      </c>
      <c r="I2966" t="inlineStr">
        <is>
          <t>AWD</t>
        </is>
      </c>
      <c r="J2966" t="inlineStr">
        <is>
          <t>Red</t>
        </is>
      </c>
      <c r="K2966" t="n">
        <v>655</v>
      </c>
      <c r="L2966" t="n">
        <v>64</v>
      </c>
      <c r="M2966" t="n">
        <v>17.4</v>
      </c>
      <c r="N2966" t="n">
        <v>1109.23</v>
      </c>
      <c r="O2966" t="n">
        <v>4.31</v>
      </c>
      <c r="P2966" t="n">
        <v>8</v>
      </c>
      <c r="Q2966" t="n">
        <v>3</v>
      </c>
      <c r="R2966" t="n">
        <v>2023.12</v>
      </c>
      <c r="S2966" t="b">
        <v>0</v>
      </c>
      <c r="T2966" t="n">
        <v>2372678</v>
      </c>
      <c r="U2966" t="n">
        <v>8</v>
      </c>
      <c r="V2966" t="n">
        <v>0.0226</v>
      </c>
      <c r="W2966" t="n">
        <v>1.72</v>
      </c>
      <c r="X2966" t="n">
        <v>80.51000000000001</v>
      </c>
      <c r="Y2966">
        <f>VLOOKUP(D2966,$AB$2:$AC$7,2,FALSE)</f>
        <v/>
      </c>
      <c r="Z2966">
        <f>IF(A2966&lt;Y2966,"Yes","No")</f>
        <v/>
      </c>
    </row>
    <row r="2967">
      <c r="A2967" t="n">
        <v>2012</v>
      </c>
      <c r="B2967" t="inlineStr">
        <is>
          <t>Q4</t>
        </is>
      </c>
      <c r="C2967" t="inlineStr">
        <is>
          <t>Asia</t>
        </is>
      </c>
      <c r="D2967" t="inlineStr">
        <is>
          <t>Model S</t>
        </is>
      </c>
      <c r="E2967" t="n">
        <v>3318</v>
      </c>
      <c r="F2967" t="n">
        <v>64585.18</v>
      </c>
      <c r="G2967" t="n">
        <v>8</v>
      </c>
      <c r="H2967" t="inlineStr">
        <is>
          <t>Long Range</t>
        </is>
      </c>
      <c r="I2967" t="inlineStr">
        <is>
          <t>RWD</t>
        </is>
      </c>
      <c r="J2967" t="inlineStr">
        <is>
          <t>White</t>
        </is>
      </c>
      <c r="K2967" t="n">
        <v>593</v>
      </c>
      <c r="L2967" t="n">
        <v>83</v>
      </c>
      <c r="M2967" t="n">
        <v>15.36</v>
      </c>
      <c r="N2967" t="n">
        <v>1906.01</v>
      </c>
      <c r="O2967" t="n">
        <v>3.75</v>
      </c>
      <c r="P2967" t="n">
        <v>4</v>
      </c>
      <c r="Q2967" t="n">
        <v>2</v>
      </c>
      <c r="R2967" t="n">
        <v>2020.6</v>
      </c>
      <c r="S2967" t="b">
        <v>1</v>
      </c>
      <c r="T2967" t="n">
        <v>2076190</v>
      </c>
      <c r="U2967" t="n">
        <v>10</v>
      </c>
      <c r="V2967" t="n">
        <v>0.0505</v>
      </c>
      <c r="W2967" t="n">
        <v>2.38</v>
      </c>
      <c r="X2967" t="n">
        <v>82.53</v>
      </c>
      <c r="Y2967">
        <f>VLOOKUP(D2967,$AB$2:$AC$7,2,FALSE)</f>
        <v/>
      </c>
      <c r="Z2967">
        <f>IF(A2967&lt;Y2967,"Yes","No")</f>
        <v/>
      </c>
    </row>
    <row r="2968">
      <c r="A2968" t="n">
        <v>2019</v>
      </c>
      <c r="B2968" t="inlineStr">
        <is>
          <t>Q1</t>
        </is>
      </c>
      <c r="C2968" t="inlineStr">
        <is>
          <t>North America</t>
        </is>
      </c>
      <c r="D2968" t="inlineStr">
        <is>
          <t>Model S</t>
        </is>
      </c>
      <c r="E2968" t="n">
        <v>4698</v>
      </c>
      <c r="F2968" t="n">
        <v>80025.89999999999</v>
      </c>
      <c r="G2968" t="n">
        <v>17</v>
      </c>
      <c r="H2968" t="inlineStr">
        <is>
          <t>Long Range</t>
        </is>
      </c>
      <c r="I2968" t="inlineStr">
        <is>
          <t>AWD</t>
        </is>
      </c>
      <c r="J2968" t="inlineStr">
        <is>
          <t>Blue</t>
        </is>
      </c>
      <c r="K2968" t="n">
        <v>676</v>
      </c>
      <c r="L2968" t="n">
        <v>68</v>
      </c>
      <c r="M2968" t="n">
        <v>15.46</v>
      </c>
      <c r="N2968" t="n">
        <v>5548.48</v>
      </c>
      <c r="O2968" t="n">
        <v>4.21</v>
      </c>
      <c r="P2968" t="n">
        <v>5</v>
      </c>
      <c r="Q2968" t="n">
        <v>1</v>
      </c>
      <c r="R2968" t="n">
        <v>2024.11</v>
      </c>
      <c r="S2968" t="b">
        <v>1</v>
      </c>
      <c r="T2968" t="n">
        <v>1661859</v>
      </c>
      <c r="U2968" t="n">
        <v>5</v>
      </c>
      <c r="V2968" t="n">
        <v>0.08989999999999999</v>
      </c>
      <c r="W2968" t="n">
        <v>2.16</v>
      </c>
      <c r="X2968" t="n">
        <v>88.38</v>
      </c>
      <c r="Y2968">
        <f>VLOOKUP(D2968,$AB$2:$AC$7,2,FALSE)</f>
        <v/>
      </c>
      <c r="Z2968">
        <f>IF(A2968&lt;Y2968,"Yes","No")</f>
        <v/>
      </c>
    </row>
    <row r="2969">
      <c r="A2969" t="n">
        <v>2015</v>
      </c>
      <c r="B2969" t="inlineStr">
        <is>
          <t>Q2</t>
        </is>
      </c>
      <c r="C2969" t="inlineStr">
        <is>
          <t>Australia</t>
        </is>
      </c>
      <c r="D2969" t="inlineStr">
        <is>
          <t>Model S</t>
        </is>
      </c>
      <c r="E2969" t="n">
        <v>3267</v>
      </c>
      <c r="F2969" t="n">
        <v>48138.66</v>
      </c>
      <c r="G2969" t="n">
        <v>13</v>
      </c>
      <c r="H2969" t="inlineStr">
        <is>
          <t>Long Range</t>
        </is>
      </c>
      <c r="I2969" t="inlineStr">
        <is>
          <t>RWD</t>
        </is>
      </c>
      <c r="J2969" t="inlineStr">
        <is>
          <t>Red</t>
        </is>
      </c>
      <c r="K2969" t="n">
        <v>416</v>
      </c>
      <c r="L2969" t="n">
        <v>70</v>
      </c>
      <c r="M2969" t="n">
        <v>22.64</v>
      </c>
      <c r="N2969" t="n">
        <v>5749.65</v>
      </c>
      <c r="O2969" t="n">
        <v>3.55</v>
      </c>
      <c r="P2969" t="n">
        <v>5</v>
      </c>
      <c r="Q2969" t="n">
        <v>3</v>
      </c>
      <c r="R2969" t="n">
        <v>2021.7</v>
      </c>
      <c r="S2969" t="b">
        <v>0</v>
      </c>
      <c r="T2969" t="n">
        <v>4605349</v>
      </c>
      <c r="U2969" t="n">
        <v>2</v>
      </c>
      <c r="V2969" t="n">
        <v>0.0318</v>
      </c>
      <c r="W2969" t="n">
        <v>1.37</v>
      </c>
      <c r="X2969" t="n">
        <v>78.27</v>
      </c>
      <c r="Y2969">
        <f>VLOOKUP(D2969,$AB$2:$AC$7,2,FALSE)</f>
        <v/>
      </c>
      <c r="Z2969">
        <f>IF(A2969&lt;Y2969,"Yes","No")</f>
        <v/>
      </c>
    </row>
    <row r="2970">
      <c r="A2970" t="n">
        <v>2019</v>
      </c>
      <c r="B2970" t="inlineStr">
        <is>
          <t>Q4</t>
        </is>
      </c>
      <c r="C2970" t="inlineStr">
        <is>
          <t>North America</t>
        </is>
      </c>
      <c r="D2970" t="inlineStr">
        <is>
          <t>Model Y</t>
        </is>
      </c>
      <c r="E2970" t="n">
        <v>165</v>
      </c>
      <c r="F2970" t="n">
        <v>57827.5</v>
      </c>
      <c r="G2970" t="n">
        <v>24</v>
      </c>
      <c r="H2970" t="inlineStr">
        <is>
          <t>Performance</t>
        </is>
      </c>
      <c r="I2970" t="inlineStr">
        <is>
          <t>RWD</t>
        </is>
      </c>
      <c r="J2970" t="inlineStr">
        <is>
          <t>Red</t>
        </is>
      </c>
      <c r="K2970" t="n">
        <v>372</v>
      </c>
      <c r="L2970" t="n">
        <v>51</v>
      </c>
      <c r="M2970" t="n">
        <v>17.02</v>
      </c>
      <c r="N2970" t="n">
        <v>332.8</v>
      </c>
      <c r="O2970" t="n">
        <v>4.61</v>
      </c>
      <c r="P2970" t="n">
        <v>6</v>
      </c>
      <c r="Q2970" t="n">
        <v>1</v>
      </c>
      <c r="R2970" t="n">
        <v>2022.5</v>
      </c>
      <c r="S2970" t="b">
        <v>1</v>
      </c>
      <c r="T2970" t="n">
        <v>3361170</v>
      </c>
      <c r="U2970" t="n">
        <v>3</v>
      </c>
      <c r="V2970" t="n">
        <v>0.0428</v>
      </c>
      <c r="W2970" t="n">
        <v>0.59</v>
      </c>
      <c r="X2970" t="n">
        <v>83.70999999999999</v>
      </c>
      <c r="Y2970">
        <f>VLOOKUP(D2970,$AB$2:$AC$7,2,FALSE)</f>
        <v/>
      </c>
      <c r="Z2970">
        <f>IF(A2970&lt;Y2970,"Yes","No")</f>
        <v/>
      </c>
    </row>
    <row r="2971">
      <c r="A2971" t="n">
        <v>2019</v>
      </c>
      <c r="B2971" t="inlineStr">
        <is>
          <t>Q2</t>
        </is>
      </c>
      <c r="C2971" t="inlineStr">
        <is>
          <t>Australia</t>
        </is>
      </c>
      <c r="D2971" t="inlineStr">
        <is>
          <t>Semi</t>
        </is>
      </c>
      <c r="E2971" t="n">
        <v>1466</v>
      </c>
      <c r="F2971" t="n">
        <v>46848.92</v>
      </c>
      <c r="G2971" t="n">
        <v>20</v>
      </c>
      <c r="H2971" t="inlineStr">
        <is>
          <t>Long Range</t>
        </is>
      </c>
      <c r="I2971" t="inlineStr">
        <is>
          <t>RWD</t>
        </is>
      </c>
      <c r="J2971" t="inlineStr">
        <is>
          <t>Blue</t>
        </is>
      </c>
      <c r="K2971" t="n">
        <v>505</v>
      </c>
      <c r="L2971" t="n">
        <v>86</v>
      </c>
      <c r="M2971" t="n">
        <v>22.34</v>
      </c>
      <c r="N2971" t="n">
        <v>2550.75</v>
      </c>
      <c r="O2971" t="n">
        <v>3.89</v>
      </c>
      <c r="P2971" t="n">
        <v>6</v>
      </c>
      <c r="Q2971" t="n">
        <v>0</v>
      </c>
      <c r="R2971" t="n">
        <v>2024.11</v>
      </c>
      <c r="S2971" t="b">
        <v>1</v>
      </c>
      <c r="T2971" t="n">
        <v>3739514</v>
      </c>
      <c r="U2971" t="n">
        <v>8</v>
      </c>
      <c r="V2971" t="n">
        <v>0.0123</v>
      </c>
      <c r="W2971" t="n">
        <v>1.33</v>
      </c>
      <c r="X2971" t="n">
        <v>67.97</v>
      </c>
      <c r="Y2971">
        <f>VLOOKUP(D2971,$AB$2:$AC$7,2,FALSE)</f>
        <v/>
      </c>
      <c r="Z2971">
        <f>IF(A2971&lt;Y2971,"Yes","No")</f>
        <v/>
      </c>
    </row>
    <row r="2972">
      <c r="A2972" t="n">
        <v>2021</v>
      </c>
      <c r="B2972" t="inlineStr">
        <is>
          <t>Q1</t>
        </is>
      </c>
      <c r="C2972" t="inlineStr">
        <is>
          <t>Australia</t>
        </is>
      </c>
      <c r="D2972" t="inlineStr">
        <is>
          <t>Model S</t>
        </is>
      </c>
      <c r="E2972" t="n">
        <v>3458</v>
      </c>
      <c r="F2972" t="n">
        <v>83088.73</v>
      </c>
      <c r="G2972" t="n">
        <v>7</v>
      </c>
      <c r="H2972" t="inlineStr">
        <is>
          <t>Standard</t>
        </is>
      </c>
      <c r="I2972" t="inlineStr">
        <is>
          <t>AWD</t>
        </is>
      </c>
      <c r="J2972" t="inlineStr">
        <is>
          <t>Black</t>
        </is>
      </c>
      <c r="K2972" t="n">
        <v>543</v>
      </c>
      <c r="L2972" t="n">
        <v>42</v>
      </c>
      <c r="M2972" t="n">
        <v>16.5</v>
      </c>
      <c r="N2972" t="n">
        <v>7219.15</v>
      </c>
      <c r="O2972" t="n">
        <v>3.76</v>
      </c>
      <c r="P2972" t="n">
        <v>4</v>
      </c>
      <c r="Q2972" t="n">
        <v>2</v>
      </c>
      <c r="R2972" t="n">
        <v>2021.4</v>
      </c>
      <c r="S2972" t="b">
        <v>1</v>
      </c>
      <c r="T2972" t="n">
        <v>3340049</v>
      </c>
      <c r="U2972" t="n">
        <v>6</v>
      </c>
      <c r="V2972" t="n">
        <v>0.035</v>
      </c>
      <c r="W2972" t="n">
        <v>2.13</v>
      </c>
      <c r="X2972" t="n">
        <v>83.51000000000001</v>
      </c>
      <c r="Y2972">
        <f>VLOOKUP(D2972,$AB$2:$AC$7,2,FALSE)</f>
        <v/>
      </c>
      <c r="Z2972">
        <f>IF(A2972&lt;Y2972,"Yes","No")</f>
        <v/>
      </c>
    </row>
    <row r="2973">
      <c r="A2973" t="n">
        <v>2013</v>
      </c>
      <c r="B2973" t="inlineStr">
        <is>
          <t>Q4</t>
        </is>
      </c>
      <c r="C2973" t="inlineStr">
        <is>
          <t>Asia</t>
        </is>
      </c>
      <c r="D2973" t="inlineStr">
        <is>
          <t>Cybertruck</t>
        </is>
      </c>
      <c r="E2973" t="n">
        <v>2289</v>
      </c>
      <c r="F2973" t="n">
        <v>70343.91</v>
      </c>
      <c r="G2973" t="n">
        <v>6</v>
      </c>
      <c r="H2973" t="inlineStr">
        <is>
          <t>Long Range</t>
        </is>
      </c>
      <c r="I2973" t="inlineStr">
        <is>
          <t>AWD</t>
        </is>
      </c>
      <c r="J2973" t="inlineStr">
        <is>
          <t>Green</t>
        </is>
      </c>
      <c r="K2973" t="n">
        <v>608</v>
      </c>
      <c r="L2973" t="n">
        <v>56</v>
      </c>
      <c r="M2973" t="n">
        <v>19.62</v>
      </c>
      <c r="N2973" t="n">
        <v>2645.42</v>
      </c>
      <c r="O2973" t="n">
        <v>4.9</v>
      </c>
      <c r="P2973" t="n">
        <v>4</v>
      </c>
      <c r="Q2973" t="n">
        <v>2</v>
      </c>
      <c r="R2973" t="n">
        <v>2023.8</v>
      </c>
      <c r="S2973" t="b">
        <v>0</v>
      </c>
      <c r="T2973" t="n">
        <v>252801</v>
      </c>
      <c r="U2973" t="n">
        <v>12</v>
      </c>
      <c r="V2973" t="n">
        <v>0.0538</v>
      </c>
      <c r="W2973" t="n">
        <v>2.15</v>
      </c>
      <c r="X2973" t="n">
        <v>67.56999999999999</v>
      </c>
      <c r="Y2973">
        <f>VLOOKUP(D2973,$AB$2:$AC$7,2,FALSE)</f>
        <v/>
      </c>
      <c r="Z2973">
        <f>IF(A2973&lt;Y2973,"Yes","No")</f>
        <v/>
      </c>
    </row>
    <row r="2974">
      <c r="A2974" t="n">
        <v>2013</v>
      </c>
      <c r="B2974" t="inlineStr">
        <is>
          <t>Q4</t>
        </is>
      </c>
      <c r="C2974" t="inlineStr">
        <is>
          <t>South America</t>
        </is>
      </c>
      <c r="D2974" t="inlineStr">
        <is>
          <t>Semi</t>
        </is>
      </c>
      <c r="E2974" t="n">
        <v>289</v>
      </c>
      <c r="F2974" t="n">
        <v>71004.64</v>
      </c>
      <c r="G2974" t="n">
        <v>42</v>
      </c>
      <c r="H2974" t="inlineStr">
        <is>
          <t>Performance</t>
        </is>
      </c>
      <c r="I2974" t="inlineStr">
        <is>
          <t>AWD</t>
        </is>
      </c>
      <c r="J2974" t="inlineStr">
        <is>
          <t>Black</t>
        </is>
      </c>
      <c r="K2974" t="n">
        <v>526</v>
      </c>
      <c r="L2974" t="n">
        <v>58</v>
      </c>
      <c r="M2974" t="n">
        <v>23.27</v>
      </c>
      <c r="N2974" t="n">
        <v>371.6</v>
      </c>
      <c r="O2974" t="n">
        <v>3.73</v>
      </c>
      <c r="P2974" t="n">
        <v>5</v>
      </c>
      <c r="Q2974" t="n">
        <v>1</v>
      </c>
      <c r="R2974" t="n">
        <v>2022.9</v>
      </c>
      <c r="S2974" t="b">
        <v>0</v>
      </c>
      <c r="T2974" t="n">
        <v>661441</v>
      </c>
      <c r="U2974" t="n">
        <v>6</v>
      </c>
      <c r="V2974" t="n">
        <v>0.0528</v>
      </c>
      <c r="W2974" t="n">
        <v>2.48</v>
      </c>
      <c r="X2974" t="n">
        <v>74.65000000000001</v>
      </c>
      <c r="Y2974">
        <f>VLOOKUP(D2974,$AB$2:$AC$7,2,FALSE)</f>
        <v/>
      </c>
      <c r="Z2974">
        <f>IF(A2974&lt;Y2974,"Yes","No")</f>
        <v/>
      </c>
    </row>
    <row r="2975">
      <c r="A2975" t="n">
        <v>2021</v>
      </c>
      <c r="B2975" t="inlineStr">
        <is>
          <t>Q4</t>
        </is>
      </c>
      <c r="C2975" t="inlineStr">
        <is>
          <t>Asia</t>
        </is>
      </c>
      <c r="D2975" t="inlineStr">
        <is>
          <t>Model S</t>
        </is>
      </c>
      <c r="E2975" t="n">
        <v>199</v>
      </c>
      <c r="F2975" t="n">
        <v>100897.62</v>
      </c>
      <c r="G2975" t="n">
        <v>42</v>
      </c>
      <c r="H2975" t="inlineStr">
        <is>
          <t>Standard</t>
        </is>
      </c>
      <c r="I2975" t="inlineStr">
        <is>
          <t>AWD</t>
        </is>
      </c>
      <c r="J2975" t="inlineStr">
        <is>
          <t>Red</t>
        </is>
      </c>
      <c r="K2975" t="n">
        <v>697</v>
      </c>
      <c r="L2975" t="n">
        <v>66</v>
      </c>
      <c r="M2975" t="n">
        <v>21.94</v>
      </c>
      <c r="N2975" t="n">
        <v>346.46</v>
      </c>
      <c r="O2975" t="n">
        <v>4.88</v>
      </c>
      <c r="P2975" t="n">
        <v>8</v>
      </c>
      <c r="Q2975" t="n">
        <v>2</v>
      </c>
      <c r="R2975" t="n">
        <v>2023.1</v>
      </c>
      <c r="S2975" t="b">
        <v>0</v>
      </c>
      <c r="T2975" t="n">
        <v>4770583</v>
      </c>
      <c r="U2975" t="n">
        <v>8</v>
      </c>
      <c r="V2975" t="n">
        <v>0.0696</v>
      </c>
      <c r="W2975" t="n">
        <v>0.66</v>
      </c>
      <c r="X2975" t="n">
        <v>70.23999999999999</v>
      </c>
      <c r="Y2975">
        <f>VLOOKUP(D2975,$AB$2:$AC$7,2,FALSE)</f>
        <v/>
      </c>
      <c r="Z2975">
        <f>IF(A2975&lt;Y2975,"Yes","No")</f>
        <v/>
      </c>
    </row>
    <row r="2976">
      <c r="A2976" t="n">
        <v>2013</v>
      </c>
      <c r="B2976" t="inlineStr">
        <is>
          <t>Q2</t>
        </is>
      </c>
      <c r="C2976" t="inlineStr">
        <is>
          <t>Asia</t>
        </is>
      </c>
      <c r="D2976" t="inlineStr">
        <is>
          <t>Model Y</t>
        </is>
      </c>
      <c r="E2976" t="n">
        <v>3422</v>
      </c>
      <c r="F2976" t="n">
        <v>46433.08</v>
      </c>
      <c r="G2976" t="n">
        <v>26</v>
      </c>
      <c r="H2976" t="inlineStr">
        <is>
          <t>Performance</t>
        </is>
      </c>
      <c r="I2976" t="inlineStr">
        <is>
          <t>RWD</t>
        </is>
      </c>
      <c r="J2976" t="inlineStr">
        <is>
          <t>Red</t>
        </is>
      </c>
      <c r="K2976" t="n">
        <v>422</v>
      </c>
      <c r="L2976" t="n">
        <v>84</v>
      </c>
      <c r="M2976" t="n">
        <v>17.46</v>
      </c>
      <c r="N2976" t="n">
        <v>4599.04</v>
      </c>
      <c r="O2976" t="n">
        <v>4.7</v>
      </c>
      <c r="P2976" t="n">
        <v>5</v>
      </c>
      <c r="Q2976" t="n">
        <v>0</v>
      </c>
      <c r="R2976" t="n">
        <v>2021.7</v>
      </c>
      <c r="S2976" t="b">
        <v>1</v>
      </c>
      <c r="T2976" t="n">
        <v>2405052</v>
      </c>
      <c r="U2976" t="n">
        <v>4</v>
      </c>
      <c r="V2976" t="n">
        <v>0.0926</v>
      </c>
      <c r="W2976" t="n">
        <v>2.13</v>
      </c>
      <c r="X2976" t="n">
        <v>87.64</v>
      </c>
      <c r="Y2976">
        <f>VLOOKUP(D2976,$AB$2:$AC$7,2,FALSE)</f>
        <v/>
      </c>
      <c r="Z2976">
        <f>IF(A2976&lt;Y2976,"Yes","No")</f>
        <v/>
      </c>
    </row>
    <row r="2977">
      <c r="A2977" t="n">
        <v>2022</v>
      </c>
      <c r="B2977" t="inlineStr">
        <is>
          <t>Q3</t>
        </is>
      </c>
      <c r="C2977" t="inlineStr">
        <is>
          <t>Australia</t>
        </is>
      </c>
      <c r="D2977" t="inlineStr">
        <is>
          <t>Model X</t>
        </is>
      </c>
      <c r="E2977" t="n">
        <v>3200</v>
      </c>
      <c r="F2977" t="n">
        <v>84814.7</v>
      </c>
      <c r="G2977" t="n">
        <v>33</v>
      </c>
      <c r="H2977" t="inlineStr">
        <is>
          <t>Long Range</t>
        </is>
      </c>
      <c r="I2977" t="inlineStr">
        <is>
          <t>AWD</t>
        </is>
      </c>
      <c r="J2977" t="inlineStr">
        <is>
          <t>Black</t>
        </is>
      </c>
      <c r="K2977" t="n">
        <v>566</v>
      </c>
      <c r="L2977" t="n">
        <v>63</v>
      </c>
      <c r="M2977" t="n">
        <v>13.88</v>
      </c>
      <c r="N2977" t="n">
        <v>3354.28</v>
      </c>
      <c r="O2977" t="n">
        <v>4.66</v>
      </c>
      <c r="P2977" t="n">
        <v>4</v>
      </c>
      <c r="Q2977" t="n">
        <v>2</v>
      </c>
      <c r="R2977" t="n">
        <v>2022.12</v>
      </c>
      <c r="S2977" t="b">
        <v>0</v>
      </c>
      <c r="T2977" t="n">
        <v>2045824</v>
      </c>
      <c r="U2977" t="n">
        <v>7</v>
      </c>
      <c r="V2977" t="n">
        <v>0.0717</v>
      </c>
      <c r="W2977" t="n">
        <v>2.42</v>
      </c>
      <c r="X2977" t="n">
        <v>84.56</v>
      </c>
      <c r="Y2977">
        <f>VLOOKUP(D2977,$AB$2:$AC$7,2,FALSE)</f>
        <v/>
      </c>
      <c r="Z2977">
        <f>IF(A2977&lt;Y2977,"Yes","No")</f>
        <v/>
      </c>
    </row>
    <row r="2978">
      <c r="A2978" t="n">
        <v>2023</v>
      </c>
      <c r="B2978" t="inlineStr">
        <is>
          <t>Q2</t>
        </is>
      </c>
      <c r="C2978" t="inlineStr">
        <is>
          <t>Australia</t>
        </is>
      </c>
      <c r="D2978" t="inlineStr">
        <is>
          <t>Model 3</t>
        </is>
      </c>
      <c r="E2978" t="n">
        <v>816</v>
      </c>
      <c r="F2978" t="n">
        <v>72961.33</v>
      </c>
      <c r="G2978" t="n">
        <v>17</v>
      </c>
      <c r="H2978" t="inlineStr">
        <is>
          <t>Standard</t>
        </is>
      </c>
      <c r="I2978" t="inlineStr">
        <is>
          <t>AWD</t>
        </is>
      </c>
      <c r="J2978" t="inlineStr">
        <is>
          <t>Black</t>
        </is>
      </c>
      <c r="K2978" t="n">
        <v>405</v>
      </c>
      <c r="L2978" t="n">
        <v>41</v>
      </c>
      <c r="M2978" t="n">
        <v>20.32</v>
      </c>
      <c r="N2978" t="n">
        <v>2004.11</v>
      </c>
      <c r="O2978" t="n">
        <v>4.02</v>
      </c>
      <c r="P2978" t="n">
        <v>6</v>
      </c>
      <c r="Q2978" t="n">
        <v>0</v>
      </c>
      <c r="R2978" t="n">
        <v>2024.4</v>
      </c>
      <c r="S2978" t="b">
        <v>0</v>
      </c>
      <c r="T2978" t="n">
        <v>1512642</v>
      </c>
      <c r="U2978" t="n">
        <v>8</v>
      </c>
      <c r="V2978" t="n">
        <v>0.0667</v>
      </c>
      <c r="W2978" t="n">
        <v>2.04</v>
      </c>
      <c r="X2978" t="n">
        <v>66.31</v>
      </c>
      <c r="Y2978">
        <f>VLOOKUP(D2978,$AB$2:$AC$7,2,FALSE)</f>
        <v/>
      </c>
      <c r="Z2978">
        <f>IF(A2978&lt;Y2978,"Yes","No")</f>
        <v/>
      </c>
    </row>
    <row r="2979">
      <c r="A2979" t="n">
        <v>2024</v>
      </c>
      <c r="B2979" t="inlineStr">
        <is>
          <t>Q2</t>
        </is>
      </c>
      <c r="C2979" t="inlineStr">
        <is>
          <t>Asia</t>
        </is>
      </c>
      <c r="D2979" t="inlineStr">
        <is>
          <t>Cybertruck</t>
        </is>
      </c>
      <c r="E2979" t="n">
        <v>2140</v>
      </c>
      <c r="F2979" t="n">
        <v>71041.00999999999</v>
      </c>
      <c r="G2979" t="n">
        <v>29</v>
      </c>
      <c r="H2979" t="inlineStr">
        <is>
          <t>Performance</t>
        </is>
      </c>
      <c r="I2979" t="inlineStr">
        <is>
          <t>AWD</t>
        </is>
      </c>
      <c r="J2979" t="inlineStr">
        <is>
          <t>Green</t>
        </is>
      </c>
      <c r="K2979" t="n">
        <v>611</v>
      </c>
      <c r="L2979" t="n">
        <v>40</v>
      </c>
      <c r="M2979" t="n">
        <v>20.49</v>
      </c>
      <c r="N2979" t="n">
        <v>5110.79</v>
      </c>
      <c r="O2979" t="n">
        <v>4.89</v>
      </c>
      <c r="P2979" t="n">
        <v>4</v>
      </c>
      <c r="Q2979" t="n">
        <v>1</v>
      </c>
      <c r="R2979" t="n">
        <v>2024.6</v>
      </c>
      <c r="S2979" t="b">
        <v>1</v>
      </c>
      <c r="T2979" t="n">
        <v>1223484</v>
      </c>
      <c r="U2979" t="n">
        <v>4</v>
      </c>
      <c r="V2979" t="n">
        <v>0.09320000000000001</v>
      </c>
      <c r="W2979" t="n">
        <v>0.9399999999999999</v>
      </c>
      <c r="X2979" t="n">
        <v>88.55</v>
      </c>
      <c r="Y2979">
        <f>VLOOKUP(D2979,$AB$2:$AC$7,2,FALSE)</f>
        <v/>
      </c>
      <c r="Z2979">
        <f>IF(A2979&lt;Y2979,"Yes","No")</f>
        <v/>
      </c>
    </row>
    <row r="2980">
      <c r="A2980" t="n">
        <v>2016</v>
      </c>
      <c r="B2980" t="inlineStr">
        <is>
          <t>Q2</t>
        </is>
      </c>
      <c r="C2980" t="inlineStr">
        <is>
          <t>Europe</t>
        </is>
      </c>
      <c r="D2980" t="inlineStr">
        <is>
          <t>Model S</t>
        </is>
      </c>
      <c r="E2980" t="n">
        <v>699</v>
      </c>
      <c r="F2980" t="n">
        <v>65811.19</v>
      </c>
      <c r="G2980" t="n">
        <v>19</v>
      </c>
      <c r="H2980" t="inlineStr">
        <is>
          <t>Long Range</t>
        </is>
      </c>
      <c r="I2980" t="inlineStr">
        <is>
          <t>RWD</t>
        </is>
      </c>
      <c r="J2980" t="inlineStr">
        <is>
          <t>Green</t>
        </is>
      </c>
      <c r="K2980" t="n">
        <v>354</v>
      </c>
      <c r="L2980" t="n">
        <v>46</v>
      </c>
      <c r="M2980" t="n">
        <v>23.46</v>
      </c>
      <c r="N2980" t="n">
        <v>1373.11</v>
      </c>
      <c r="O2980" t="n">
        <v>4.53</v>
      </c>
      <c r="P2980" t="n">
        <v>5</v>
      </c>
      <c r="Q2980" t="n">
        <v>0</v>
      </c>
      <c r="R2980" t="n">
        <v>2021.1</v>
      </c>
      <c r="S2980" t="b">
        <v>0</v>
      </c>
      <c r="T2980" t="n">
        <v>398905</v>
      </c>
      <c r="U2980" t="n">
        <v>7</v>
      </c>
      <c r="V2980" t="n">
        <v>0.0843</v>
      </c>
      <c r="W2980" t="n">
        <v>1.67</v>
      </c>
      <c r="X2980" t="n">
        <v>86.16</v>
      </c>
      <c r="Y2980">
        <f>VLOOKUP(D2980,$AB$2:$AC$7,2,FALSE)</f>
        <v/>
      </c>
      <c r="Z2980">
        <f>IF(A2980&lt;Y2980,"Yes","No")</f>
        <v/>
      </c>
    </row>
    <row r="2981">
      <c r="A2981" t="n">
        <v>2016</v>
      </c>
      <c r="B2981" t="inlineStr">
        <is>
          <t>Q2</t>
        </is>
      </c>
      <c r="C2981" t="inlineStr">
        <is>
          <t>Europe</t>
        </is>
      </c>
      <c r="D2981" t="inlineStr">
        <is>
          <t>Cybertruck</t>
        </is>
      </c>
      <c r="E2981" t="n">
        <v>2318</v>
      </c>
      <c r="F2981" t="n">
        <v>64483.02</v>
      </c>
      <c r="G2981" t="n">
        <v>41</v>
      </c>
      <c r="H2981" t="inlineStr">
        <is>
          <t>Standard</t>
        </is>
      </c>
      <c r="I2981" t="inlineStr">
        <is>
          <t>AWD</t>
        </is>
      </c>
      <c r="J2981" t="inlineStr">
        <is>
          <t>Silver</t>
        </is>
      </c>
      <c r="K2981" t="n">
        <v>690</v>
      </c>
      <c r="L2981" t="n">
        <v>78</v>
      </c>
      <c r="M2981" t="n">
        <v>19.76</v>
      </c>
      <c r="N2981" t="n">
        <v>3642.72</v>
      </c>
      <c r="O2981" t="n">
        <v>4.54</v>
      </c>
      <c r="P2981" t="n">
        <v>6</v>
      </c>
      <c r="Q2981" t="n">
        <v>1</v>
      </c>
      <c r="R2981" t="n">
        <v>2020.1</v>
      </c>
      <c r="S2981" t="b">
        <v>0</v>
      </c>
      <c r="T2981" t="n">
        <v>2554577</v>
      </c>
      <c r="U2981" t="n">
        <v>11</v>
      </c>
      <c r="V2981" t="n">
        <v>0.09080000000000001</v>
      </c>
      <c r="W2981" t="n">
        <v>1.03</v>
      </c>
      <c r="X2981" t="n">
        <v>89.73999999999999</v>
      </c>
      <c r="Y2981">
        <f>VLOOKUP(D2981,$AB$2:$AC$7,2,FALSE)</f>
        <v/>
      </c>
      <c r="Z2981">
        <f>IF(A2981&lt;Y2981,"Yes","No")</f>
        <v/>
      </c>
    </row>
    <row r="2982">
      <c r="A2982" t="n">
        <v>2019</v>
      </c>
      <c r="B2982" t="inlineStr">
        <is>
          <t>Q4</t>
        </is>
      </c>
      <c r="C2982" t="inlineStr">
        <is>
          <t>Asia</t>
        </is>
      </c>
      <c r="D2982" t="inlineStr">
        <is>
          <t>Model 3</t>
        </is>
      </c>
      <c r="E2982" t="n">
        <v>3669</v>
      </c>
      <c r="F2982" t="n">
        <v>53436.38</v>
      </c>
      <c r="G2982" t="n">
        <v>56</v>
      </c>
      <c r="H2982" t="inlineStr">
        <is>
          <t>Standard</t>
        </is>
      </c>
      <c r="I2982" t="inlineStr">
        <is>
          <t>AWD</t>
        </is>
      </c>
      <c r="J2982" t="inlineStr">
        <is>
          <t>Red</t>
        </is>
      </c>
      <c r="K2982" t="n">
        <v>401</v>
      </c>
      <c r="L2982" t="n">
        <v>64</v>
      </c>
      <c r="M2982" t="n">
        <v>19.74</v>
      </c>
      <c r="N2982" t="n">
        <v>5401.05</v>
      </c>
      <c r="O2982" t="n">
        <v>4.82</v>
      </c>
      <c r="P2982" t="n">
        <v>8</v>
      </c>
      <c r="Q2982" t="n">
        <v>1</v>
      </c>
      <c r="R2982" t="n">
        <v>2021.1</v>
      </c>
      <c r="S2982" t="b">
        <v>1</v>
      </c>
      <c r="T2982" t="n">
        <v>2378902</v>
      </c>
      <c r="U2982" t="n">
        <v>2</v>
      </c>
      <c r="V2982" t="n">
        <v>0.0172</v>
      </c>
      <c r="W2982" t="n">
        <v>1.25</v>
      </c>
      <c r="X2982" t="n">
        <v>85.28</v>
      </c>
      <c r="Y2982">
        <f>VLOOKUP(D2982,$AB$2:$AC$7,2,FALSE)</f>
        <v/>
      </c>
      <c r="Z2982">
        <f>IF(A2982&lt;Y2982,"Yes","No")</f>
        <v/>
      </c>
    </row>
    <row r="2983">
      <c r="A2983" t="n">
        <v>2012</v>
      </c>
      <c r="B2983" t="inlineStr">
        <is>
          <t>Q1</t>
        </is>
      </c>
      <c r="C2983" t="inlineStr">
        <is>
          <t>Australia</t>
        </is>
      </c>
      <c r="D2983" t="inlineStr">
        <is>
          <t>Cybertruck</t>
        </is>
      </c>
      <c r="E2983" t="n">
        <v>332</v>
      </c>
      <c r="F2983" t="n">
        <v>114656.98</v>
      </c>
      <c r="G2983" t="n">
        <v>29</v>
      </c>
      <c r="H2983" t="inlineStr">
        <is>
          <t>Standard</t>
        </is>
      </c>
      <c r="I2983" t="inlineStr">
        <is>
          <t>AWD</t>
        </is>
      </c>
      <c r="J2983" t="inlineStr">
        <is>
          <t>Silver</t>
        </is>
      </c>
      <c r="K2983" t="n">
        <v>403</v>
      </c>
      <c r="L2983" t="n">
        <v>82</v>
      </c>
      <c r="M2983" t="n">
        <v>19.89</v>
      </c>
      <c r="N2983" t="n">
        <v>752.34</v>
      </c>
      <c r="O2983" t="n">
        <v>4.44</v>
      </c>
      <c r="P2983" t="n">
        <v>4</v>
      </c>
      <c r="Q2983" t="n">
        <v>3</v>
      </c>
      <c r="R2983" t="n">
        <v>2023.3</v>
      </c>
      <c r="S2983" t="b">
        <v>1</v>
      </c>
      <c r="T2983" t="n">
        <v>4324377</v>
      </c>
      <c r="U2983" t="n">
        <v>10</v>
      </c>
      <c r="V2983" t="n">
        <v>0.0659</v>
      </c>
      <c r="W2983" t="n">
        <v>0.54</v>
      </c>
      <c r="X2983" t="n">
        <v>72.58</v>
      </c>
      <c r="Y2983">
        <f>VLOOKUP(D2983,$AB$2:$AC$7,2,FALSE)</f>
        <v/>
      </c>
      <c r="Z2983">
        <f>IF(A2983&lt;Y2983,"Yes","No")</f>
        <v/>
      </c>
    </row>
    <row r="2984">
      <c r="A2984" t="n">
        <v>2017</v>
      </c>
      <c r="B2984" t="inlineStr">
        <is>
          <t>Q1</t>
        </is>
      </c>
      <c r="C2984" t="inlineStr">
        <is>
          <t>Asia</t>
        </is>
      </c>
      <c r="D2984" t="inlineStr">
        <is>
          <t>Model Y</t>
        </is>
      </c>
      <c r="E2984" t="n">
        <v>3012</v>
      </c>
      <c r="F2984" t="n">
        <v>110142.62</v>
      </c>
      <c r="G2984" t="n">
        <v>14</v>
      </c>
      <c r="H2984" t="inlineStr">
        <is>
          <t>Long Range</t>
        </is>
      </c>
      <c r="I2984" t="inlineStr">
        <is>
          <t>AWD</t>
        </is>
      </c>
      <c r="J2984" t="inlineStr">
        <is>
          <t>Red</t>
        </is>
      </c>
      <c r="K2984" t="n">
        <v>426</v>
      </c>
      <c r="L2984" t="n">
        <v>57</v>
      </c>
      <c r="M2984" t="n">
        <v>21.19</v>
      </c>
      <c r="N2984" t="n">
        <v>4476.43</v>
      </c>
      <c r="O2984" t="n">
        <v>4.12</v>
      </c>
      <c r="P2984" t="n">
        <v>8</v>
      </c>
      <c r="Q2984" t="n">
        <v>1</v>
      </c>
      <c r="R2984" t="n">
        <v>2023.8</v>
      </c>
      <c r="S2984" t="b">
        <v>0</v>
      </c>
      <c r="T2984" t="n">
        <v>2063188</v>
      </c>
      <c r="U2984" t="n">
        <v>12</v>
      </c>
      <c r="V2984" t="n">
        <v>0.065</v>
      </c>
      <c r="W2984" t="n">
        <v>1.63</v>
      </c>
      <c r="X2984" t="n">
        <v>69.93000000000001</v>
      </c>
      <c r="Y2984">
        <f>VLOOKUP(D2984,$AB$2:$AC$7,2,FALSE)</f>
        <v/>
      </c>
      <c r="Z2984">
        <f>IF(A2984&lt;Y2984,"Yes","No")</f>
        <v/>
      </c>
    </row>
    <row r="2985">
      <c r="A2985" t="n">
        <v>2015</v>
      </c>
      <c r="B2985" t="inlineStr">
        <is>
          <t>Q1</t>
        </is>
      </c>
      <c r="C2985" t="inlineStr">
        <is>
          <t>Australia</t>
        </is>
      </c>
      <c r="D2985" t="inlineStr">
        <is>
          <t>Model S</t>
        </is>
      </c>
      <c r="E2985" t="n">
        <v>652</v>
      </c>
      <c r="F2985" t="n">
        <v>80889.37</v>
      </c>
      <c r="G2985" t="n">
        <v>37</v>
      </c>
      <c r="H2985" t="inlineStr">
        <is>
          <t>Performance</t>
        </is>
      </c>
      <c r="I2985" t="inlineStr">
        <is>
          <t>AWD</t>
        </is>
      </c>
      <c r="J2985" t="inlineStr">
        <is>
          <t>White</t>
        </is>
      </c>
      <c r="K2985" t="n">
        <v>438</v>
      </c>
      <c r="L2985" t="n">
        <v>71</v>
      </c>
      <c r="M2985" t="n">
        <v>23.43</v>
      </c>
      <c r="N2985" t="n">
        <v>987.1900000000001</v>
      </c>
      <c r="O2985" t="n">
        <v>4.36</v>
      </c>
      <c r="P2985" t="n">
        <v>5</v>
      </c>
      <c r="Q2985" t="n">
        <v>0</v>
      </c>
      <c r="R2985" t="n">
        <v>2020.5</v>
      </c>
      <c r="S2985" t="b">
        <v>0</v>
      </c>
      <c r="T2985" t="n">
        <v>1314570</v>
      </c>
      <c r="U2985" t="n">
        <v>4</v>
      </c>
      <c r="V2985" t="n">
        <v>0.0914</v>
      </c>
      <c r="W2985" t="n">
        <v>1.03</v>
      </c>
      <c r="X2985" t="n">
        <v>83.92</v>
      </c>
      <c r="Y2985">
        <f>VLOOKUP(D2985,$AB$2:$AC$7,2,FALSE)</f>
        <v/>
      </c>
      <c r="Z2985">
        <f>IF(A2985&lt;Y2985,"Yes","No")</f>
        <v/>
      </c>
    </row>
    <row r="2986">
      <c r="A2986" t="n">
        <v>2020</v>
      </c>
      <c r="B2986" t="inlineStr">
        <is>
          <t>Q4</t>
        </is>
      </c>
      <c r="C2986" t="inlineStr">
        <is>
          <t>Australia</t>
        </is>
      </c>
      <c r="D2986" t="inlineStr">
        <is>
          <t>Semi</t>
        </is>
      </c>
      <c r="E2986" t="n">
        <v>885</v>
      </c>
      <c r="F2986" t="n">
        <v>69651.91</v>
      </c>
      <c r="G2986" t="n">
        <v>26</v>
      </c>
      <c r="H2986" t="inlineStr">
        <is>
          <t>Standard</t>
        </is>
      </c>
      <c r="I2986" t="inlineStr">
        <is>
          <t>AWD</t>
        </is>
      </c>
      <c r="J2986" t="inlineStr">
        <is>
          <t>Silver</t>
        </is>
      </c>
      <c r="K2986" t="n">
        <v>540</v>
      </c>
      <c r="L2986" t="n">
        <v>59</v>
      </c>
      <c r="M2986" t="n">
        <v>13.44</v>
      </c>
      <c r="N2986" t="n">
        <v>530.03</v>
      </c>
      <c r="O2986" t="n">
        <v>4.75</v>
      </c>
      <c r="P2986" t="n">
        <v>5</v>
      </c>
      <c r="Q2986" t="n">
        <v>0</v>
      </c>
      <c r="R2986" t="n">
        <v>2023.4</v>
      </c>
      <c r="S2986" t="b">
        <v>0</v>
      </c>
      <c r="T2986" t="n">
        <v>4726874</v>
      </c>
      <c r="U2986" t="n">
        <v>8</v>
      </c>
      <c r="V2986" t="n">
        <v>0.0461</v>
      </c>
      <c r="W2986" t="n">
        <v>1.22</v>
      </c>
      <c r="X2986" t="n">
        <v>86.98</v>
      </c>
      <c r="Y2986">
        <f>VLOOKUP(D2986,$AB$2:$AC$7,2,FALSE)</f>
        <v/>
      </c>
      <c r="Z2986">
        <f>IF(A2986&lt;Y2986,"Yes","No")</f>
        <v/>
      </c>
    </row>
    <row r="2987">
      <c r="A2987" t="n">
        <v>2019</v>
      </c>
      <c r="B2987" t="inlineStr">
        <is>
          <t>Q1</t>
        </is>
      </c>
      <c r="C2987" t="inlineStr">
        <is>
          <t>South America</t>
        </is>
      </c>
      <c r="D2987" t="inlineStr">
        <is>
          <t>Model X</t>
        </is>
      </c>
      <c r="E2987" t="n">
        <v>2764</v>
      </c>
      <c r="F2987" t="n">
        <v>76015.28999999999</v>
      </c>
      <c r="G2987" t="n">
        <v>36</v>
      </c>
      <c r="H2987" t="inlineStr">
        <is>
          <t>Standard</t>
        </is>
      </c>
      <c r="I2987" t="inlineStr">
        <is>
          <t>AWD</t>
        </is>
      </c>
      <c r="J2987" t="inlineStr">
        <is>
          <t>White</t>
        </is>
      </c>
      <c r="K2987" t="n">
        <v>385</v>
      </c>
      <c r="L2987" t="n">
        <v>71</v>
      </c>
      <c r="M2987" t="n">
        <v>15.76</v>
      </c>
      <c r="N2987" t="n">
        <v>3694.06</v>
      </c>
      <c r="O2987" t="n">
        <v>3.97</v>
      </c>
      <c r="P2987" t="n">
        <v>8</v>
      </c>
      <c r="Q2987" t="n">
        <v>3</v>
      </c>
      <c r="R2987" t="n">
        <v>2023.11</v>
      </c>
      <c r="S2987" t="b">
        <v>1</v>
      </c>
      <c r="T2987" t="n">
        <v>4105331</v>
      </c>
      <c r="U2987" t="n">
        <v>4</v>
      </c>
      <c r="V2987" t="n">
        <v>0.08169999999999999</v>
      </c>
      <c r="W2987" t="n">
        <v>0.84</v>
      </c>
      <c r="X2987" t="n">
        <v>85.09999999999999</v>
      </c>
      <c r="Y2987">
        <f>VLOOKUP(D2987,$AB$2:$AC$7,2,FALSE)</f>
        <v/>
      </c>
      <c r="Z2987">
        <f>IF(A2987&lt;Y2987,"Yes","No")</f>
        <v/>
      </c>
    </row>
    <row r="2988">
      <c r="A2988" t="n">
        <v>2024</v>
      </c>
      <c r="B2988" t="inlineStr">
        <is>
          <t>Q1</t>
        </is>
      </c>
      <c r="C2988" t="inlineStr">
        <is>
          <t>Australia</t>
        </is>
      </c>
      <c r="D2988" t="inlineStr">
        <is>
          <t>Model 3</t>
        </is>
      </c>
      <c r="E2988" t="n">
        <v>2870</v>
      </c>
      <c r="F2988" t="n">
        <v>87058.66</v>
      </c>
      <c r="G2988" t="n">
        <v>14</v>
      </c>
      <c r="H2988" t="inlineStr">
        <is>
          <t>Standard</t>
        </is>
      </c>
      <c r="I2988" t="inlineStr">
        <is>
          <t>AWD</t>
        </is>
      </c>
      <c r="J2988" t="inlineStr">
        <is>
          <t>Red</t>
        </is>
      </c>
      <c r="K2988" t="n">
        <v>534</v>
      </c>
      <c r="L2988" t="n">
        <v>34</v>
      </c>
      <c r="M2988" t="n">
        <v>20.95</v>
      </c>
      <c r="N2988" t="n">
        <v>1701.96</v>
      </c>
      <c r="O2988" t="n">
        <v>4.41</v>
      </c>
      <c r="P2988" t="n">
        <v>4</v>
      </c>
      <c r="Q2988" t="n">
        <v>1</v>
      </c>
      <c r="R2988" t="n">
        <v>2024.1</v>
      </c>
      <c r="S2988" t="b">
        <v>1</v>
      </c>
      <c r="T2988" t="n">
        <v>2393126</v>
      </c>
      <c r="U2988" t="n">
        <v>10</v>
      </c>
      <c r="V2988" t="n">
        <v>0.0934</v>
      </c>
      <c r="W2988" t="n">
        <v>1.37</v>
      </c>
      <c r="X2988" t="n">
        <v>66.54000000000001</v>
      </c>
      <c r="Y2988">
        <f>VLOOKUP(D2988,$AB$2:$AC$7,2,FALSE)</f>
        <v/>
      </c>
      <c r="Z2988">
        <f>IF(A2988&lt;Y2988,"Yes","No")</f>
        <v/>
      </c>
    </row>
    <row r="2989">
      <c r="A2989" t="n">
        <v>2013</v>
      </c>
      <c r="B2989" t="inlineStr">
        <is>
          <t>Q1</t>
        </is>
      </c>
      <c r="C2989" t="inlineStr">
        <is>
          <t>North America</t>
        </is>
      </c>
      <c r="D2989" t="inlineStr">
        <is>
          <t>Model 3</t>
        </is>
      </c>
      <c r="E2989" t="n">
        <v>2723</v>
      </c>
      <c r="F2989" t="n">
        <v>112203.32</v>
      </c>
      <c r="G2989" t="n">
        <v>1</v>
      </c>
      <c r="H2989" t="inlineStr">
        <is>
          <t>Long Range</t>
        </is>
      </c>
      <c r="I2989" t="inlineStr">
        <is>
          <t>RWD</t>
        </is>
      </c>
      <c r="J2989" t="inlineStr">
        <is>
          <t>Green</t>
        </is>
      </c>
      <c r="K2989" t="n">
        <v>393</v>
      </c>
      <c r="L2989" t="n">
        <v>33</v>
      </c>
      <c r="M2989" t="n">
        <v>23.72</v>
      </c>
      <c r="N2989" t="n">
        <v>1863.83</v>
      </c>
      <c r="O2989" t="n">
        <v>3.59</v>
      </c>
      <c r="P2989" t="n">
        <v>6</v>
      </c>
      <c r="Q2989" t="n">
        <v>2</v>
      </c>
      <c r="R2989" t="n">
        <v>2024.4</v>
      </c>
      <c r="S2989" t="b">
        <v>0</v>
      </c>
      <c r="T2989" t="n">
        <v>3119721</v>
      </c>
      <c r="U2989" t="n">
        <v>11</v>
      </c>
      <c r="V2989" t="n">
        <v>0.0921</v>
      </c>
      <c r="W2989" t="n">
        <v>1.25</v>
      </c>
      <c r="X2989" t="n">
        <v>75.65000000000001</v>
      </c>
      <c r="Y2989">
        <f>VLOOKUP(D2989,$AB$2:$AC$7,2,FALSE)</f>
        <v/>
      </c>
      <c r="Z2989">
        <f>IF(A2989&lt;Y2989,"Yes","No")</f>
        <v/>
      </c>
    </row>
    <row r="2990">
      <c r="A2990" t="n">
        <v>2016</v>
      </c>
      <c r="B2990" t="inlineStr">
        <is>
          <t>Q3</t>
        </is>
      </c>
      <c r="C2990" t="inlineStr">
        <is>
          <t>Europe</t>
        </is>
      </c>
      <c r="D2990" t="inlineStr">
        <is>
          <t>Model X</t>
        </is>
      </c>
      <c r="E2990" t="n">
        <v>2307</v>
      </c>
      <c r="F2990" t="n">
        <v>108250.85</v>
      </c>
      <c r="G2990" t="n">
        <v>34</v>
      </c>
      <c r="H2990" t="inlineStr">
        <is>
          <t>Standard</t>
        </is>
      </c>
      <c r="I2990" t="inlineStr">
        <is>
          <t>RWD</t>
        </is>
      </c>
      <c r="J2990" t="inlineStr">
        <is>
          <t>Blue</t>
        </is>
      </c>
      <c r="K2990" t="n">
        <v>438</v>
      </c>
      <c r="L2990" t="n">
        <v>82</v>
      </c>
      <c r="M2990" t="n">
        <v>15.31</v>
      </c>
      <c r="N2990" t="n">
        <v>4917.35</v>
      </c>
      <c r="O2990" t="n">
        <v>4.52</v>
      </c>
      <c r="P2990" t="n">
        <v>4</v>
      </c>
      <c r="Q2990" t="n">
        <v>1</v>
      </c>
      <c r="R2990" t="n">
        <v>2023.4</v>
      </c>
      <c r="S2990" t="b">
        <v>0</v>
      </c>
      <c r="T2990" t="n">
        <v>1749604</v>
      </c>
      <c r="U2990" t="n">
        <v>9</v>
      </c>
      <c r="V2990" t="n">
        <v>0.08019999999999999</v>
      </c>
      <c r="W2990" t="n">
        <v>1.86</v>
      </c>
      <c r="X2990" t="n">
        <v>85.16</v>
      </c>
      <c r="Y2990">
        <f>VLOOKUP(D2990,$AB$2:$AC$7,2,FALSE)</f>
        <v/>
      </c>
      <c r="Z2990">
        <f>IF(A2990&lt;Y2990,"Yes","No")</f>
        <v/>
      </c>
    </row>
    <row r="2991">
      <c r="A2991" t="n">
        <v>2019</v>
      </c>
      <c r="B2991" t="inlineStr">
        <is>
          <t>Q1</t>
        </is>
      </c>
      <c r="C2991" t="inlineStr">
        <is>
          <t>South America</t>
        </is>
      </c>
      <c r="D2991" t="inlineStr">
        <is>
          <t>Model S</t>
        </is>
      </c>
      <c r="E2991" t="n">
        <v>2763</v>
      </c>
      <c r="F2991" t="n">
        <v>40417.94</v>
      </c>
      <c r="G2991" t="n">
        <v>34</v>
      </c>
      <c r="H2991" t="inlineStr">
        <is>
          <t>Performance</t>
        </is>
      </c>
      <c r="I2991" t="inlineStr">
        <is>
          <t>AWD</t>
        </is>
      </c>
      <c r="J2991" t="inlineStr">
        <is>
          <t>Green</t>
        </is>
      </c>
      <c r="K2991" t="n">
        <v>583</v>
      </c>
      <c r="L2991" t="n">
        <v>61</v>
      </c>
      <c r="M2991" t="n">
        <v>23.54</v>
      </c>
      <c r="N2991" t="n">
        <v>4370.21</v>
      </c>
      <c r="O2991" t="n">
        <v>3.82</v>
      </c>
      <c r="P2991" t="n">
        <v>8</v>
      </c>
      <c r="Q2991" t="n">
        <v>1</v>
      </c>
      <c r="R2991" t="n">
        <v>2023.2</v>
      </c>
      <c r="S2991" t="b">
        <v>0</v>
      </c>
      <c r="T2991" t="n">
        <v>2640533</v>
      </c>
      <c r="U2991" t="n">
        <v>8</v>
      </c>
      <c r="V2991" t="n">
        <v>0.0338</v>
      </c>
      <c r="W2991" t="n">
        <v>2.05</v>
      </c>
      <c r="X2991" t="n">
        <v>70.66</v>
      </c>
      <c r="Y2991">
        <f>VLOOKUP(D2991,$AB$2:$AC$7,2,FALSE)</f>
        <v/>
      </c>
      <c r="Z2991">
        <f>IF(A2991&lt;Y2991,"Yes","No")</f>
        <v/>
      </c>
    </row>
    <row r="2992">
      <c r="A2992" t="n">
        <v>2017</v>
      </c>
      <c r="B2992" t="inlineStr">
        <is>
          <t>Q4</t>
        </is>
      </c>
      <c r="C2992" t="inlineStr">
        <is>
          <t>Asia</t>
        </is>
      </c>
      <c r="D2992" t="inlineStr">
        <is>
          <t>Model 3</t>
        </is>
      </c>
      <c r="E2992" t="n">
        <v>595</v>
      </c>
      <c r="F2992" t="n">
        <v>40236.54</v>
      </c>
      <c r="G2992" t="n">
        <v>2</v>
      </c>
      <c r="H2992" t="inlineStr">
        <is>
          <t>Standard</t>
        </is>
      </c>
      <c r="I2992" t="inlineStr">
        <is>
          <t>RWD</t>
        </is>
      </c>
      <c r="J2992" t="inlineStr">
        <is>
          <t>Blue</t>
        </is>
      </c>
      <c r="K2992" t="n">
        <v>636</v>
      </c>
      <c r="L2992" t="n">
        <v>68</v>
      </c>
      <c r="M2992" t="n">
        <v>21.46</v>
      </c>
      <c r="N2992" t="n">
        <v>666.1799999999999</v>
      </c>
      <c r="O2992" t="n">
        <v>4.91</v>
      </c>
      <c r="P2992" t="n">
        <v>8</v>
      </c>
      <c r="Q2992" t="n">
        <v>2</v>
      </c>
      <c r="R2992" t="n">
        <v>2023.2</v>
      </c>
      <c r="S2992" t="b">
        <v>0</v>
      </c>
      <c r="T2992" t="n">
        <v>4490467</v>
      </c>
      <c r="U2992" t="n">
        <v>11</v>
      </c>
      <c r="V2992" t="n">
        <v>0.09660000000000001</v>
      </c>
      <c r="W2992" t="n">
        <v>0.85</v>
      </c>
      <c r="X2992" t="n">
        <v>71.19</v>
      </c>
      <c r="Y2992">
        <f>VLOOKUP(D2992,$AB$2:$AC$7,2,FALSE)</f>
        <v/>
      </c>
      <c r="Z2992">
        <f>IF(A2992&lt;Y2992,"Yes","No")</f>
        <v/>
      </c>
    </row>
    <row r="2993">
      <c r="A2993" t="n">
        <v>2014</v>
      </c>
      <c r="B2993" t="inlineStr">
        <is>
          <t>Q1</t>
        </is>
      </c>
      <c r="C2993" t="inlineStr">
        <is>
          <t>Australia</t>
        </is>
      </c>
      <c r="D2993" t="inlineStr">
        <is>
          <t>Model X</t>
        </is>
      </c>
      <c r="E2993" t="n">
        <v>1710</v>
      </c>
      <c r="F2993" t="n">
        <v>101454.06</v>
      </c>
      <c r="G2993" t="n">
        <v>52</v>
      </c>
      <c r="H2993" t="inlineStr">
        <is>
          <t>Long Range</t>
        </is>
      </c>
      <c r="I2993" t="inlineStr">
        <is>
          <t>RWD</t>
        </is>
      </c>
      <c r="J2993" t="inlineStr">
        <is>
          <t>White</t>
        </is>
      </c>
      <c r="K2993" t="n">
        <v>581</v>
      </c>
      <c r="L2993" t="n">
        <v>46</v>
      </c>
      <c r="M2993" t="n">
        <v>13.12</v>
      </c>
      <c r="N2993" t="n">
        <v>3135.83</v>
      </c>
      <c r="O2993" t="n">
        <v>4.58</v>
      </c>
      <c r="P2993" t="n">
        <v>6</v>
      </c>
      <c r="Q2993" t="n">
        <v>3</v>
      </c>
      <c r="R2993" t="n">
        <v>2023.9</v>
      </c>
      <c r="S2993" t="b">
        <v>0</v>
      </c>
      <c r="T2993" t="n">
        <v>4945609</v>
      </c>
      <c r="U2993" t="n">
        <v>4</v>
      </c>
      <c r="V2993" t="n">
        <v>0.05</v>
      </c>
      <c r="W2993" t="n">
        <v>0.82</v>
      </c>
      <c r="X2993" t="n">
        <v>67.68000000000001</v>
      </c>
      <c r="Y2993">
        <f>VLOOKUP(D2993,$AB$2:$AC$7,2,FALSE)</f>
        <v/>
      </c>
      <c r="Z2993">
        <f>IF(A2993&lt;Y2993,"Yes","No")</f>
        <v/>
      </c>
    </row>
    <row r="2994">
      <c r="A2994" t="n">
        <v>2024</v>
      </c>
      <c r="B2994" t="inlineStr">
        <is>
          <t>Q2</t>
        </is>
      </c>
      <c r="C2994" t="inlineStr">
        <is>
          <t>South America</t>
        </is>
      </c>
      <c r="D2994" t="inlineStr">
        <is>
          <t>Model 3</t>
        </is>
      </c>
      <c r="E2994" t="n">
        <v>1270</v>
      </c>
      <c r="F2994" t="n">
        <v>58322.48</v>
      </c>
      <c r="G2994" t="n">
        <v>52</v>
      </c>
      <c r="H2994" t="inlineStr">
        <is>
          <t>Standard</t>
        </is>
      </c>
      <c r="I2994" t="inlineStr">
        <is>
          <t>AWD</t>
        </is>
      </c>
      <c r="J2994" t="inlineStr">
        <is>
          <t>Red</t>
        </is>
      </c>
      <c r="K2994" t="n">
        <v>616</v>
      </c>
      <c r="L2994" t="n">
        <v>77</v>
      </c>
      <c r="M2994" t="n">
        <v>20</v>
      </c>
      <c r="N2994" t="n">
        <v>3026.86</v>
      </c>
      <c r="O2994" t="n">
        <v>3.61</v>
      </c>
      <c r="P2994" t="n">
        <v>5</v>
      </c>
      <c r="Q2994" t="n">
        <v>2</v>
      </c>
      <c r="R2994" t="n">
        <v>2021.1</v>
      </c>
      <c r="S2994" t="b">
        <v>0</v>
      </c>
      <c r="T2994" t="n">
        <v>982317</v>
      </c>
      <c r="U2994" t="n">
        <v>7</v>
      </c>
      <c r="V2994" t="n">
        <v>0.0985</v>
      </c>
      <c r="W2994" t="n">
        <v>0.71</v>
      </c>
      <c r="X2994" t="n">
        <v>64.45999999999999</v>
      </c>
      <c r="Y2994">
        <f>VLOOKUP(D2994,$AB$2:$AC$7,2,FALSE)</f>
        <v/>
      </c>
      <c r="Z2994">
        <f>IF(A2994&lt;Y2994,"Yes","No")</f>
        <v/>
      </c>
    </row>
    <row r="2995">
      <c r="A2995" t="n">
        <v>2022</v>
      </c>
      <c r="B2995" t="inlineStr">
        <is>
          <t>Q2</t>
        </is>
      </c>
      <c r="C2995" t="inlineStr">
        <is>
          <t>South America</t>
        </is>
      </c>
      <c r="D2995" t="inlineStr">
        <is>
          <t>Model X</t>
        </is>
      </c>
      <c r="E2995" t="n">
        <v>1001</v>
      </c>
      <c r="F2995" t="n">
        <v>61231.17</v>
      </c>
      <c r="G2995" t="n">
        <v>8</v>
      </c>
      <c r="H2995" t="inlineStr">
        <is>
          <t>Performance</t>
        </is>
      </c>
      <c r="I2995" t="inlineStr">
        <is>
          <t>AWD</t>
        </is>
      </c>
      <c r="J2995" t="inlineStr">
        <is>
          <t>Red</t>
        </is>
      </c>
      <c r="K2995" t="n">
        <v>641</v>
      </c>
      <c r="L2995" t="n">
        <v>49</v>
      </c>
      <c r="M2995" t="n">
        <v>13.49</v>
      </c>
      <c r="N2995" t="n">
        <v>1385.07</v>
      </c>
      <c r="O2995" t="n">
        <v>4.22</v>
      </c>
      <c r="P2995" t="n">
        <v>6</v>
      </c>
      <c r="Q2995" t="n">
        <v>0</v>
      </c>
      <c r="R2995" t="n">
        <v>2024.3</v>
      </c>
      <c r="S2995" t="b">
        <v>1</v>
      </c>
      <c r="T2995" t="n">
        <v>1278491</v>
      </c>
      <c r="U2995" t="n">
        <v>6</v>
      </c>
      <c r="V2995" t="n">
        <v>0.061</v>
      </c>
      <c r="W2995" t="n">
        <v>2.14</v>
      </c>
      <c r="X2995" t="n">
        <v>63.35</v>
      </c>
      <c r="Y2995">
        <f>VLOOKUP(D2995,$AB$2:$AC$7,2,FALSE)</f>
        <v/>
      </c>
      <c r="Z2995">
        <f>IF(A2995&lt;Y2995,"Yes","No")</f>
        <v/>
      </c>
    </row>
    <row r="2996">
      <c r="A2996" t="n">
        <v>2021</v>
      </c>
      <c r="B2996" t="inlineStr">
        <is>
          <t>Q4</t>
        </is>
      </c>
      <c r="C2996" t="inlineStr">
        <is>
          <t>Australia</t>
        </is>
      </c>
      <c r="D2996" t="inlineStr">
        <is>
          <t>Model S</t>
        </is>
      </c>
      <c r="E2996" t="n">
        <v>1501</v>
      </c>
      <c r="F2996" t="n">
        <v>110404.26</v>
      </c>
      <c r="G2996" t="n">
        <v>39</v>
      </c>
      <c r="H2996" t="inlineStr">
        <is>
          <t>Standard</t>
        </is>
      </c>
      <c r="I2996" t="inlineStr">
        <is>
          <t>AWD</t>
        </is>
      </c>
      <c r="J2996" t="inlineStr">
        <is>
          <t>Blue</t>
        </is>
      </c>
      <c r="K2996" t="n">
        <v>645</v>
      </c>
      <c r="L2996" t="n">
        <v>85</v>
      </c>
      <c r="M2996" t="n">
        <v>20.31</v>
      </c>
      <c r="N2996" t="n">
        <v>3136.13</v>
      </c>
      <c r="O2996" t="n">
        <v>4.58</v>
      </c>
      <c r="P2996" t="n">
        <v>8</v>
      </c>
      <c r="Q2996" t="n">
        <v>3</v>
      </c>
      <c r="R2996" t="n">
        <v>2023.3</v>
      </c>
      <c r="S2996" t="b">
        <v>0</v>
      </c>
      <c r="T2996" t="n">
        <v>2389647</v>
      </c>
      <c r="U2996" t="n">
        <v>8</v>
      </c>
      <c r="V2996" t="n">
        <v>0.0497</v>
      </c>
      <c r="W2996" t="n">
        <v>0.92</v>
      </c>
      <c r="X2996" t="n">
        <v>60.06</v>
      </c>
      <c r="Y2996">
        <f>VLOOKUP(D2996,$AB$2:$AC$7,2,FALSE)</f>
        <v/>
      </c>
      <c r="Z2996">
        <f>IF(A2996&lt;Y2996,"Yes","No")</f>
        <v/>
      </c>
    </row>
    <row r="2997">
      <c r="A2997" t="n">
        <v>2019</v>
      </c>
      <c r="B2997" t="inlineStr">
        <is>
          <t>Q2</t>
        </is>
      </c>
      <c r="C2997" t="inlineStr">
        <is>
          <t>North America</t>
        </is>
      </c>
      <c r="D2997" t="inlineStr">
        <is>
          <t>Semi</t>
        </is>
      </c>
      <c r="E2997" t="n">
        <v>4028</v>
      </c>
      <c r="F2997" t="n">
        <v>106673.05</v>
      </c>
      <c r="G2997" t="n">
        <v>11</v>
      </c>
      <c r="H2997" t="inlineStr">
        <is>
          <t>Standard</t>
        </is>
      </c>
      <c r="I2997" t="inlineStr">
        <is>
          <t>AWD</t>
        </is>
      </c>
      <c r="J2997" t="inlineStr">
        <is>
          <t>Blue</t>
        </is>
      </c>
      <c r="K2997" t="n">
        <v>659</v>
      </c>
      <c r="L2997" t="n">
        <v>80</v>
      </c>
      <c r="M2997" t="n">
        <v>13.34</v>
      </c>
      <c r="N2997" t="n">
        <v>8488.76</v>
      </c>
      <c r="O2997" t="n">
        <v>4.11</v>
      </c>
      <c r="P2997" t="n">
        <v>6</v>
      </c>
      <c r="Q2997" t="n">
        <v>3</v>
      </c>
      <c r="R2997" t="n">
        <v>2022.3</v>
      </c>
      <c r="S2997" t="b">
        <v>0</v>
      </c>
      <c r="T2997" t="n">
        <v>2180303</v>
      </c>
      <c r="U2997" t="n">
        <v>6</v>
      </c>
      <c r="V2997" t="n">
        <v>0.0429</v>
      </c>
      <c r="W2997" t="n">
        <v>1.38</v>
      </c>
      <c r="X2997" t="n">
        <v>71.61</v>
      </c>
      <c r="Y2997">
        <f>VLOOKUP(D2997,$AB$2:$AC$7,2,FALSE)</f>
        <v/>
      </c>
      <c r="Z2997">
        <f>IF(A2997&lt;Y2997,"Yes","No")</f>
        <v/>
      </c>
    </row>
    <row r="2998">
      <c r="A2998" t="n">
        <v>2022</v>
      </c>
      <c r="B2998" t="inlineStr">
        <is>
          <t>Q3</t>
        </is>
      </c>
      <c r="C2998" t="inlineStr">
        <is>
          <t>South America</t>
        </is>
      </c>
      <c r="D2998" t="inlineStr">
        <is>
          <t>Semi</t>
        </is>
      </c>
      <c r="E2998" t="n">
        <v>3810</v>
      </c>
      <c r="F2998" t="n">
        <v>51395.41</v>
      </c>
      <c r="G2998" t="n">
        <v>5</v>
      </c>
      <c r="H2998" t="inlineStr">
        <is>
          <t>Standard</t>
        </is>
      </c>
      <c r="I2998" t="inlineStr">
        <is>
          <t>AWD</t>
        </is>
      </c>
      <c r="J2998" t="inlineStr">
        <is>
          <t>White</t>
        </is>
      </c>
      <c r="K2998" t="n">
        <v>497</v>
      </c>
      <c r="L2998" t="n">
        <v>76</v>
      </c>
      <c r="M2998" t="n">
        <v>20.34</v>
      </c>
      <c r="N2998" t="n">
        <v>4293.91</v>
      </c>
      <c r="O2998" t="n">
        <v>4.07</v>
      </c>
      <c r="P2998" t="n">
        <v>6</v>
      </c>
      <c r="Q2998" t="n">
        <v>2</v>
      </c>
      <c r="R2998" t="n">
        <v>2023.5</v>
      </c>
      <c r="S2998" t="b">
        <v>0</v>
      </c>
      <c r="T2998" t="n">
        <v>1982328</v>
      </c>
      <c r="U2998" t="n">
        <v>3</v>
      </c>
      <c r="V2998" t="n">
        <v>0.0285</v>
      </c>
      <c r="W2998" t="n">
        <v>2.32</v>
      </c>
      <c r="X2998" t="n">
        <v>63.31</v>
      </c>
      <c r="Y2998">
        <f>VLOOKUP(D2998,$AB$2:$AC$7,2,FALSE)</f>
        <v/>
      </c>
      <c r="Z2998">
        <f>IF(A2998&lt;Y2998,"Yes","No")</f>
        <v/>
      </c>
    </row>
    <row r="2999">
      <c r="A2999" t="n">
        <v>2023</v>
      </c>
      <c r="B2999" t="inlineStr">
        <is>
          <t>Q3</t>
        </is>
      </c>
      <c r="C2999" t="inlineStr">
        <is>
          <t>Australia</t>
        </is>
      </c>
      <c r="D2999" t="inlineStr">
        <is>
          <t>Model S</t>
        </is>
      </c>
      <c r="E2999" t="n">
        <v>1712</v>
      </c>
      <c r="F2999" t="n">
        <v>70695.19</v>
      </c>
      <c r="G2999" t="n">
        <v>11</v>
      </c>
      <c r="H2999" t="inlineStr">
        <is>
          <t>Standard</t>
        </is>
      </c>
      <c r="I2999" t="inlineStr">
        <is>
          <t>AWD</t>
        </is>
      </c>
      <c r="J2999" t="inlineStr">
        <is>
          <t>Green</t>
        </is>
      </c>
      <c r="K2999" t="n">
        <v>424</v>
      </c>
      <c r="L2999" t="n">
        <v>69</v>
      </c>
      <c r="M2999" t="n">
        <v>21.53</v>
      </c>
      <c r="N2999" t="n">
        <v>3281.81</v>
      </c>
      <c r="O2999" t="n">
        <v>4.97</v>
      </c>
      <c r="P2999" t="n">
        <v>4</v>
      </c>
      <c r="Q2999" t="n">
        <v>2</v>
      </c>
      <c r="R2999" t="n">
        <v>2023.11</v>
      </c>
      <c r="S2999" t="b">
        <v>0</v>
      </c>
      <c r="T2999" t="n">
        <v>2594735</v>
      </c>
      <c r="U2999" t="n">
        <v>2</v>
      </c>
      <c r="V2999" t="n">
        <v>0.0523</v>
      </c>
      <c r="W2999" t="n">
        <v>1.08</v>
      </c>
      <c r="X2999" t="n">
        <v>83.3</v>
      </c>
      <c r="Y2999">
        <f>VLOOKUP(D2999,$AB$2:$AC$7,2,FALSE)</f>
        <v/>
      </c>
      <c r="Z2999">
        <f>IF(A2999&lt;Y2999,"Yes","No")</f>
        <v/>
      </c>
    </row>
    <row r="3000">
      <c r="A3000" t="n">
        <v>2012</v>
      </c>
      <c r="B3000" t="inlineStr">
        <is>
          <t>Q1</t>
        </is>
      </c>
      <c r="C3000" t="inlineStr">
        <is>
          <t>South America</t>
        </is>
      </c>
      <c r="D3000" t="inlineStr">
        <is>
          <t>Model Y</t>
        </is>
      </c>
      <c r="E3000" t="n">
        <v>4008</v>
      </c>
      <c r="F3000" t="n">
        <v>43699.64</v>
      </c>
      <c r="G3000" t="n">
        <v>59</v>
      </c>
      <c r="H3000" t="inlineStr">
        <is>
          <t>Long Range</t>
        </is>
      </c>
      <c r="I3000" t="inlineStr">
        <is>
          <t>AWD</t>
        </is>
      </c>
      <c r="J3000" t="inlineStr">
        <is>
          <t>Silver</t>
        </is>
      </c>
      <c r="K3000" t="n">
        <v>480</v>
      </c>
      <c r="L3000" t="n">
        <v>65</v>
      </c>
      <c r="M3000" t="n">
        <v>13.98</v>
      </c>
      <c r="N3000" t="n">
        <v>9484.049999999999</v>
      </c>
      <c r="O3000" t="n">
        <v>4.98</v>
      </c>
      <c r="P3000" t="n">
        <v>8</v>
      </c>
      <c r="Q3000" t="n">
        <v>3</v>
      </c>
      <c r="R3000" t="n">
        <v>2020.2</v>
      </c>
      <c r="S3000" t="b">
        <v>0</v>
      </c>
      <c r="T3000" t="n">
        <v>1459995</v>
      </c>
      <c r="U3000" t="n">
        <v>9</v>
      </c>
      <c r="V3000" t="n">
        <v>0.0389</v>
      </c>
      <c r="W3000" t="n">
        <v>0.53</v>
      </c>
      <c r="X3000" t="n">
        <v>79.03</v>
      </c>
      <c r="Y3000">
        <f>VLOOKUP(D3000,$AB$2:$AC$7,2,FALSE)</f>
        <v/>
      </c>
      <c r="Z3000">
        <f>IF(A3000&lt;Y3000,"Yes","No")</f>
        <v/>
      </c>
    </row>
    <row r="3001">
      <c r="A3001" t="n">
        <v>2015</v>
      </c>
      <c r="B3001" t="inlineStr">
        <is>
          <t>Q4</t>
        </is>
      </c>
      <c r="C3001" t="inlineStr">
        <is>
          <t>North America</t>
        </is>
      </c>
      <c r="D3001" t="inlineStr">
        <is>
          <t>Model 3</t>
        </is>
      </c>
      <c r="E3001" t="n">
        <v>1584</v>
      </c>
      <c r="F3001" t="n">
        <v>38018.27</v>
      </c>
      <c r="G3001" t="n">
        <v>3</v>
      </c>
      <c r="H3001" t="inlineStr">
        <is>
          <t>Long Range</t>
        </is>
      </c>
      <c r="I3001" t="inlineStr">
        <is>
          <t>AWD</t>
        </is>
      </c>
      <c r="J3001" t="inlineStr">
        <is>
          <t>Black</t>
        </is>
      </c>
      <c r="K3001" t="n">
        <v>437</v>
      </c>
      <c r="L3001" t="n">
        <v>42</v>
      </c>
      <c r="M3001" t="n">
        <v>17.65</v>
      </c>
      <c r="N3001" t="n">
        <v>2828.07</v>
      </c>
      <c r="O3001" t="n">
        <v>4.97</v>
      </c>
      <c r="P3001" t="n">
        <v>8</v>
      </c>
      <c r="Q3001" t="n">
        <v>0</v>
      </c>
      <c r="R3001" t="n">
        <v>2020.2</v>
      </c>
      <c r="S3001" t="b">
        <v>1</v>
      </c>
      <c r="T3001" t="n">
        <v>320985</v>
      </c>
      <c r="U3001" t="n">
        <v>9</v>
      </c>
      <c r="V3001" t="n">
        <v>0.0306</v>
      </c>
      <c r="W3001" t="n">
        <v>1.34</v>
      </c>
      <c r="X3001" t="n">
        <v>62.7</v>
      </c>
      <c r="Y3001">
        <f>VLOOKUP(D3001,$AB$2:$AC$7,2,FALSE)</f>
        <v/>
      </c>
      <c r="Z3001">
        <f>IF(A3001&lt;Y3001,"Yes","No")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1"/>
  <sheetViews>
    <sheetView workbookViewId="0">
      <selection activeCell="A1" sqref="A1"/>
    </sheetView>
  </sheetViews>
  <sheetFormatPr baseColWidth="8" defaultRowHeight="15"/>
  <cols>
    <col width="32" customWidth="1" min="2" max="2"/>
    <col width="18" customWidth="1" min="3" max="3"/>
  </cols>
  <sheetData>
    <row r="2">
      <c r="B2" s="5" t="inlineStr">
        <is>
          <t>KPI SUMMARY</t>
        </is>
      </c>
    </row>
    <row r="3">
      <c r="B3" s="2" t="inlineStr">
        <is>
          <t>All values are simple formulas referencing the Raw Data sheet.</t>
        </is>
      </c>
    </row>
    <row r="5">
      <c r="B5" s="4" t="inlineStr">
        <is>
          <t>Metric</t>
        </is>
      </c>
      <c r="C5" s="4" t="inlineStr">
        <is>
          <t>Value</t>
        </is>
      </c>
    </row>
    <row r="6">
      <c r="B6" t="inlineStr">
        <is>
          <t>Total Units Delivered</t>
        </is>
      </c>
      <c r="C6">
        <f>SUM('Raw Data'!E2:E3001)</f>
        <v/>
      </c>
    </row>
    <row r="7">
      <c r="B7" t="inlineStr">
        <is>
          <t>Average Price (USD)</t>
        </is>
      </c>
      <c r="C7">
        <f>AVERAGE('Raw Data'!F2:F3001)</f>
        <v/>
      </c>
    </row>
    <row r="8">
      <c r="B8" t="inlineStr">
        <is>
          <t>Average Customer Rating</t>
        </is>
      </c>
      <c r="C8">
        <f>AVERAGE('Raw Data'!O2:O3001)</f>
        <v/>
      </c>
    </row>
    <row r="9">
      <c r="B9" t="inlineStr">
        <is>
          <t>Average Production Delay (Days)</t>
        </is>
      </c>
      <c r="C9">
        <f>AVERAGE('Raw Data'!G2:G3001)</f>
        <v/>
      </c>
    </row>
    <row r="10">
      <c r="B10" t="inlineStr">
        <is>
          <t>Total Rows in Dataset</t>
        </is>
      </c>
      <c r="C10">
        <f>COUNTA('Raw Data'!A2:A3001)</f>
        <v/>
      </c>
    </row>
    <row r="11">
      <c r="B11" t="inlineStr">
        <is>
          <t>Year Range</t>
        </is>
      </c>
      <c r="C11">
        <f>MIN('Raw Data'!A2:A3001)&amp;"-"&amp;MAX('Raw Data'!A2:A3001)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12"/>
  <sheetViews>
    <sheetView workbookViewId="0">
      <selection activeCell="A1" sqref="A1"/>
    </sheetView>
  </sheetViews>
  <sheetFormatPr baseColWidth="8" defaultRowHeight="15"/>
  <cols>
    <col width="16" customWidth="1" min="2" max="2"/>
    <col width="22" customWidth="1" min="3" max="3"/>
    <col width="20" customWidth="1" min="4" max="4"/>
  </cols>
  <sheetData>
    <row r="2">
      <c r="B2" s="5" t="inlineStr">
        <is>
          <t>MODEL ANALYSIS -- Level 2 Q1: Top 3 models by delivery volume</t>
        </is>
      </c>
    </row>
    <row r="4">
      <c r="B4" s="4" t="inlineStr">
        <is>
          <t>Model</t>
        </is>
      </c>
      <c r="C4" s="4" t="inlineStr">
        <is>
          <t>Total Units Delivered</t>
        </is>
      </c>
      <c r="D4" s="4" t="inlineStr">
        <is>
          <t>% of All Deliveries</t>
        </is>
      </c>
    </row>
    <row r="5">
      <c r="B5" t="inlineStr">
        <is>
          <t>Model X</t>
        </is>
      </c>
      <c r="C5">
        <f>SUMIF('Raw Data'!D:D,B5,'Raw Data'!E:E)</f>
        <v/>
      </c>
      <c r="D5" s="6">
        <f>C5/SUM($C$5:$C$10)</f>
        <v/>
      </c>
    </row>
    <row r="6">
      <c r="B6" t="inlineStr">
        <is>
          <t>Semi</t>
        </is>
      </c>
      <c r="C6">
        <f>SUMIF('Raw Data'!D:D,B6,'Raw Data'!E:E)</f>
        <v/>
      </c>
      <c r="D6" s="6">
        <f>C6/SUM($C$5:$C$10)</f>
        <v/>
      </c>
    </row>
    <row r="7">
      <c r="B7" t="inlineStr">
        <is>
          <t>Model S</t>
        </is>
      </c>
      <c r="C7">
        <f>SUMIF('Raw Data'!D:D,B7,'Raw Data'!E:E)</f>
        <v/>
      </c>
      <c r="D7" s="6">
        <f>C7/SUM($C$5:$C$10)</f>
        <v/>
      </c>
    </row>
    <row r="8">
      <c r="B8" t="inlineStr">
        <is>
          <t>Model 3</t>
        </is>
      </c>
      <c r="C8">
        <f>SUMIF('Raw Data'!D:D,B8,'Raw Data'!E:E)</f>
        <v/>
      </c>
      <c r="D8" s="6">
        <f>C8/SUM($C$5:$C$10)</f>
        <v/>
      </c>
    </row>
    <row r="9">
      <c r="B9" t="inlineStr">
        <is>
          <t>Cybertruck</t>
        </is>
      </c>
      <c r="C9">
        <f>SUMIF('Raw Data'!D:D,B9,'Raw Data'!E:E)</f>
        <v/>
      </c>
      <c r="D9" s="6">
        <f>C9/SUM($C$5:$C$10)</f>
        <v/>
      </c>
    </row>
    <row r="10">
      <c r="B10" t="inlineStr">
        <is>
          <t>Model Y</t>
        </is>
      </c>
      <c r="C10">
        <f>SUMIF('Raw Data'!D:D,B10,'Raw Data'!E:E)</f>
        <v/>
      </c>
      <c r="D10" s="6">
        <f>C10/SUM($C$5:$C$10)</f>
        <v/>
      </c>
    </row>
    <row r="12">
      <c r="B12" s="2" t="inlineStr">
        <is>
          <t>Rows are listed highest-to-lowest, so the top 3 are simply the first 3 rows above.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27"/>
  <sheetViews>
    <sheetView workbookViewId="0">
      <selection activeCell="A1" sqref="A1"/>
    </sheetView>
  </sheetViews>
  <sheetFormatPr baseColWidth="8" defaultRowHeight="15"/>
  <cols>
    <col width="16" customWidth="1" min="2" max="2"/>
    <col width="15" customWidth="1" min="3" max="3"/>
    <col width="15" customWidth="1" min="4" max="4"/>
    <col width="15" customWidth="1" min="5" max="5"/>
    <col width="15" customWidth="1" min="6" max="6"/>
    <col width="18" customWidth="1" min="7" max="7"/>
  </cols>
  <sheetData>
    <row r="2">
      <c r="B2" s="5" t="inlineStr">
        <is>
          <t>REGIONAL GROWTH -- Level 2 Q2 &amp; Level 3 Q3/Q4</t>
        </is>
      </c>
    </row>
    <row r="3">
      <c r="B3" s="2" t="inlineStr">
        <is>
          <t>Growth is measured simply: compare each region's first year in the data to its last year.</t>
        </is>
      </c>
    </row>
    <row r="5">
      <c r="B5" s="3" t="inlineStr">
        <is>
          <t>Total Units Delivered by Year x Region</t>
        </is>
      </c>
    </row>
    <row r="6">
      <c r="B6" s="4" t="inlineStr">
        <is>
          <t>Year</t>
        </is>
      </c>
      <c r="C6" s="4" t="inlineStr">
        <is>
          <t>Asia</t>
        </is>
      </c>
      <c r="D6" s="4" t="inlineStr">
        <is>
          <t>Australia</t>
        </is>
      </c>
      <c r="E6" s="4" t="inlineStr">
        <is>
          <t>Europe</t>
        </is>
      </c>
      <c r="F6" s="4" t="inlineStr">
        <is>
          <t>North America</t>
        </is>
      </c>
      <c r="G6" s="4" t="inlineStr">
        <is>
          <t>South America</t>
        </is>
      </c>
    </row>
    <row r="7">
      <c r="B7" t="n">
        <v>2012</v>
      </c>
      <c r="C7">
        <f>SUMIFS('Raw Data'!E:E,'Raw Data'!A:A,$B7,'Raw Data'!C:C,C$6)</f>
        <v/>
      </c>
      <c r="D7">
        <f>SUMIFS('Raw Data'!E:E,'Raw Data'!A:A,$B7,'Raw Data'!C:C,D$6)</f>
        <v/>
      </c>
      <c r="E7">
        <f>SUMIFS('Raw Data'!E:E,'Raw Data'!A:A,$B7,'Raw Data'!C:C,E$6)</f>
        <v/>
      </c>
      <c r="F7">
        <f>SUMIFS('Raw Data'!E:E,'Raw Data'!A:A,$B7,'Raw Data'!C:C,F$6)</f>
        <v/>
      </c>
      <c r="G7">
        <f>SUMIFS('Raw Data'!E:E,'Raw Data'!A:A,$B7,'Raw Data'!C:C,G$6)</f>
        <v/>
      </c>
    </row>
    <row r="8">
      <c r="B8" t="n">
        <v>2013</v>
      </c>
      <c r="C8">
        <f>SUMIFS('Raw Data'!E:E,'Raw Data'!A:A,$B8,'Raw Data'!C:C,C$6)</f>
        <v/>
      </c>
      <c r="D8">
        <f>SUMIFS('Raw Data'!E:E,'Raw Data'!A:A,$B8,'Raw Data'!C:C,D$6)</f>
        <v/>
      </c>
      <c r="E8">
        <f>SUMIFS('Raw Data'!E:E,'Raw Data'!A:A,$B8,'Raw Data'!C:C,E$6)</f>
        <v/>
      </c>
      <c r="F8">
        <f>SUMIFS('Raw Data'!E:E,'Raw Data'!A:A,$B8,'Raw Data'!C:C,F$6)</f>
        <v/>
      </c>
      <c r="G8">
        <f>SUMIFS('Raw Data'!E:E,'Raw Data'!A:A,$B8,'Raw Data'!C:C,G$6)</f>
        <v/>
      </c>
    </row>
    <row r="9">
      <c r="B9" t="n">
        <v>2014</v>
      </c>
      <c r="C9">
        <f>SUMIFS('Raw Data'!E:E,'Raw Data'!A:A,$B9,'Raw Data'!C:C,C$6)</f>
        <v/>
      </c>
      <c r="D9">
        <f>SUMIFS('Raw Data'!E:E,'Raw Data'!A:A,$B9,'Raw Data'!C:C,D$6)</f>
        <v/>
      </c>
      <c r="E9">
        <f>SUMIFS('Raw Data'!E:E,'Raw Data'!A:A,$B9,'Raw Data'!C:C,E$6)</f>
        <v/>
      </c>
      <c r="F9">
        <f>SUMIFS('Raw Data'!E:E,'Raw Data'!A:A,$B9,'Raw Data'!C:C,F$6)</f>
        <v/>
      </c>
      <c r="G9">
        <f>SUMIFS('Raw Data'!E:E,'Raw Data'!A:A,$B9,'Raw Data'!C:C,G$6)</f>
        <v/>
      </c>
    </row>
    <row r="10">
      <c r="B10" t="n">
        <v>2015</v>
      </c>
      <c r="C10">
        <f>SUMIFS('Raw Data'!E:E,'Raw Data'!A:A,$B10,'Raw Data'!C:C,C$6)</f>
        <v/>
      </c>
      <c r="D10">
        <f>SUMIFS('Raw Data'!E:E,'Raw Data'!A:A,$B10,'Raw Data'!C:C,D$6)</f>
        <v/>
      </c>
      <c r="E10">
        <f>SUMIFS('Raw Data'!E:E,'Raw Data'!A:A,$B10,'Raw Data'!C:C,E$6)</f>
        <v/>
      </c>
      <c r="F10">
        <f>SUMIFS('Raw Data'!E:E,'Raw Data'!A:A,$B10,'Raw Data'!C:C,F$6)</f>
        <v/>
      </c>
      <c r="G10">
        <f>SUMIFS('Raw Data'!E:E,'Raw Data'!A:A,$B10,'Raw Data'!C:C,G$6)</f>
        <v/>
      </c>
    </row>
    <row r="11">
      <c r="B11" t="n">
        <v>2016</v>
      </c>
      <c r="C11">
        <f>SUMIFS('Raw Data'!E:E,'Raw Data'!A:A,$B11,'Raw Data'!C:C,C$6)</f>
        <v/>
      </c>
      <c r="D11">
        <f>SUMIFS('Raw Data'!E:E,'Raw Data'!A:A,$B11,'Raw Data'!C:C,D$6)</f>
        <v/>
      </c>
      <c r="E11">
        <f>SUMIFS('Raw Data'!E:E,'Raw Data'!A:A,$B11,'Raw Data'!C:C,E$6)</f>
        <v/>
      </c>
      <c r="F11">
        <f>SUMIFS('Raw Data'!E:E,'Raw Data'!A:A,$B11,'Raw Data'!C:C,F$6)</f>
        <v/>
      </c>
      <c r="G11">
        <f>SUMIFS('Raw Data'!E:E,'Raw Data'!A:A,$B11,'Raw Data'!C:C,G$6)</f>
        <v/>
      </c>
    </row>
    <row r="12">
      <c r="B12" t="n">
        <v>2017</v>
      </c>
      <c r="C12">
        <f>SUMIFS('Raw Data'!E:E,'Raw Data'!A:A,$B12,'Raw Data'!C:C,C$6)</f>
        <v/>
      </c>
      <c r="D12">
        <f>SUMIFS('Raw Data'!E:E,'Raw Data'!A:A,$B12,'Raw Data'!C:C,D$6)</f>
        <v/>
      </c>
      <c r="E12">
        <f>SUMIFS('Raw Data'!E:E,'Raw Data'!A:A,$B12,'Raw Data'!C:C,E$6)</f>
        <v/>
      </c>
      <c r="F12">
        <f>SUMIFS('Raw Data'!E:E,'Raw Data'!A:A,$B12,'Raw Data'!C:C,F$6)</f>
        <v/>
      </c>
      <c r="G12">
        <f>SUMIFS('Raw Data'!E:E,'Raw Data'!A:A,$B12,'Raw Data'!C:C,G$6)</f>
        <v/>
      </c>
    </row>
    <row r="13">
      <c r="B13" t="n">
        <v>2018</v>
      </c>
      <c r="C13">
        <f>SUMIFS('Raw Data'!E:E,'Raw Data'!A:A,$B13,'Raw Data'!C:C,C$6)</f>
        <v/>
      </c>
      <c r="D13">
        <f>SUMIFS('Raw Data'!E:E,'Raw Data'!A:A,$B13,'Raw Data'!C:C,D$6)</f>
        <v/>
      </c>
      <c r="E13">
        <f>SUMIFS('Raw Data'!E:E,'Raw Data'!A:A,$B13,'Raw Data'!C:C,E$6)</f>
        <v/>
      </c>
      <c r="F13">
        <f>SUMIFS('Raw Data'!E:E,'Raw Data'!A:A,$B13,'Raw Data'!C:C,F$6)</f>
        <v/>
      </c>
      <c r="G13">
        <f>SUMIFS('Raw Data'!E:E,'Raw Data'!A:A,$B13,'Raw Data'!C:C,G$6)</f>
        <v/>
      </c>
    </row>
    <row r="14">
      <c r="B14" t="n">
        <v>2019</v>
      </c>
      <c r="C14">
        <f>SUMIFS('Raw Data'!E:E,'Raw Data'!A:A,$B14,'Raw Data'!C:C,C$6)</f>
        <v/>
      </c>
      <c r="D14">
        <f>SUMIFS('Raw Data'!E:E,'Raw Data'!A:A,$B14,'Raw Data'!C:C,D$6)</f>
        <v/>
      </c>
      <c r="E14">
        <f>SUMIFS('Raw Data'!E:E,'Raw Data'!A:A,$B14,'Raw Data'!C:C,E$6)</f>
        <v/>
      </c>
      <c r="F14">
        <f>SUMIFS('Raw Data'!E:E,'Raw Data'!A:A,$B14,'Raw Data'!C:C,F$6)</f>
        <v/>
      </c>
      <c r="G14">
        <f>SUMIFS('Raw Data'!E:E,'Raw Data'!A:A,$B14,'Raw Data'!C:C,G$6)</f>
        <v/>
      </c>
    </row>
    <row r="15">
      <c r="B15" t="n">
        <v>2020</v>
      </c>
      <c r="C15">
        <f>SUMIFS('Raw Data'!E:E,'Raw Data'!A:A,$B15,'Raw Data'!C:C,C$6)</f>
        <v/>
      </c>
      <c r="D15">
        <f>SUMIFS('Raw Data'!E:E,'Raw Data'!A:A,$B15,'Raw Data'!C:C,D$6)</f>
        <v/>
      </c>
      <c r="E15">
        <f>SUMIFS('Raw Data'!E:E,'Raw Data'!A:A,$B15,'Raw Data'!C:C,E$6)</f>
        <v/>
      </c>
      <c r="F15">
        <f>SUMIFS('Raw Data'!E:E,'Raw Data'!A:A,$B15,'Raw Data'!C:C,F$6)</f>
        <v/>
      </c>
      <c r="G15">
        <f>SUMIFS('Raw Data'!E:E,'Raw Data'!A:A,$B15,'Raw Data'!C:C,G$6)</f>
        <v/>
      </c>
    </row>
    <row r="16">
      <c r="B16" t="n">
        <v>2021</v>
      </c>
      <c r="C16">
        <f>SUMIFS('Raw Data'!E:E,'Raw Data'!A:A,$B16,'Raw Data'!C:C,C$6)</f>
        <v/>
      </c>
      <c r="D16">
        <f>SUMIFS('Raw Data'!E:E,'Raw Data'!A:A,$B16,'Raw Data'!C:C,D$6)</f>
        <v/>
      </c>
      <c r="E16">
        <f>SUMIFS('Raw Data'!E:E,'Raw Data'!A:A,$B16,'Raw Data'!C:C,E$6)</f>
        <v/>
      </c>
      <c r="F16">
        <f>SUMIFS('Raw Data'!E:E,'Raw Data'!A:A,$B16,'Raw Data'!C:C,F$6)</f>
        <v/>
      </c>
      <c r="G16">
        <f>SUMIFS('Raw Data'!E:E,'Raw Data'!A:A,$B16,'Raw Data'!C:C,G$6)</f>
        <v/>
      </c>
    </row>
    <row r="17">
      <c r="B17" t="n">
        <v>2022</v>
      </c>
      <c r="C17">
        <f>SUMIFS('Raw Data'!E:E,'Raw Data'!A:A,$B17,'Raw Data'!C:C,C$6)</f>
        <v/>
      </c>
      <c r="D17">
        <f>SUMIFS('Raw Data'!E:E,'Raw Data'!A:A,$B17,'Raw Data'!C:C,D$6)</f>
        <v/>
      </c>
      <c r="E17">
        <f>SUMIFS('Raw Data'!E:E,'Raw Data'!A:A,$B17,'Raw Data'!C:C,E$6)</f>
        <v/>
      </c>
      <c r="F17">
        <f>SUMIFS('Raw Data'!E:E,'Raw Data'!A:A,$B17,'Raw Data'!C:C,F$6)</f>
        <v/>
      </c>
      <c r="G17">
        <f>SUMIFS('Raw Data'!E:E,'Raw Data'!A:A,$B17,'Raw Data'!C:C,G$6)</f>
        <v/>
      </c>
    </row>
    <row r="18">
      <c r="B18" t="n">
        <v>2023</v>
      </c>
      <c r="C18">
        <f>SUMIFS('Raw Data'!E:E,'Raw Data'!A:A,$B18,'Raw Data'!C:C,C$6)</f>
        <v/>
      </c>
      <c r="D18">
        <f>SUMIFS('Raw Data'!E:E,'Raw Data'!A:A,$B18,'Raw Data'!C:C,D$6)</f>
        <v/>
      </c>
      <c r="E18">
        <f>SUMIFS('Raw Data'!E:E,'Raw Data'!A:A,$B18,'Raw Data'!C:C,E$6)</f>
        <v/>
      </c>
      <c r="F18">
        <f>SUMIFS('Raw Data'!E:E,'Raw Data'!A:A,$B18,'Raw Data'!C:C,F$6)</f>
        <v/>
      </c>
      <c r="G18">
        <f>SUMIFS('Raw Data'!E:E,'Raw Data'!A:A,$B18,'Raw Data'!C:C,G$6)</f>
        <v/>
      </c>
    </row>
    <row r="19">
      <c r="B19" t="n">
        <v>2024</v>
      </c>
      <c r="C19">
        <f>SUMIFS('Raw Data'!E:E,'Raw Data'!A:A,$B19,'Raw Data'!C:C,C$6)</f>
        <v/>
      </c>
      <c r="D19">
        <f>SUMIFS('Raw Data'!E:E,'Raw Data'!A:A,$B19,'Raw Data'!C:C,D$6)</f>
        <v/>
      </c>
      <c r="E19">
        <f>SUMIFS('Raw Data'!E:E,'Raw Data'!A:A,$B19,'Raw Data'!C:C,E$6)</f>
        <v/>
      </c>
      <c r="F19">
        <f>SUMIFS('Raw Data'!E:E,'Raw Data'!A:A,$B19,'Raw Data'!C:C,F$6)</f>
        <v/>
      </c>
      <c r="G19">
        <f>SUMIFS('Raw Data'!E:E,'Raw Data'!A:A,$B19,'Raw Data'!C:C,G$6)</f>
        <v/>
      </c>
    </row>
    <row r="21">
      <c r="B21" s="3" t="inlineStr">
        <is>
          <t>Region Summary &amp; Recommendation</t>
        </is>
      </c>
    </row>
    <row r="22">
      <c r="B22" s="4" t="inlineStr">
        <is>
          <t>Region</t>
        </is>
      </c>
      <c r="C22" s="4" t="inlineStr">
        <is>
          <t>2012 Deliveries</t>
        </is>
      </c>
      <c r="D22" s="4" t="inlineStr">
        <is>
          <t>2024 Deliveries</t>
        </is>
      </c>
      <c r="E22" s="4" t="inlineStr">
        <is>
          <t>Change (%)</t>
        </is>
      </c>
      <c r="F22" s="4" t="inlineStr">
        <is>
          <t>Avg Production Delay (Days)</t>
        </is>
      </c>
      <c r="G22" s="4" t="inlineStr">
        <is>
          <t>Recommendation</t>
        </is>
      </c>
    </row>
    <row r="23">
      <c r="B23" t="inlineStr">
        <is>
          <t>Asia</t>
        </is>
      </c>
      <c r="C23">
        <f>C7</f>
        <v/>
      </c>
      <c r="D23">
        <f>C19</f>
        <v/>
      </c>
      <c r="E23" s="6">
        <f>(D23-C23)/C23</f>
        <v/>
      </c>
      <c r="F23">
        <f>AVERAGEIF('Raw Data'!C:C,B23,'Raw Data'!G:G)</f>
        <v/>
      </c>
      <c r="G23">
        <f>IF(AND(E23&gt;AVERAGE($E$23:$E$27),F23&lt;AVERAGE($F$23:$F$27)),"EXPAND",IF(AND(E23&gt;AVERAGE($E$23:$E$27),F23&gt;AVERAGE($F$23:$F$27)),"FIX SUPPLY CHAIN",IF(AND(E23&lt;AVERAGE($E$23:$E$27),F23&gt;AVERAGE($F$23:$F$27)),"AT RISK","MONITOR")))</f>
        <v/>
      </c>
    </row>
    <row r="24">
      <c r="B24" t="inlineStr">
        <is>
          <t>Australia</t>
        </is>
      </c>
      <c r="C24">
        <f>D7</f>
        <v/>
      </c>
      <c r="D24">
        <f>D19</f>
        <v/>
      </c>
      <c r="E24" s="6">
        <f>(D24-C24)/C24</f>
        <v/>
      </c>
      <c r="F24">
        <f>AVERAGEIF('Raw Data'!C:C,B24,'Raw Data'!G:G)</f>
        <v/>
      </c>
      <c r="G24">
        <f>IF(AND(E24&gt;AVERAGE($E$23:$E$27),F24&lt;AVERAGE($F$23:$F$27)),"EXPAND",IF(AND(E24&gt;AVERAGE($E$23:$E$27),F24&gt;AVERAGE($F$23:$F$27)),"FIX SUPPLY CHAIN",IF(AND(E24&lt;AVERAGE($E$23:$E$27),F24&gt;AVERAGE($F$23:$F$27)),"AT RISK","MONITOR")))</f>
        <v/>
      </c>
    </row>
    <row r="25">
      <c r="B25" t="inlineStr">
        <is>
          <t>Europe</t>
        </is>
      </c>
      <c r="C25">
        <f>E7</f>
        <v/>
      </c>
      <c r="D25">
        <f>E19</f>
        <v/>
      </c>
      <c r="E25" s="6">
        <f>(D25-C25)/C25</f>
        <v/>
      </c>
      <c r="F25">
        <f>AVERAGEIF('Raw Data'!C:C,B25,'Raw Data'!G:G)</f>
        <v/>
      </c>
      <c r="G25">
        <f>IF(AND(E25&gt;AVERAGE($E$23:$E$27),F25&lt;AVERAGE($F$23:$F$27)),"EXPAND",IF(AND(E25&gt;AVERAGE($E$23:$E$27),F25&gt;AVERAGE($F$23:$F$27)),"FIX SUPPLY CHAIN",IF(AND(E25&lt;AVERAGE($E$23:$E$27),F25&gt;AVERAGE($F$23:$F$27)),"AT RISK","MONITOR")))</f>
        <v/>
      </c>
    </row>
    <row r="26">
      <c r="B26" t="inlineStr">
        <is>
          <t>North America</t>
        </is>
      </c>
      <c r="C26">
        <f>F7</f>
        <v/>
      </c>
      <c r="D26">
        <f>F19</f>
        <v/>
      </c>
      <c r="E26" s="6">
        <f>(D26-C26)/C26</f>
        <v/>
      </c>
      <c r="F26">
        <f>AVERAGEIF('Raw Data'!C:C,B26,'Raw Data'!G:G)</f>
        <v/>
      </c>
      <c r="G26">
        <f>IF(AND(E26&gt;AVERAGE($E$23:$E$27),F26&lt;AVERAGE($F$23:$F$27)),"EXPAND",IF(AND(E26&gt;AVERAGE($E$23:$E$27),F26&gt;AVERAGE($F$23:$F$27)),"FIX SUPPLY CHAIN",IF(AND(E26&lt;AVERAGE($E$23:$E$27),F26&gt;AVERAGE($F$23:$F$27)),"AT RISK","MONITOR")))</f>
        <v/>
      </c>
    </row>
    <row r="27">
      <c r="B27" t="inlineStr">
        <is>
          <t>South America</t>
        </is>
      </c>
      <c r="C27">
        <f>G7</f>
        <v/>
      </c>
      <c r="D27">
        <f>G19</f>
        <v/>
      </c>
      <c r="E27" s="6">
        <f>(D27-C27)/C27</f>
        <v/>
      </c>
      <c r="F27">
        <f>AVERAGEIF('Raw Data'!C:C,B27,'Raw Data'!G:G)</f>
        <v/>
      </c>
      <c r="G27">
        <f>IF(AND(E27&gt;AVERAGE($E$23:$E$27),F27&lt;AVERAGE($F$23:$F$27)),"EXPAND",IF(AND(E27&gt;AVERAGE($E$23:$E$27),F27&gt;AVERAGE($F$23:$F$27)),"FIX SUPPLY CHAIN",IF(AND(E27&lt;AVERAGE($E$23:$E$27),F27&gt;AVERAGE($F$23:$F$27)),"AT RISK","MONITOR")))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10"/>
  <sheetViews>
    <sheetView workbookViewId="0">
      <selection activeCell="A1" sqref="A1"/>
    </sheetView>
  </sheetViews>
  <sheetFormatPr baseColWidth="8" defaultRowHeight="15"/>
  <cols>
    <col width="42" customWidth="1" min="2" max="2"/>
    <col width="12" customWidth="1" min="3" max="3"/>
  </cols>
  <sheetData>
    <row r="2">
      <c r="B2" s="5" t="inlineStr">
        <is>
          <t>RANGE &amp; CORRELATIONS -- Level 2 Q3 &amp; Level 3 Q1</t>
        </is>
      </c>
    </row>
    <row r="4">
      <c r="B4" s="2" t="inlineStr">
        <is>
          <t>Correlation (Pearson r) -- values near 0 mean the two numbers do not move together</t>
        </is>
      </c>
    </row>
    <row r="5">
      <c r="B5" s="4" t="inlineStr">
        <is>
          <t>Relationship</t>
        </is>
      </c>
      <c r="C5" s="4" t="inlineStr">
        <is>
          <t>r</t>
        </is>
      </c>
    </row>
    <row r="6">
      <c r="B6" t="inlineStr">
        <is>
          <t>Range (KM) vs. Units Delivered</t>
        </is>
      </c>
      <c r="C6" s="7">
        <f>CORREL('Raw Data'!K2:K3001,'Raw Data'!E2:E3001)</f>
        <v/>
      </c>
    </row>
    <row r="7">
      <c r="B7" t="inlineStr">
        <is>
          <t>Efficiency (kWh/100km) vs. Units Delivered</t>
        </is>
      </c>
      <c r="C7" s="7">
        <f>CORREL('Raw Data'!M2:M3001,'Raw Data'!E2:E3001)</f>
        <v/>
      </c>
    </row>
    <row r="9">
      <c r="B9" t="inlineStr">
        <is>
          <t>Interpretation: |r| under ~0.1 means essentially no linear relationship at this sample size.</t>
        </is>
      </c>
    </row>
    <row r="10">
      <c r="B10" t="inlineStr">
        <is>
          <t>Range and efficiency, by themselves, do not predict how many units get delivered.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32"/>
  <sheetViews>
    <sheetView workbookViewId="0">
      <selection activeCell="A1" sqref="A1"/>
    </sheetView>
  </sheetViews>
  <sheetFormatPr baseColWidth="8" defaultRowHeight="15"/>
  <cols>
    <col width="100" customWidth="1" min="2" max="2"/>
  </cols>
  <sheetData>
    <row r="2">
      <c r="B2" s="5" t="inlineStr">
        <is>
          <t>RECOMMENDATIONS &amp; CONCEPTUAL ANSWERS</t>
        </is>
      </c>
    </row>
    <row r="4">
      <c r="B4" s="3" t="inlineStr">
        <is>
          <t>Level 1 Q1 -- Importance of data cleaning</t>
        </is>
      </c>
    </row>
    <row r="5">
      <c r="B5" t="inlineStr">
        <is>
          <t>Data cleaning means checking for missing values, duplicates, wrong types, and values</t>
        </is>
      </c>
    </row>
    <row r="6">
      <c r="B6" t="inlineStr">
        <is>
          <t>that violate real-world business logic before analysis. This dataset has no missing</t>
        </is>
      </c>
    </row>
    <row r="7">
      <c r="B7" t="inlineStr">
        <is>
          <t>values or exact duplicates, but the "Before Launch?" check on Raw Data shows Cybertruck</t>
        </is>
      </c>
    </row>
    <row r="8">
      <c r="B8" t="inlineStr">
        <is>
          <t>and Semi rows dated years before those vehicles actually launched -- expected for a</t>
        </is>
      </c>
    </row>
    <row r="9">
      <c r="B9" t="inlineStr">
        <is>
          <t>labeled synthetic dataset, but exactly the kind of issue that would quietly corrupt a</t>
        </is>
      </c>
    </row>
    <row r="10">
      <c r="B10" t="inlineStr">
        <is>
          <t>real report if it went unchecked.</t>
        </is>
      </c>
    </row>
    <row r="12">
      <c r="B12" s="3" t="inlineStr">
        <is>
          <t>Level 1 Q2 -- Choosing the right visualization</t>
        </is>
      </c>
    </row>
    <row r="13">
      <c r="B13" t="inlineStr">
        <is>
          <t>Bar chart: compare a total across a few categories (e.g., deliveries by model).</t>
        </is>
      </c>
    </row>
    <row r="14">
      <c r="B14" t="inlineStr">
        <is>
          <t>Line chart: show change over an ordered sequence, usually time (e.g., deliveries by year).</t>
        </is>
      </c>
    </row>
    <row r="15">
      <c r="B15" t="inlineStr">
        <is>
          <t>Scatter plot / correlation: test whether two numeric variables move together</t>
        </is>
      </c>
    </row>
    <row r="16">
      <c r="B16" t="inlineStr">
        <is>
          <t>(e.g., range vs. deliveries, on the "Range &amp; Correlations" sheet).</t>
        </is>
      </c>
    </row>
    <row r="18">
      <c r="B18" s="3" t="inlineStr">
        <is>
          <t>Level 1 Q3 -- Dashboards &amp; real-time reporting</t>
        </is>
      </c>
    </row>
    <row r="19">
      <c r="B19" t="inlineStr">
        <is>
          <t>This workbook is itself the example: KPI Summary answers "how are we doing right now" in</t>
        </is>
      </c>
    </row>
    <row r="20">
      <c r="B20" t="inlineStr">
        <is>
          <t>a handful of numbers; the Model Analysis and Regional Growth sheets reuse the same source</t>
        </is>
      </c>
    </row>
    <row r="21">
      <c r="B21" t="inlineStr">
        <is>
          <t>data consistently, so a team argues about strategy rather than whose spreadsheet is right;</t>
        </is>
      </c>
    </row>
    <row r="22">
      <c r="B22" t="inlineStr">
        <is>
          <t>and the Recommendation column on Regional Growth turns monitoring into action by naming</t>
        </is>
      </c>
    </row>
    <row r="23">
      <c r="B23" t="inlineStr">
        <is>
          <t>which region to look at next.</t>
        </is>
      </c>
    </row>
    <row r="25">
      <c r="B25" s="3" t="inlineStr">
        <is>
          <t>Level 3 Q3/Q4 -- Supply chain recommendation</t>
        </is>
      </c>
    </row>
    <row r="26">
      <c r="B26" t="inlineStr">
        <is>
          <t>Opportunity: on the Regional Growth sheet, any region flagged "FIX SUPPLY CHAIN" combines</t>
        </is>
      </c>
    </row>
    <row r="27">
      <c r="B27" t="inlineStr">
        <is>
          <t>above-average growth with above-average production delay -- the worst pairing, since</t>
        </is>
      </c>
    </row>
    <row r="28">
      <c r="B28" t="inlineStr">
        <is>
          <t>Tesla is leaving growth on the table specifically due to execution, not demand.</t>
        </is>
      </c>
    </row>
    <row r="29">
      <c r="B29" t="inlineStr">
        <is>
          <t>Strategy: prioritize regional final-assembly or parts-buffering capacity in that region</t>
        </is>
      </c>
    </row>
    <row r="30">
      <c r="B30" t="inlineStr">
        <is>
          <t>rather than a company-wide fix -- mirroring Tesla's real public strategy of localizing</t>
        </is>
      </c>
    </row>
    <row r="31">
      <c r="B31" t="inlineStr">
        <is>
          <t>production near demand centers (e.g., Gigafactory Shanghai for Asia, Gigafactory Berlin</t>
        </is>
      </c>
    </row>
    <row r="32">
      <c r="B32" t="inlineStr">
        <is>
          <t>for Europe) to cut delivery lag.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2026-09-30T03:36:55Z</dcterms:created>
  <dcterms:modified xsi:type="dcterms:W3CDTF">2026-09-30T04:12:35Z</dcterms:modified>
</cp:coreProperties>
</file>